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py of Sheet1" sheetId="2" r:id="rId6"/>
    <sheet state="visible" name="Store map" sheetId="3" r:id="rId7"/>
    <sheet state="visible" name="Sheet5" sheetId="4" r:id="rId8"/>
    <sheet state="visible" name="Device log" sheetId="5" r:id="rId9"/>
    <sheet state="visible" name="Search log" sheetId="6" r:id="rId10"/>
    <sheet state="visible" name="Parsed Data" sheetId="7" r:id="rId11"/>
    <sheet state="visible" name="Insights Pivot" sheetId="8" r:id="rId12"/>
  </sheets>
  <definedNames>
    <definedName hidden="1" localSheetId="0" name="_xlnm._FilterDatabase">Sheet1!$A$1:$G$4251</definedName>
    <definedName hidden="1" localSheetId="1" name="_xlnm._FilterDatabase">'Copy of Sheet1'!$A$1:$G$2244</definedName>
  </definedNames>
  <calcPr/>
  <pivotCaches>
    <pivotCache cacheId="0" r:id="rId13"/>
  </pivotCaches>
</workbook>
</file>

<file path=xl/sharedStrings.xml><?xml version="1.0" encoding="utf-8"?>
<sst xmlns="http://schemas.openxmlformats.org/spreadsheetml/2006/main" count="29155" uniqueCount="9677">
  <si>
    <t>en</t>
  </si>
  <si>
    <t>te</t>
  </si>
  <si>
    <t>hi</t>
  </si>
  <si>
    <t>keywords</t>
  </si>
  <si>
    <t>categories</t>
  </si>
  <si>
    <t>aisle</t>
  </si>
  <si>
    <t>rack</t>
  </si>
  <si>
    <t>Royal Brown Basmati Rice</t>
  </si>
  <si>
    <t>long grain rice|indian rice|unpolished rice|chawal|biyyam</t>
  </si>
  <si>
    <t>Rice</t>
  </si>
  <si>
    <t>Rack 5</t>
  </si>
  <si>
    <t>Godavari Sona Masoori Rice</t>
  </si>
  <si>
    <t>chawal|biyyam|long grain rice|indian rice</t>
  </si>
  <si>
    <t>India Gate Basmati Rice</t>
  </si>
  <si>
    <t>long grain rice|indian rice|chawal|biyyam</t>
  </si>
  <si>
    <t>Laxmi Sona Masoori Rice</t>
  </si>
  <si>
    <t>brown rice|chawal|biyyam|long grain rice|indian rice</t>
  </si>
  <si>
    <t>Laxmi Idli Rice</t>
  </si>
  <si>
    <t>indian rice|biyyam|chawal</t>
  </si>
  <si>
    <t>Laxmi Aged Basmati Rice</t>
  </si>
  <si>
    <t>Rack 6</t>
  </si>
  <si>
    <t>Raghav Jeera Samba Rice</t>
  </si>
  <si>
    <t>biyyam|chawal|indian rice|long grain rice</t>
  </si>
  <si>
    <t>Kitchen King Basmati Rice</t>
  </si>
  <si>
    <t>Tilda Pure Basmati Rice</t>
  </si>
  <si>
    <t>India Gate Basmati Rice Classic</t>
  </si>
  <si>
    <t>India Gate Basmati Rice Excel</t>
  </si>
  <si>
    <t>Meharban Aromatic Kalijira Rice</t>
  </si>
  <si>
    <t>long grain rice|indian rice|basmati|chawal|biyyam|basmati rice</t>
  </si>
  <si>
    <t>Rack 7</t>
  </si>
  <si>
    <t>Lal Qilla Traditional Basmati Rice</t>
  </si>
  <si>
    <t>Amar Singh Chawal Wala Lal Qilla Brand Basmati Rice</t>
  </si>
  <si>
    <t>long grain rice|indian rice|biyyam</t>
  </si>
  <si>
    <t>Laxmi Ponni Raw Rice</t>
  </si>
  <si>
    <t>biyyam|chawal|long grain rice|indian rice</t>
  </si>
  <si>
    <t>Laxmi Ponni Boiled Rice</t>
  </si>
  <si>
    <t>biyyam|chawal</t>
  </si>
  <si>
    <t>Laxmi Brown Sona Masoori Rice</t>
  </si>
  <si>
    <t>chawal|biyyam</t>
  </si>
  <si>
    <t>Rack 8</t>
  </si>
  <si>
    <t>Laxmi Kerala Kuthari Matta Rice</t>
  </si>
  <si>
    <t>Kurnool Sona Masoori Rice</t>
  </si>
  <si>
    <t>Himson Blue Nitrile Gloves</t>
  </si>
  <si>
    <t>Household &amp; Cleaning</t>
  </si>
  <si>
    <t>Rack 49</t>
  </si>
  <si>
    <t>Dettol Liquid Antiseptic</t>
  </si>
  <si>
    <t>Bajaj Almond Drops Hair Oil</t>
  </si>
  <si>
    <t>nut oil</t>
  </si>
  <si>
    <t>Personal Care</t>
  </si>
  <si>
    <t>Rack 50</t>
  </si>
  <si>
    <t>Argan Hair Oil</t>
  </si>
  <si>
    <t>Parachute Black Seed Hair Oil</t>
  </si>
  <si>
    <t>Parachute Coconut Oil</t>
  </si>
  <si>
    <t>narial</t>
  </si>
  <si>
    <t>Oils &amp; Ghee</t>
  </si>
  <si>
    <t>Rack 51</t>
  </si>
  <si>
    <t>Navratna Ayurvedic Oil</t>
  </si>
  <si>
    <t>Rack 52</t>
  </si>
  <si>
    <t>Parachute Hot Oil</t>
  </si>
  <si>
    <t>nut oil|vegetable oil</t>
  </si>
  <si>
    <t>Patanjali Kesh Kanti Hair Oil</t>
  </si>
  <si>
    <t>Dabur Amla Hair Oil</t>
  </si>
  <si>
    <t>vegetable oil</t>
  </si>
  <si>
    <t>Rack 53</t>
  </si>
  <si>
    <t>Keo Karpin Light Hair Oil</t>
  </si>
  <si>
    <t>Parachute Advansed Hair Oil</t>
  </si>
  <si>
    <t>Sujata Gold Atta</t>
  </si>
  <si>
    <t>Atta &amp; Flours</t>
  </si>
  <si>
    <t>Rack 54</t>
  </si>
  <si>
    <t>Royal Chef's Secret Basmati Rice</t>
  </si>
  <si>
    <t>long grain rice|indian rice|chawal|biyyam|basmati brown rice</t>
  </si>
  <si>
    <t>Rack 1</t>
  </si>
  <si>
    <t>India Gate Classic Basmati Rice</t>
  </si>
  <si>
    <t>India Gate Feast Rozzana Basmati Rice</t>
  </si>
  <si>
    <t>long grain rice|indian rice|chawal|biyyam|brown rice</t>
  </si>
  <si>
    <t>Kohinoor Authentic Basmati Rice</t>
  </si>
  <si>
    <t>Rack 2</t>
  </si>
  <si>
    <t>Kohinoor Gold Basmati Rice</t>
  </si>
  <si>
    <t>Kohinoor Silver Basmati Rice</t>
  </si>
  <si>
    <t>Kohinoor Platinum Basmati Rice</t>
  </si>
  <si>
    <t>Royal Chef's Secret Extra Long Basmati Rice</t>
  </si>
  <si>
    <t>Daawat Basmati Rice</t>
  </si>
  <si>
    <t>Daawat Traditional Basmati Rice</t>
  </si>
  <si>
    <t>24 Mantra Organic Sonamasuri Brown Rice</t>
  </si>
  <si>
    <t>basmati brown rice|basmati rice|basmati|unpolished rice|long grain rice|indian rice</t>
  </si>
  <si>
    <t>Rack 3</t>
  </si>
  <si>
    <t>Royal Authentic Basmati Rice</t>
  </si>
  <si>
    <t>Royal Authentic Brown Basmati Rice</t>
  </si>
  <si>
    <t>long grain rice|indian rice|chawal|biyyam|unpolished rice</t>
  </si>
  <si>
    <t>24 Mantra Organic Idly Rice</t>
  </si>
  <si>
    <t>biyyam|chawal|indian rice|unpolished rice</t>
  </si>
  <si>
    <t>24 Mantra Organic Ponni Rice</t>
  </si>
  <si>
    <t>brown rice|biyyam|chawal</t>
  </si>
  <si>
    <t>Dunar Elonga Basmati Rice</t>
  </si>
  <si>
    <t>24 Mantra Organic Basmati Brown Rice 10 lb</t>
  </si>
  <si>
    <t>24 మంత్ర ఆర్గానిక్ బాస్మతి బ్రౌన్ రైస్ 10 లీబర్స్</t>
  </si>
  <si>
    <t>24 मंत्र ऑर्गेनिक बासमती ब्राउन राइस 10 पाउंड</t>
  </si>
  <si>
    <t>basmati brown rice, 24 mantra, organic</t>
  </si>
  <si>
    <t>Spices &amp; Masala</t>
  </si>
  <si>
    <t>Swad Gujarat 17 Khichdi Rice</t>
  </si>
  <si>
    <t>24 Mantra Organic Coconut Sugar 500 gms</t>
  </si>
  <si>
    <t>24 మంత్ర ఆర్గానిక్ కొబ్బరి చక్కెర 500 గ్రా</t>
  </si>
  <si>
    <t>24 मंत्र ऑर्गेनिक कोकोनट शुगर 500 ग्राम</t>
  </si>
  <si>
    <t>coconut sugar, 24 mantra, organic</t>
  </si>
  <si>
    <t>brown rice|long grain rice|indian rice|chawal|biyyam</t>
  </si>
  <si>
    <t>24 Mantra Organic Gongura Pickle with Garlic 300 gms</t>
  </si>
  <si>
    <t>24 మంత్ర ఆర్గానిక్ గోంగూర పచ్చడి గార్లిక్‌తో 300 గ్రా</t>
  </si>
  <si>
    <t>24 मंत्र ऑर्गेनिक गोंगूरा अचार गार्लिक के साथ 300 ग्राम</t>
  </si>
  <si>
    <t>India Gate Sona Masoori Rice</t>
  </si>
  <si>
    <t>gongura pickle, garlic, 24 mantra, organic</t>
  </si>
  <si>
    <t>24 Mantra Organic Multigrain Atta 4 kg</t>
  </si>
  <si>
    <t>24 మంత్ర ఆర్గానిక్ మల్టీ గ్రేన్ అట్టా 4 కిలోగ్రాములు</t>
  </si>
  <si>
    <t>24 मंत्र ऑर्गेनिक मल्टीग्रेन आटा 4 किलोग्राम</t>
  </si>
  <si>
    <t>multigrain atta, 24 mantra, organic</t>
  </si>
  <si>
    <t>Rack 4</t>
  </si>
  <si>
    <t>24 Mantra Organic Ponni Paraboiled Rice</t>
  </si>
  <si>
    <t>Swetha Telugu Sona Masori Rice</t>
  </si>
  <si>
    <t>24 మంత్ర ఆర్గానిక్ పొన్ని పారాబైల్ రైస్</t>
  </si>
  <si>
    <t>24 मंत्र ऑर्गेनिक पोन्नी पैराबॉयल्ड राइस</t>
  </si>
  <si>
    <t>ponni paraboiled rice, 24 mantra, organic</t>
  </si>
  <si>
    <t>24 Mantra Organic Ponni Raw Rice 10 lb</t>
  </si>
  <si>
    <t>24 మంత్ర ఆర్గానిక్ పొన్ని రావ్ బీరు 10 లీబర్స్</t>
  </si>
  <si>
    <t>24 मंत्र ऑर्गेनिक पोन्नी रॉ राइस 10 पाउंड</t>
  </si>
  <si>
    <t>['ponni rice', 'raw rice', '24 mantra', 'organic']</t>
  </si>
  <si>
    <t>24 Mantra Organic Sonamasuri Rice</t>
  </si>
  <si>
    <t>24 Mantra Organic Sona Masuri Rice 10 lb</t>
  </si>
  <si>
    <t>24 మంత్ర ఆర్గానిక్ సోనా మసూరి బీరు 10 లీబర్స్</t>
  </si>
  <si>
    <t>24 मंत्र ऑर्गेनिक सोना मसूरी राइस 10 पाउंड</t>
  </si>
  <si>
    <t>['sona masuri rice', '24 mantra', 'organic']</t>
  </si>
  <si>
    <t>24 Mantra Tomato Pickle</t>
  </si>
  <si>
    <t>24 మంత్ర తమలపాకు పచ్చడి</t>
  </si>
  <si>
    <t>24 मंत्र टमाटर अचार</t>
  </si>
  <si>
    <t>['tomato pickle', '24 mantra']</t>
  </si>
  <si>
    <t>24 Mantra Urad Whole</t>
  </si>
  <si>
    <t>24 మంత్ర ఉరద్ పూర్తి</t>
  </si>
  <si>
    <t>24 मंत्र उरद पूरी</t>
  </si>
  <si>
    <t>['urad whole', '24 mantra']</t>
  </si>
  <si>
    <t>50-50 Maska Chaska</t>
  </si>
  <si>
    <t>50-50 మస్కా చాస్కా</t>
  </si>
  <si>
    <t>50-50 मस्का चास्का</t>
  </si>
  <si>
    <t>['masala', 'spice blend', '50-50']</t>
  </si>
  <si>
    <t>A1 Cassava</t>
  </si>
  <si>
    <t/>
  </si>
  <si>
    <t>a1-cassava</t>
  </si>
  <si>
    <t>Uncategorized</t>
  </si>
  <si>
    <t>Aachi Garlic Pickle</t>
  </si>
  <si>
    <t>ఆచ్చి వెల్లుల్లి పచ్చడి</t>
  </si>
  <si>
    <t>आची लहसुन की अचार</t>
  </si>
  <si>
    <t>['garlic pickle', 'aachi pickle', 'velulli pacchadi']</t>
  </si>
  <si>
    <t>Aachi Ginger Pickle</t>
  </si>
  <si>
    <t>ఆచ్చి ఆదుకూర పచ్చడి</t>
  </si>
  <si>
    <t>आची अदरक की अचार</t>
  </si>
  <si>
    <t>['ginger pickle', 'aachi pickle', 'adukura pacchadi']</t>
  </si>
  <si>
    <t>Aachi Idiyappam Powder</t>
  </si>
  <si>
    <t>ఆచ్చి ఇడియప్పం పావురు</t>
  </si>
  <si>
    <t>आची इडियप्पम पाउडर</t>
  </si>
  <si>
    <t>['idiyappam powder', 'aachi idiyappam', 'idippam powder']</t>
  </si>
  <si>
    <t>Aachi Kadai Chicken Masala</t>
  </si>
  <si>
    <t>ఆచ్చి కడాయి చికెన్ మసాలా</t>
  </si>
  <si>
    <t>आची कढाई चिकन मसाला</t>
  </si>
  <si>
    <t>24 Mantra Organic Brown Basmati Rice</t>
  </si>
  <si>
    <t>['kadai chicken masala', 'aachi chicken masala', 'chicken masala']</t>
  </si>
  <si>
    <t>Aachi Mutton Curry Masala</t>
  </si>
  <si>
    <t>ఆచ్చి మేక కూర మసాలా</t>
  </si>
  <si>
    <t>आची मटन करी मसाला</t>
  </si>
  <si>
    <t>['mutton curry masala', 'aachi mutton masala', 'mutton masala']</t>
  </si>
  <si>
    <t>basmati brown rice|24 mantra|organic</t>
  </si>
  <si>
    <t>Aachi Puttu Powder</t>
  </si>
  <si>
    <t>ఆచ్చి పుట్టు పొడి</t>
  </si>
  <si>
    <t>Swetha Telugu Sona Masoori Rice</t>
  </si>
  <si>
    <t>आची पुट्टू पाउडर</t>
  </si>
  <si>
    <t>puttu powder, aachi puttu powder</t>
  </si>
  <si>
    <t>Aachi Rasam Powder</t>
  </si>
  <si>
    <t>ఆచ్చి రసం పొడి</t>
  </si>
  <si>
    <t>आची रसम पाउडर</t>
  </si>
  <si>
    <t>rasam powder, aachi rasam powder</t>
  </si>
  <si>
    <t>Royal Chef's Secret Extra Long Grain Basmati Rice</t>
  </si>
  <si>
    <t>Aahu Barah</t>
  </si>
  <si>
    <t>ఆహు బరాహ్</t>
  </si>
  <si>
    <t>आहू बराह</t>
  </si>
  <si>
    <t>aahu barah, barah</t>
  </si>
  <si>
    <t>Aara Brown Sugar</t>
  </si>
  <si>
    <t>ఆరా బ్రౌన్ శర్కర</t>
  </si>
  <si>
    <t>आरा ब्राउन शुगर</t>
  </si>
  <si>
    <t>brown sugar, aara brown sugar</t>
  </si>
  <si>
    <t>Aas Pas Panmasala</t>
  </si>
  <si>
    <t>ఆస్ పాస్ పన్మసాల</t>
  </si>
  <si>
    <t>आस पास पनमसाला</t>
  </si>
  <si>
    <t>panmasala, aas pas panmasala</t>
  </si>
  <si>
    <t>Zafarani Basmati Rice</t>
  </si>
  <si>
    <t>Aashirvaad</t>
  </si>
  <si>
    <t>ఆశిర్వాద్</t>
  </si>
  <si>
    <t>आशीर्वाद</t>
  </si>
  <si>
    <t>['aashirvaad', 'atta']</t>
  </si>
  <si>
    <t>Rack 9</t>
  </si>
  <si>
    <t>Lal Qilla Basmati Rice</t>
  </si>
  <si>
    <t>Aashirvaad 20 lbs</t>
  </si>
  <si>
    <t>ఆశిర్వాద్ 20 లీబుల్స్</t>
  </si>
  <si>
    <t>आशीर्वाद 20 पाउंड</t>
  </si>
  <si>
    <t>['aashirvaad', '20 lbs', 'atta']</t>
  </si>
  <si>
    <t>Aashirvaad Multigrain Atta</t>
  </si>
  <si>
    <t>ఆశిర్వాద్ మల్టీ గ్రేన్ అట్ట</t>
  </si>
  <si>
    <t>आशीर्वाद मल्टीग्रेन आटा</t>
  </si>
  <si>
    <t>Double Horse Vadi Matta Rice</t>
  </si>
  <si>
    <t>['aashirvaad', 'multigrain', 'atta']</t>
  </si>
  <si>
    <t>Aashirvad Multigrain Atta 10 lbs</t>
  </si>
  <si>
    <t>Shalimar Empire Basmati Rice</t>
  </si>
  <si>
    <t>ఆశిర్వాద్ మల్టీ గ్రేన్ అట్ట 10 లీబుల్స్</t>
  </si>
  <si>
    <t>आशीर्वाद मल्टीग्रेन आटा 10 पाउंड</t>
  </si>
  <si>
    <t>['aashirvad', 'multigrain', '10 lbs', 'atta']</t>
  </si>
  <si>
    <t>Aashirvad Select Sharbati Atta Whole Wheat 10 lbs</t>
  </si>
  <si>
    <t>ఆశిర్వాద్ సెలెక్ట్ షర్బతి అట్ట వ్హోల్ వీట్ 10 లీబుల్స్</t>
  </si>
  <si>
    <t>आशीर्वाद सेलेक्ट शरबती आटा व्होल व्हीट 10 पाउंड</t>
  </si>
  <si>
    <t>['aashirvad', 'select', 'sharbati', 'atta', 'whole wheat', '10 lbs']</t>
  </si>
  <si>
    <t>Brown Basmati Rice</t>
  </si>
  <si>
    <t>Aashirvad Sharbati Whole Wheat Atta</t>
  </si>
  <si>
    <t>ఆశిర్వాద్ శర్బతి వెల్లుల్లి రొట్టె మిఠ్తా</t>
  </si>
  <si>
    <t>आशीर्वाद शर्बती गेहूं का आटा</t>
  </si>
  <si>
    <t>['whole wheat atta', 'ashirvad sharbati']</t>
  </si>
  <si>
    <t>brown|basmati|rice</t>
  </si>
  <si>
    <t>Aata</t>
  </si>
  <si>
    <t>ఆటా</t>
  </si>
  <si>
    <t>Laxmi Low GI Basmati Rice</t>
  </si>
  <si>
    <t>आटा</t>
  </si>
  <si>
    <t>['atta', 'wheat flour']</t>
  </si>
  <si>
    <t>AB Mathura Peda</t>
  </si>
  <si>
    <t>ఎబి మధుర పెడ</t>
  </si>
  <si>
    <t>एबी मथुरा पेड़ा</t>
  </si>
  <si>
    <t>['mathura peda', 'milk sweets']</t>
  </si>
  <si>
    <t>Raghav Ambe Mohar Rice</t>
  </si>
  <si>
    <t>Achari Chicken</t>
  </si>
  <si>
    <t>అచారి చికెన్</t>
  </si>
  <si>
    <t>अचारी चिकन</t>
  </si>
  <si>
    <t>['achari chicken', 'spicy chicken']</t>
  </si>
  <si>
    <t>Achi Pav Bhaji</t>
  </si>
  <si>
    <t>అచ్చి పావ్ భజీ</t>
  </si>
  <si>
    <t>अच्ची पाव भजी</t>
  </si>
  <si>
    <t>['pav bhaji', 'mumbai street food']</t>
  </si>
  <si>
    <t>Atta, Rice &amp; Grains</t>
  </si>
  <si>
    <t>biyyam|chawal|basmati|long grain rice|indian rice</t>
  </si>
  <si>
    <t>Rack 10</t>
  </si>
  <si>
    <t>Advil 200 mg 2 Tablets</t>
  </si>
  <si>
    <t>అడ్విల్ 200 ఎంజీ 2 టేబులెట్లు</t>
  </si>
  <si>
    <t>Deccan Krishna Kamod Rice</t>
  </si>
  <si>
    <t>अडविल 200 एमजी 2 टैबलेट</t>
  </si>
  <si>
    <t>['Advil', 'Pain Reliever']</t>
  </si>
  <si>
    <t>Agar Agar</t>
  </si>
  <si>
    <t>అగర్ అగర్</t>
  </si>
  <si>
    <t>अगर-अगार</t>
  </si>
  <si>
    <t>['Agar Agar', 'Vegetable Gelatin']</t>
  </si>
  <si>
    <t>Deccan Dosa Rice</t>
  </si>
  <si>
    <t>Agar Agar China Grass</t>
  </si>
  <si>
    <t>అగర్ అగర్ చైనా గ్రాస్</t>
  </si>
  <si>
    <t>अगर-अगार चीना घास</t>
  </si>
  <si>
    <t>['Agar Agar', 'China Grass']</t>
  </si>
  <si>
    <t>biyyam|chawal|brown rice|long grain rice|indian rice</t>
  </si>
  <si>
    <t>Aged Basmati Rice 10 lb</t>
  </si>
  <si>
    <t>పాత బాస్మతి బియ్యం 10 లీబర్లు</t>
  </si>
  <si>
    <t>Rack 11</t>
  </si>
  <si>
    <t>पुराना बासमती चावल 10 पाउंड</t>
  </si>
  <si>
    <t>Deccan Surti Kolam Rice</t>
  </si>
  <si>
    <t>['Basmati Rice', 'Aged Rice']</t>
  </si>
  <si>
    <t>Ajma Dates</t>
  </si>
  <si>
    <t>అజ్మా దాతువులు</t>
  </si>
  <si>
    <t>अज्मा की तारीखें</t>
  </si>
  <si>
    <t>['Ajma Dates', 'Medjool Dates']</t>
  </si>
  <si>
    <t>brown rice|indian rice|basmati|chawal|biyyam|long grain rice</t>
  </si>
  <si>
    <t>Ajwain</t>
  </si>
  <si>
    <t>అజ్వైన్</t>
  </si>
  <si>
    <t>Deccan Jeera Samba Rice</t>
  </si>
  <si>
    <t>अजवाइन</t>
  </si>
  <si>
    <t>['ajwain', 'carom seeds']</t>
  </si>
  <si>
    <t>Ajwain Paratha</t>
  </si>
  <si>
    <t>అజ్వైన్ పరాఠా</t>
  </si>
  <si>
    <t>अजवाइन पराठा</t>
  </si>
  <si>
    <t>chawal</t>
  </si>
  <si>
    <t>['ajwain paratha', 'carom seeds flatbread']</t>
  </si>
  <si>
    <t>Deccan Indrayani Rice</t>
  </si>
  <si>
    <t>Ajwain Salted Biscuits</t>
  </si>
  <si>
    <t>అజ్వైన్ సల్టెడ్ బిస్కట్స్</t>
  </si>
  <si>
    <t>अजवाइन नमकीन बिस्कुट</t>
  </si>
  <si>
    <t>['ajwain biscuits', 'carom seeds biscuits', 'salted biscuits']</t>
  </si>
  <si>
    <t>Ajwain Seeds</t>
  </si>
  <si>
    <t>indian rice|chawal|biyyam</t>
  </si>
  <si>
    <t>అజ్వైన్ బీజాలు</t>
  </si>
  <si>
    <t>अजवाइन के बीज</t>
  </si>
  <si>
    <t>['ajwain seeds', 'carom seeds']</t>
  </si>
  <si>
    <t>Sona Masoori Rice</t>
  </si>
  <si>
    <t>Al Safa Chicken Nuggets</t>
  </si>
  <si>
    <t>అల్ సఫా చికెన్ నగెట్స్</t>
  </si>
  <si>
    <t>अल साफ़ा चिकन नगेट्स</t>
  </si>
  <si>
    <t>Chicken Nuggets, Chicken, Snack</t>
  </si>
  <si>
    <t>Rack 12</t>
  </si>
  <si>
    <t>Al Safa Chicken Patties</t>
  </si>
  <si>
    <t>Zebra Brand Basmati Rice</t>
  </si>
  <si>
    <t>అల్ సఫా చికెన్ పట్టీస్</t>
  </si>
  <si>
    <t>अल साफ़ा चिकन पेट्टीज़</t>
  </si>
  <si>
    <t>Chicken Patties, Chicken, Snack</t>
  </si>
  <si>
    <t>Aleve 1 Caplet</t>
  </si>
  <si>
    <t>ఏలివ్ 1 క్యాప్లెట్</t>
  </si>
  <si>
    <t>एलीवे 1 कैपलेट</t>
  </si>
  <si>
    <t>['Aleve', 'Pain Reliever']</t>
  </si>
  <si>
    <t>Zebra Brand Basmati Rice (Yellow Bag)</t>
  </si>
  <si>
    <t>Allegro Olive Oil</t>
  </si>
  <si>
    <t>అలెగ్రో ఆలివ్ ఆయిల్</t>
  </si>
  <si>
    <t>अलेग्रो ऑलिव ऑयल</t>
  </si>
  <si>
    <t>['Allegro', 'Olive Oil']</t>
  </si>
  <si>
    <t>Almond</t>
  </si>
  <si>
    <t>ఆల్మండ్</t>
  </si>
  <si>
    <t>बादाम</t>
  </si>
  <si>
    <t>['Almond', 'Badaam']</t>
  </si>
  <si>
    <t>అల్మండ్</t>
  </si>
  <si>
    <t>['almond', 'badam']</t>
  </si>
  <si>
    <t>Almonds</t>
  </si>
  <si>
    <t>ఆల్మండ్స్</t>
  </si>
  <si>
    <t>Raja Foods Sona Masoori Rice</t>
  </si>
  <si>
    <t>['Almonds', 'Badaam']</t>
  </si>
  <si>
    <t>Aloo Achari</t>
  </si>
  <si>
    <t>ఆలూ అచారీ</t>
  </si>
  <si>
    <t>आलू अचारी</t>
  </si>
  <si>
    <t>['Aloo', 'Achari']</t>
  </si>
  <si>
    <t>Aluminum Foil Pans</t>
  </si>
  <si>
    <t>Alphonso Cup</t>
  </si>
  <si>
    <t>అల్ఫోన్సో కప్</t>
  </si>
  <si>
    <t>अल्फोंसो कप</t>
  </si>
  <si>
    <t>['Alphonso Cup', 'Alphonso Container']</t>
  </si>
  <si>
    <t>cookware</t>
  </si>
  <si>
    <t>Kitchenware</t>
  </si>
  <si>
    <t>Alphonso Mango</t>
  </si>
  <si>
    <t>Rack 23</t>
  </si>
  <si>
    <t>అల్ఫోన్సో మాంగో</t>
  </si>
  <si>
    <t>अल्फोंसो आम</t>
  </si>
  <si>
    <t>Ziploc Sandwich Bags</t>
  </si>
  <si>
    <t>['Alphonso Mango', 'Alphonso Mango Fruit']</t>
  </si>
  <si>
    <t>अल्फोंसो मैंगो</t>
  </si>
  <si>
    <t>Alphonso Mango, Mango, Fruit</t>
  </si>
  <si>
    <t>Paper Cups</t>
  </si>
  <si>
    <t>Alphonso Mango Ice Cream</t>
  </si>
  <si>
    <t>అల్ఫోన్సో మాంగో ఐస్ క్రీం</t>
  </si>
  <si>
    <t>अल्फोंसो आम आइसक्रीम</t>
  </si>
  <si>
    <t>['Alphonso Mango Ice Cream', 'Alphonso Mango Dessert']</t>
  </si>
  <si>
    <t>Alphonso Mango Pulp</t>
  </si>
  <si>
    <t>అల్ఫోన్సో మాంగో పల్ప్</t>
  </si>
  <si>
    <t>Dettol Original Handwash</t>
  </si>
  <si>
    <t>अल्फोंसो आम पल्प</t>
  </si>
  <si>
    <t>['Alphonso Mango Pulp', 'Alphonso Mango Juice Concentrate']</t>
  </si>
  <si>
    <t>Aluminum Wok Kahari</t>
  </si>
  <si>
    <t>అల్యూమినియం వాక్ కహరీ</t>
  </si>
  <si>
    <t>अल्यूमिनियम वॉक काहारी</t>
  </si>
  <si>
    <t>Aluminum Wok, Wok, Cookware</t>
  </si>
  <si>
    <t>Rack 24</t>
  </si>
  <si>
    <t>Frozen Foods</t>
  </si>
  <si>
    <t>Always Ultra Thin Pads</t>
  </si>
  <si>
    <t>Amla Muraba</t>
  </si>
  <si>
    <t>ఆమ్లా మురబా</t>
  </si>
  <si>
    <t>आमला मुरब्बा</t>
  </si>
  <si>
    <t>['amla muraba', 'amla preserve', 'indian jam']</t>
  </si>
  <si>
    <t>Amma's</t>
  </si>
  <si>
    <t>అమ్మాస్</t>
  </si>
  <si>
    <t>अम्मास</t>
  </si>
  <si>
    <t>["amma's", "amma's products", 'indian grocery']</t>
  </si>
  <si>
    <t>Tampax Cardboard Box</t>
  </si>
  <si>
    <t>Amma's Iyer Mixture</t>
  </si>
  <si>
    <t>అమ్మాస్ ఐయర్ మిశ్రమం</t>
  </si>
  <si>
    <t>अम्मास आयर मिश्रण</t>
  </si>
  <si>
    <t>["amma's iyer mixture", 'indian spice blend', 'south indian mix']</t>
  </si>
  <si>
    <t>Amrutanjan</t>
  </si>
  <si>
    <t>Tide Liquid Laundry Detergent</t>
  </si>
  <si>
    <t>అమృతాన్జన్</t>
  </si>
  <si>
    <t>अमृतान्जन</t>
  </si>
  <si>
    <t>['amrutanjan', 'indian medicine', 'ayurvedic products']</t>
  </si>
  <si>
    <t>Amul Badam 6 Pack</t>
  </si>
  <si>
    <t>అముల్ బాదం 6 ప్యాక్</t>
  </si>
  <si>
    <t>अमूल बादाम 6 पैक</t>
  </si>
  <si>
    <t>['amul badam', 'almond 6 pack', 'indian snacks']</t>
  </si>
  <si>
    <t>Surf Excel Easy Wash Powder</t>
  </si>
  <si>
    <t>Amul Butter</t>
  </si>
  <si>
    <t>అముల్ బట్టర్</t>
  </si>
  <si>
    <t>अमूल बटर</t>
  </si>
  <si>
    <t>['amul', 'butter']</t>
  </si>
  <si>
    <t>Amul Cheese</t>
  </si>
  <si>
    <t>అముల్ చీజ్</t>
  </si>
  <si>
    <t>अमूल चीज़</t>
  </si>
  <si>
    <t>['amul', 'cheese']</t>
  </si>
  <si>
    <t>Mysore Sandal Soap</t>
  </si>
  <si>
    <t>print</t>
  </si>
  <si>
    <t>OL1150Wx</t>
  </si>
  <si>
    <t>5.85x0.689 inches</t>
  </si>
  <si>
    <t>onlinelabels.com</t>
  </si>
  <si>
    <t>Rack 25</t>
  </si>
  <si>
    <t>Amul Cheese Block</t>
  </si>
  <si>
    <t>Moti Sandal Soap</t>
  </si>
  <si>
    <t>అముల్ చీజ్ బ్లాక్</t>
  </si>
  <si>
    <t>अमूल चीज़ ब्लॉक</t>
  </si>
  <si>
    <t>['amul', 'cheese', 'block']</t>
  </si>
  <si>
    <t>Amul Cheese Chiplet</t>
  </si>
  <si>
    <t>అముల్ చీజ్ చిప్లెట్</t>
  </si>
  <si>
    <t>अमूल चीज़ चिपलेट</t>
  </si>
  <si>
    <t>Sleek Hot Wax</t>
  </si>
  <si>
    <t>['amul', 'cheese', 'chiplet']</t>
  </si>
  <si>
    <t>Amul Cheese Slices</t>
  </si>
  <si>
    <t>అముల్ చీజ్ స్లైస్</t>
  </si>
  <si>
    <t>अमूल चीज़ स्लाइस</t>
  </si>
  <si>
    <t>['amul', 'cheese', 'slices']</t>
  </si>
  <si>
    <t>Veet Professional Wax Strips</t>
  </si>
  <si>
    <t>Amul Dry Fruit</t>
  </si>
  <si>
    <t>అముల్ ద్రవ్య పండ్లు</t>
  </si>
  <si>
    <t>अमूल सूखे फल</t>
  </si>
  <si>
    <t>['amul', 'dry', 'fruit']</t>
  </si>
  <si>
    <t>Amul Malai Paneer 1 kg</t>
  </si>
  <si>
    <t>అముల్ మలై పానీర్ 1 కిలో</t>
  </si>
  <si>
    <t>अमूल मलाई पनीर 1 किलो</t>
  </si>
  <si>
    <t>Kanti Toothpaste</t>
  </si>
  <si>
    <t>['amul', 'malai', 'paneer']</t>
  </si>
  <si>
    <t>Amul Masti</t>
  </si>
  <si>
    <t>అముల్ మాస్టీ</t>
  </si>
  <si>
    <t>अमूल मस्ती</t>
  </si>
  <si>
    <t>['amul', 'masti']</t>
  </si>
  <si>
    <t>Rack 26</t>
  </si>
  <si>
    <t>Vicco Vajradanti Toothpaste</t>
  </si>
  <si>
    <t>Amul Paneer</t>
  </si>
  <si>
    <t>అముల్ పానీర్</t>
  </si>
  <si>
    <t>अमूल पनीर</t>
  </si>
  <si>
    <t>['paneer', 'amul', 'paneer cheese']</t>
  </si>
  <si>
    <t>Amul Product</t>
  </si>
  <si>
    <t>అముల్ ఉత్పత్తి</t>
  </si>
  <si>
    <t>way</t>
  </si>
  <si>
    <t>अमूल उत्पाद</t>
  </si>
  <si>
    <t>Closeup Toothpaste</t>
  </si>
  <si>
    <t>['amul', 'product']</t>
  </si>
  <si>
    <t>maestro.onlinelabels.com</t>
  </si>
  <si>
    <t>Amul Pure Ghee</t>
  </si>
  <si>
    <t>అముల్ పూర్ గ్హీ</t>
  </si>
  <si>
    <t>अमूल पूरा घी</t>
  </si>
  <si>
    <t>['ghee', 'pure ghee', 'amul']</t>
  </si>
  <si>
    <t>Sensodyne Toothpaste</t>
  </si>
  <si>
    <t>Gold Atta</t>
  </si>
  <si>
    <t>Rack 27</t>
  </si>
  <si>
    <t>Jeera Khichiya Cardboard Box</t>
  </si>
  <si>
    <t>Shelf 6</t>
  </si>
  <si>
    <t>cumin</t>
  </si>
  <si>
    <t>Amul Salted Butter</t>
  </si>
  <si>
    <t>Spices &amp; Masalas</t>
  </si>
  <si>
    <t>Shelf 5</t>
  </si>
  <si>
    <t>Aashirvaad Whole Wheat Flour</t>
  </si>
  <si>
    <t>atta|godhumapindi|whole wheat atta</t>
  </si>
  <si>
    <t>Rack 28</t>
  </si>
  <si>
    <t>Sher Fiber Wala Whole Wheat Flour</t>
  </si>
  <si>
    <t>Meera Shampoo</t>
  </si>
  <si>
    <t>Rack 35</t>
  </si>
  <si>
    <t>Ziploc Sandwich Bags (480 Pack)</t>
  </si>
  <si>
    <t>Ziploc On-The-Go Protection Sandwich Bags</t>
  </si>
  <si>
    <t>Scrubbing Bubbles Bathroom Grime Fighter</t>
  </si>
  <si>
    <t>Rack 36</t>
  </si>
  <si>
    <t>Glass &amp; Surface Cleaner</t>
  </si>
  <si>
    <t>Carpet Cleaner</t>
  </si>
  <si>
    <t>carpet shampoo</t>
  </si>
  <si>
    <t>Mighty Sealer</t>
  </si>
  <si>
    <t>Shelf 7</t>
  </si>
  <si>
    <t>Nupur Henna 9 Herbs</t>
  </si>
  <si>
    <t>Shelf 4</t>
  </si>
  <si>
    <t>powder</t>
  </si>
  <si>
    <t>Mamaearth Ubtan Face Wash</t>
  </si>
  <si>
    <t>Rack 37</t>
  </si>
  <si>
    <t>Vicco Aloe Vera Face Wash</t>
  </si>
  <si>
    <t>Vicco Turmeric Face Wash</t>
  </si>
  <si>
    <t>turmeric powder|pasupu|haldi</t>
  </si>
  <si>
    <t>wall</t>
  </si>
  <si>
    <t>Patanjali Aloe Vera Gel</t>
  </si>
  <si>
    <t>Dettol Soap</t>
  </si>
  <si>
    <t>Rack 38</t>
  </si>
  <si>
    <t>Pears Pure &amp; Gentle Soap</t>
  </si>
  <si>
    <t>Lux Soap</t>
  </si>
  <si>
    <t>asile 8</t>
  </si>
  <si>
    <t>Ayur Shampoo</t>
  </si>
  <si>
    <t>Rack 39</t>
  </si>
  <si>
    <t>Clinic Plus Shampoo</t>
  </si>
  <si>
    <t>Shelf 3</t>
  </si>
  <si>
    <t>Shelf 2</t>
  </si>
  <si>
    <t>Shelf 1</t>
  </si>
  <si>
    <t>Himalaya Anti-Hair Fall Shampoo</t>
  </si>
  <si>
    <t>Listerine Cool Mint Mouthwash</t>
  </si>
  <si>
    <t>Listerine Total Care Mouthwash</t>
  </si>
  <si>
    <t>Meswak Toothpaste</t>
  </si>
  <si>
    <t>Neem Toothpaste</t>
  </si>
  <si>
    <t>Dabur Red Toothpaste</t>
  </si>
  <si>
    <t>Parboiled Basmati Rice</t>
  </si>
  <si>
    <t>Shelf 8</t>
  </si>
  <si>
    <t>Rack 40</t>
  </si>
  <si>
    <t>Aashirvaad Shudh Chakki Atta</t>
  </si>
  <si>
    <t>Rack 41</t>
  </si>
  <si>
    <t>Himson Kraft Grocery Bag #4</t>
  </si>
  <si>
    <t>Rack 29</t>
  </si>
  <si>
    <t>Brown Paper Package</t>
  </si>
  <si>
    <t>Shelf 9</t>
  </si>
  <si>
    <t>Shelf 10</t>
  </si>
  <si>
    <t>Godrej Nupur Henna 100% Pure Henna</t>
  </si>
  <si>
    <t>Rack 30</t>
  </si>
  <si>
    <t>Godrej Kali Mehendi</t>
  </si>
  <si>
    <t>mehendi powder</t>
  </si>
  <si>
    <t>Black Rose Kali Mehendi</t>
  </si>
  <si>
    <t>asile 7</t>
  </si>
  <si>
    <t>Godrej Expert Rich Crème Hair Colour</t>
  </si>
  <si>
    <t>Floss Picks</t>
  </si>
  <si>
    <t>Wilkinson Sword Classic Double Edge Blades</t>
  </si>
  <si>
    <t>Gillette Blue II Razors</t>
  </si>
  <si>
    <t>Dettol Original Liquid Handwash</t>
  </si>
  <si>
    <t>Lux Velvet Touch Soap</t>
  </si>
  <si>
    <t>Rack 31</t>
  </si>
  <si>
    <t>Santoor Sandal &amp; Turmeric Soap</t>
  </si>
  <si>
    <t>Dove Cream Beauty Bar</t>
  </si>
  <si>
    <t>Dove Beauty Cream Bar Original</t>
  </si>
  <si>
    <t>classic</t>
  </si>
  <si>
    <t>Dove Pink Beauty Bar</t>
  </si>
  <si>
    <t>Dove Sensitive Beauty Bar</t>
  </si>
  <si>
    <t>Dove Men+Care Clean Comfort Face &amp; Body Bar</t>
  </si>
  <si>
    <t>Colgate Charcoal Clean Toothpaste</t>
  </si>
  <si>
    <t>activated charcoal</t>
  </si>
  <si>
    <t>Rack 32</t>
  </si>
  <si>
    <t>Colgate Herbal Toothpaste</t>
  </si>
  <si>
    <t>Colgate Active Salt Toothpaste</t>
  </si>
  <si>
    <t>Colgate Strong Teeth Toothpaste</t>
  </si>
  <si>
    <t>Patanjali Dant Kanti Natural Toothpaste</t>
  </si>
  <si>
    <t>Timestamp</t>
  </si>
  <si>
    <t>Rack 33</t>
  </si>
  <si>
    <t>Device details</t>
  </si>
  <si>
    <t>{"visitorId":"BB-DEV-7VTHC","deviceType":"Desktop","os":"Linux","browser":"Chrome","screenRes":"1835x1032","isTouch":false,"visitCount":1,"firstVisit":"8/19/2026","lastVisit":"12:36 AM","deviceId":"DID-711F3CF0"}</t>
  </si>
  <si>
    <t>{"visitorId":"BB-DEV-GZ218","deviceType":"Desktop","os":"Linux","browser":"Chrome","screenRes":"1835x1032","isTouch":false,"visitCount":1,"firstVisit":"8/19/2026","lastVisit":"12:37 AM","deviceId":"DID-711F3CF0"}</t>
  </si>
  <si>
    <t>{"visitorId":"BB-DEV-GXZ4W","deviceType":"Mobile","os":"iOS","browser":"Chrome","screenRes":"430x932","isTouch":true,"visitCount":1,"firstVisit":"8/19/2026","lastVisit":"12:38 AM","deviceId":"DID-37BBF33C"}</t>
  </si>
  <si>
    <t>{"visitorId":"BB-DEV-7XF6J","deviceType":"Mobile","os":"iOS","browser":"Safari","screenRes":"430x932","isTouch":true,"visitCount":1,"firstVisit":"8/19/2026","lastVisit":"12:50 AM","deviceId":"DID-37BBF33C"}</t>
  </si>
  <si>
    <t>Rack 34</t>
  </si>
  <si>
    <t>{"visitorId":"BB-DEV-GZ218","deviceType":"Desktop","os":"Linux","browser":"Chrome","screenRes":"1835x1032","isTouch":false,"visitCount":2,"firstVisit":"8/19/2026","lastVisit":"01:01 AM","deviceId":"DID-32DFEAB4"}</t>
  </si>
  <si>
    <t>HIMBSON Blue Nitrile Gloves X-Large</t>
  </si>
  <si>
    <t>rack 1</t>
  </si>
  <si>
    <t>{"visitorId":"BB-DEV-2L841","deviceType":"Desktop","os":"Linux","browser":"Chrome","screenRes":"1835x1032","isTouch":false,"visitCount":1,"firstVisit":"8/19/2026","lastVisit":"01:03 AM","deviceId":"DID-239CB3FA"}</t>
  </si>
  <si>
    <t>Dettol Antiseptic Value Refill</t>
  </si>
  <si>
    <t>{"visitorId":"BB-DEV-RS3K4","deviceType":"Mobile","os":"iOS","browser":"Chrome","screenRes":"430x932","isTouch":true,"visitCount":18,"firstVisit":"8/18/2026","lastVisit":"01:12 AM","deviceId":"DID-37BBF33C"}</t>
  </si>
  <si>
    <t>Vatika Argan Enriched Hair Oil</t>
  </si>
  <si>
    <t>pos counter</t>
  </si>
  <si>
    <t>{"visitorId":"BB-DEV-CP3ZH","deviceType":"Desktop","os":"Linux","browser":"Chrome","screenRes":"1835x1032","isTouch":false,"visitCount":13,"firstVisit":"8/19/2026","lastVisit":"01:12 AM","deviceId":"DID-7F786A35"}</t>
  </si>
  <si>
    <t>Vatika Black Seed Enriched Hair Oil</t>
  </si>
  <si>
    <t>{"visitorId":"BB-DEV-D9QXO","deviceType":"Desktop","os":"Linux","browser":"Chrome","screenRes":"1836x1032","isTouch":false,"visitCount":12,"firstVisit":"8/18/2026","lastVisit":"01:18 AM","deviceId":"DID-774C08C7"}</t>
  </si>
  <si>
    <t>Himani Navratna Ayurvedic Oil</t>
  </si>
  <si>
    <t>అముల్ సల్టెడ్ బట్టర్</t>
  </si>
  <si>
    <t>{"visitorId":"BB-DEV-F9Q3L","deviceType":"Desktop","os":"Linux","browser":"Chrome","screenRes":"1836x1032","isTouch":false,"visitCount":1,"firstVisit":"8/19/2026","lastVisit":"01:21 AM","deviceId":"DID-774C08C7"}</t>
  </si>
  <si>
    <t>अमूल नमकीन बटर</t>
  </si>
  <si>
    <t>Parachute Advansed Hot Oil</t>
  </si>
  <si>
    <t>['amul', 'salted', 'butter']</t>
  </si>
  <si>
    <t>Patanjali Kesh Kanti Tel</t>
  </si>
  <si>
    <t>Amul Shrikhand Mango</t>
  </si>
  <si>
    <t>అముల్ శ్రీఖండ్ మెంగో</t>
  </si>
  <si>
    <t>अमूल श्रीखंड मैंगो</t>
  </si>
  <si>
    <t>['shrikhand', 'mango', 'amul']</t>
  </si>
  <si>
    <t>Amul Shrikhand Saffron</t>
  </si>
  <si>
    <t>అముల్ శ్రీఖండ్ కెసర</t>
  </si>
  <si>
    <t>Dabur Amla Jasmine Hair Oil</t>
  </si>
  <si>
    <t>अमूल श्रीखंड केसर</t>
  </si>
  <si>
    <t>['shrikhand', 'saffron', 'kesar', 'amul']</t>
  </si>
  <si>
    <t>main store entrance</t>
  </si>
  <si>
    <t>{"visitorId":"BB-DEV-E8YQT","deviceType":"Desktop","os":"Linux","browser":"Chrome","screenRes":"1836x1032","isTouch":false,"visitCount":1,"firstVisit":"8/19/2026","lastVisit":"01:21 AM","deviceId":"DID-774C08C7"}</t>
  </si>
  <si>
    <t>Keo Karpin Non-Sticky Hair Oil</t>
  </si>
  <si>
    <t>Amul Unsalted Butter</t>
  </si>
  <si>
    <t>అముల్ అన్‌సల్టెడ్ బట్టర్</t>
  </si>
  <si>
    <t>अमूल नमकीन रहित बटर</t>
  </si>
  <si>
    <t>['amul', 'unsalted', 'butter']</t>
  </si>
  <si>
    <t>Dabur Amla Hair Fall Control Hair Oil</t>
  </si>
  <si>
    <t>Anand Banana Chips Salted 400g</t>
  </si>
  <si>
    <t>అనంద బ్యానానా చిప్స్ సల్టెడ్ 400గ్రా</t>
  </si>
  <si>
    <t>अनंद बैनाना चिप्स नमकीन 400ग्राम</t>
  </si>
  <si>
    <t>['anand', 'banana', 'chips', 'salted']</t>
  </si>
  <si>
    <t>Anand Bhog Andhra Murruku 5.99oz</t>
  </si>
  <si>
    <t>అనంద భోగ్ ఆంధ్ర మురుకు 5.99ఔన్స్</t>
  </si>
  <si>
    <t>अनंद भोग आंध्रा मुरुकु 5.99ऑन्स</t>
  </si>
  <si>
    <t>['anand', 'bhog', 'andhra', 'murruku']</t>
  </si>
  <si>
    <t>Anand Bhog Chennai Murukku 200g</t>
  </si>
  <si>
    <t>{"visitorId":"BB-DEV-MKBM7","deviceType":"Desktop","os":"Linux","browser":"Chrome","screenRes":"1836x1032","isTouch":false,"visitCount":4,"firstVisit":"8/19/2026","lastVisit":"01:25 AM","deviceId":"DID-7F786A35"}</t>
  </si>
  <si>
    <t>{"visitorId":"BB-DEV-9TC74","deviceType":"Desktop","os":"Linux","browser":"Chrome","screenRes":"1836x1032","isTouch":false,"visitCount":1,"firstVisit":"8/19/2026","lastVisit":"01:51 AM","deviceId":"DID-774C08C7"}</t>
  </si>
  <si>
    <t>{"visitorId":"BB-DEV-MU39P","deviceType":"Mobile","os":"Android","browser":"Chrome","screenRes":"384x654","isTouch":true,"visitCount":1,"firstVisit":"8/20/2026","lastVisit":"06:50 PM","deviceId":"DID-1764A57E"}</t>
  </si>
  <si>
    <t>{"visitorId":"BB-DEV-840XF","deviceType":"Mobile","os":"iOS","browser":"Safari","screenRes":"430x932","isTouch":true,"visitCount":1,"firstVisit":"8/20/2026","lastVisit":"06:51 PM","deviceId":"DID-37BBF33C"}</t>
  </si>
  <si>
    <t>{"visitorId":"BB-DEV-D3WJ1","deviceType":"Mobile","os":"iOS","browser":"Safari","screenRes":"430x932","isTouch":true,"visitCount":1,"firstVisit":"8/20/2026","lastVisit":"07:14 PM","deviceId":"DID-37BBF33C"}</t>
  </si>
  <si>
    <t>{"visitorId":"BB-DEV-191BG","deviceType":"Mobile","os":"iOS","browser":"Safari","screenRes":"430x932","isTouch":true,"visitCount":1,"firstVisit":"8/20/2026","lastVisit":"07:18 PM","deviceId":"DID-37BBF33C"}</t>
  </si>
  <si>
    <t>{"visitorId":"BB-DEV-OQKLU","deviceType":"Desktop","os":"Windows","browser":"Chrome","screenRes":"1920x1080","isTouch":false,"visitCount":1,"firstVisit":"8/21/2026","lastVisit":"03:40 PM","deviceId":"DID-3B2A9104"}</t>
  </si>
  <si>
    <t>{"visitorId":"BB-DEV-CFR8T","deviceType":"Mobile","os":"iOS","browser":"Safari","screenRes":"430x932","isTouch":true,"visitCount":1,"firstVisit":"8/21/2026","lastVisit":"09:42 PM","deviceId":"DID-37BBF33C"}</t>
  </si>
  <si>
    <t>{"visitorId":"BB-DEV-V9JYF","deviceType":"Mobile","os":"iOS","browser":"Safari","screenRes":"414x896","isTouch":true,"visitCount":1,"firstVisit":"8/21/2026","lastVisit":"09:43 PM","deviceId":"DID-1908D6F8"}</t>
  </si>
  <si>
    <t>{"visitorId":"BB-DEV-7JPAM","deviceType":"Mobile","os":"iOS","browser":"Safari","screenRes":"414x896","isTouch":true,"visitCount":1,"firstVisit":"8/22/2026","lastVisit":"10:36 AM","deviceId":"DID-507134D3"}</t>
  </si>
  <si>
    <t>{"visitorId":"BB-DEV-TTUX4","deviceType":"Desktop","os":"Windows","browser":"Chrome","screenRes":"1239x775","isTouch":false,"visitCount":1,"firstVisit":"8/23/2026","lastVisit":"06:08 PM","deviceId":"DID-2168F760"}</t>
  </si>
  <si>
    <t>Magic Bins Tall Kitchen Bags 13 Gallon</t>
  </si>
  <si>
    <t>{"visitorId":"BB-DEV-RFDLU","deviceType":"Mobile","os":"iOS","browser":"Safari","screenRes":"414x896","isTouch":true,"visitCount":1,"firstVisit":"8/23/2026","lastVisit":"10:02 PM","deviceId":"DID-384587C8"}</t>
  </si>
  <si>
    <t>Rack 42</t>
  </si>
  <si>
    <t>Ayur Herbal Skin Toner &amp; Astringent (Boxes)</t>
  </si>
  <si>
    <t>{"visitorId":"BB-DEV-TOQ1O","deviceType":"Mobile","os":"iOS","browser":"Safari","screenRes":"440x956","isTouch":true,"visitCount":1,"firstVisit":"8/23/2026","lastVisit":"10:02 PM","deviceId":"DID-22521A9B"}</t>
  </si>
  <si>
    <t>Harpic Power Plus 10x Toilet Cleaner</t>
  </si>
  <si>
    <t>{"visitorId":"BB-DEV-P14F4","deviceType":"Desktop","os":"Linux","browser":"Chrome","screenRes":"1835x1032","isTouch":false,"visitCount":1,"firstVisit":"8/30/2026","lastVisit":"11:08 PM","deviceId":"DID-239CB3FA"}</t>
  </si>
  <si>
    <t>toilet bowl cleaner</t>
  </si>
  <si>
    <t>Rack 43</t>
  </si>
  <si>
    <t>Lattafa Perfumed Body Spray</t>
  </si>
  <si>
    <t>{"visitorId":"BB-DEV-70DI6","deviceType":"Desktop","os":"Linux","browser":"Chrome","screenRes":"1836x1032","isTouch":false,"visitCount":1,"firstVisit":"8/30/2026","lastVisit":"11:12 PM","deviceId":"DID-774C08C7"}</t>
  </si>
  <si>
    <t>Enchanteur Perfumed Deo Spray</t>
  </si>
  <si>
    <t>{"visitorId":"BB-DEV-RMSYQ","deviceType":"Desktop","os":"Linux","browser":"Chrome","screenRes":"1835x1032","isTouch":false,"visitCount":1,"firstVisit":"8/30/2026","lastVisit":"11:12 PM","deviceId":"DID-239CB3FA"}</t>
  </si>
  <si>
    <t>Dettol Lather Shaving Cream</t>
  </si>
  <si>
    <t>Rack 44</t>
  </si>
  <si>
    <t>Axe Deodorant Body Spray</t>
  </si>
  <si>
    <t>{"visitorId":"BB-DEV-JBH2N","deviceType":"Mobile","os":"iOS","browser":"Chrome","screenRes":"430x932","isTouch":true,"visitCount":1,"firstVisit":"8/30/2026","lastVisit":"11:59 PM","deviceId":"DID-37BBF33C"}</t>
  </si>
  <si>
    <t>Lattafa Yara Perfume Spray</t>
  </si>
  <si>
    <t>{"visitorId":"BB-DEV-I2VX0","deviceType":"Mobile","os":"iOS","browser":"Safari","screenRes":"430x932","isTouch":true,"visitCount":1,"firstVisit":"8/31/2026","lastVisit":"12:24 AM","deviceId":"DID-37BBF33C"}</t>
  </si>
  <si>
    <t>{"visitorId":"BB-DEV-B481W","deviceType":"Desktop","os":"Unknown OS","browser":"Chrome","screenRes":"800x600","isTouch":false,"visitCount":1,"firstVisit":"9/1/2026","lastVisit":"12:23 PM","deviceId":"DID-6A99A90C"}</t>
  </si>
  <si>
    <t>Rin Detergent Bar</t>
  </si>
  <si>
    <t>{"visitorId":"BB-DEV-8G2WO","deviceType":"Desktop","os":"Windows","browser":"Chrome","screenRes":"1536x864","isTouch":false,"visitCount":1,"firstVisit":"9/9/2026","lastVisit":"06:30 pm","deviceId":"DID-2F83F36B"}</t>
  </si>
  <si>
    <t>Rack 45</t>
  </si>
  <si>
    <t>Ayur Cucumber Face Pack</t>
  </si>
  <si>
    <t>cucumber face pack|ayurvedic face pack</t>
  </si>
  <si>
    <t>Ayur Rose Face Pack</t>
  </si>
  <si>
    <t>{"visitorId":"BB-DEV-6Q4F1","deviceType":"Desktop","os":"Windows","browser":"Chrome","screenRes":"1536x864","isTouch":false,"visitCount":1,"firstVisit":"9/9/2026","lastVisit":"06:37 PM","deviceId":"DID-2F83F36B"}</t>
  </si>
  <si>
    <t>rose face pack|ayurvedic face pack</t>
  </si>
  <si>
    <t>Ayur Neem Face Pack</t>
  </si>
  <si>
    <t>{"visitorId":"BB-DEV-4234D","deviceType":"Desktop","os":"Windows","browser":"Chrome","screenRes":"1536x864","isTouch":false,"visitCount":1,"firstVisit":"9/9/2026","lastVisit":"06:44 PM","deviceId":"DID-2F83F36B"}</t>
  </si>
  <si>
    <t>ayurvedic face pack</t>
  </si>
  <si>
    <t>Ayur Multani Mitti Face Pack</t>
  </si>
  <si>
    <t>{"visitorId":"BB-DEV-0DAW9","deviceType":"Mobile","os":"Android","browser":"Chrome","screenRes":"384x832","isTouch":true,"visitCount":1,"firstVisit":"9/9/2026","lastVisit":"08:10 PM","deviceId":"DID-1BB66925"}</t>
  </si>
  <si>
    <t>Cinthol Lime Soap</t>
  </si>
  <si>
    <t>{"visitorId":"BB-DEV-ZOS46","deviceType":"Mobile","os":"iOS","browser":"Safari","screenRes":"402x874","isTouch":true,"visitCount":1,"firstVisit":"9/9/2026","lastVisit":"08:23 PM","deviceId":"DID-626938F9"}</t>
  </si>
  <si>
    <t>{"visitorId":"BB-DEV-W54X6","deviceType":"Mobile","os":"Android","browser":"Chrome","screenRes":"360x800","isTouch":true,"visitCount":1,"firstVisit":"9/12/2026","lastVisit":"01:06 PM","deviceId":"DID-27AB54D1"}</t>
  </si>
  <si>
    <t>{"visitorId":"BB-DEV-O9GEU","deviceType":"Mobile","os":"Android","browser":"Chrome","screenRes":"360x603","isTouch":true,"visitCount":1,"firstVisit":"9/12/2026","lastVisit":"11:06 AM","deviceId":"DID-75CF105D"}</t>
  </si>
  <si>
    <t>{"visitorId":"BB-DEV-7ER7U","deviceType":"Mobile","os":"iOS","browser":"Safari","screenRes":"393x852","isTouch":true,"visitCount":1,"firstVisit":"9/12/2026","lastVisit":"01:47 PM","deviceId":"DID-5C751D22"}</t>
  </si>
  <si>
    <t>{"visitorId":"BB-DEV-XCZPE","deviceType":"Mobile","os":"iOS","browser":"Chrome","screenRes":"393x852","isTouch":true,"visitCount":1,"firstVisit":"9/12/2026","lastVisit":"02:22 PM","deviceId":"DID-60953E03"}</t>
  </si>
  <si>
    <t>{"visitorId":"BB-DEV-WAEO1","deviceType":"Mobile","os":"iOS","browser":"Safari","screenRes":"320x568","isTouch":true,"visitCount":1,"firstVisit":"9/12/2026","lastVisit":"02:22 PM","deviceId":"DID-5E28EDB6"}</t>
  </si>
  <si>
    <t>{"visitorId":"BB-DEV-NWAYC","deviceType":"Mobile","os":"iOS","browser":"Safari","screenRes":"390x844","isTouch":true,"visitCount":1,"firstVisit":"9/12/2026","lastVisit":"05:15 PM","deviceId":"DID-3E3D03F9"}</t>
  </si>
  <si>
    <t>{"visitorId":"BB-DEV-VB6B4","deviceType":"Mobile","os":"Android","browser":"Chrome","screenRes":"412x892","isTouch":true,"visitCount":1,"firstVisit":"9/12/2026","lastVisit":"07:14 PM","deviceId":"DID-62C7C93E"}</t>
  </si>
  <si>
    <t>{"visitorId":"BB-DEV-V3L5M","deviceType":"Mobile","os":"iOS","browser":"Safari","screenRes":"393x852","isTouch":true,"visitCount":1,"firstVisit":"9/12/2026","lastVisit":"08:59 PM","deviceId":"DID-5C751D22"}</t>
  </si>
  <si>
    <t>{"visitorId":"BB-DEV-EVVND","deviceType":"Mobile","os":"iOS","browser":"Safari","screenRes":"393x852","isTouch":true,"visitCount":1,"firstVisit":"9/12/2026","lastVisit":"09:01 PM","deviceId":"DID-5C751D22"}</t>
  </si>
  <si>
    <t>{"visitorId":"BB-DEV-0H4CG","deviceType":"Mobile","os":"Android","browser":"Chrome","screenRes":"384x832","isTouch":true,"visitCount":1,"firstVisit":"9/12/2026","lastVisit":"09:14 PM","deviceId":"DID-7D2E43DC"}</t>
  </si>
  <si>
    <t>అనంద భోగ్ చెన్నై మురుక్కు 200గ్రా</t>
  </si>
  <si>
    <t>{"visitorId":"BB-DEV-XZUSL","deviceType":"Mobile","os":"Android","browser":"Chrome","screenRes":"360x603","isTouch":true,"visitCount":1,"firstVisit":"9/12/2026","lastVisit":"09:14 PM","deviceId":"DID-5E982577"}</t>
  </si>
  <si>
    <t>अनंद भोग चेन्नई मुरुकु 200ग्राम</t>
  </si>
  <si>
    <t>['anand', 'bhog', 'chennai', 'murukku']</t>
  </si>
  <si>
    <t>{"visitorId":"BB-DEV-IMW72","deviceType":"Mobile","os":"Android","browser":"Chrome","screenRes":"412x919","isTouch":true,"visitCount":1,"firstVisit":"9/13/2026","lastVisit":"10:46 AM","deviceId":"DID-222927AE"}</t>
  </si>
  <si>
    <t>Anand Bhogh Banana Chips 300gm S Snacks</t>
  </si>
  <si>
    <t>అనంద భోఘ్ బ్యానానా చిప్స్ 300గ్రా ఎస్ స్నాక్స్</t>
  </si>
  <si>
    <t>अनंद भोग बैनाना चिप्स 300ग्राम एस स्नैक्स</t>
  </si>
  <si>
    <t>['anand', 'bhogh', 'banana', 'chips', 'snacks']</t>
  </si>
  <si>
    <t>Anand Bhogh Dry Mix Sweets</t>
  </si>
  <si>
    <t>అనంద్ భోగ్ ద్రియ్ మిక్స్ స్వీట్స్</t>
  </si>
  <si>
    <t>{"visitorId":"BB-DEV-LBZ8N","deviceType":"Mobile","os":"iOS","browser":"Safari","screenRes":"390x844","isTouch":true,"visitCount":1,"firstVisit":"9/13/2026","lastVisit":"12:10 PM","deviceId":"DID-5A1F235D"}</t>
  </si>
  <si>
    <t>अनंद भोग ड्राई मिक्स स्वीट्स</t>
  </si>
  <si>
    <t>Cinthol Cool Soap</t>
  </si>
  <si>
    <t>anand bhogh dry mix sweets</t>
  </si>
  <si>
    <t>Anand Bhogh Lightly Salted Banana Chips 300g</t>
  </si>
  <si>
    <t>అనంద్ భోగ్ లైట్లీ సాల్టెడ్ బ్యానానా చిప్స్ 300గ్</t>
  </si>
  <si>
    <t>अनंद भोग लाइटली साल्टेड बैनाना चिप्स 300ग्राम</t>
  </si>
  <si>
    <t>anand bhogh banana chips lightly salted</t>
  </si>
  <si>
    <t>Anand Bhogh Spicy Chakri 200g</t>
  </si>
  <si>
    <t>అనంద్ భోగ్ స్పైసీ చక్రి 200గ్</t>
  </si>
  <si>
    <t>अनंद भोग स्पाइसी चक्री 200ग्राम</t>
  </si>
  <si>
    <t>anand bhogh spicy chakri</t>
  </si>
  <si>
    <t>{"visitorId":"BB-DEV-2GLVY","deviceType":"Mobile","os":"Android","browser":"Chrome","screenRes":"384x824","isTouch":true,"visitCount":1,"firstVisit":"9/13/2026","lastVisit":"02:33 PM","deviceId":"DID-10EC7EA3"}</t>
  </si>
  <si>
    <t>Anand Bhogh Thenkulai 200g</t>
  </si>
  <si>
    <t>అనంద్ భోగ్ తెంకులై 200గ్</t>
  </si>
  <si>
    <t>अनंद भोग ठेंकुलाई 200ग्राम</t>
  </si>
  <si>
    <t>anand bhogh thenkulai</t>
  </si>
  <si>
    <t>Cinthol Original Soap</t>
  </si>
  <si>
    <t>Anand Bhujia</t>
  </si>
  <si>
    <t>అనంద్ భూజియా</t>
  </si>
  <si>
    <t>अनंद भूजिया</t>
  </si>
  <si>
    <t>anand bhujia</t>
  </si>
  <si>
    <t>Snacks &amp; Sweets</t>
  </si>
  <si>
    <t>Anand Bitter Gourd Chips</t>
  </si>
  <si>
    <t>{"visitorId":"BB-DEV-YWC17","deviceType":"Mobile","os":"Android","browser":"Firefox","screenRes":"456x988","isTouch":true,"visitCount":1,"firstVisit":"9/14/2026","lastVisit":"05:56 PM","deviceId":"DID-192FE76B"}</t>
  </si>
  <si>
    <t>అనంద కాకార చిప్స్</t>
  </si>
  <si>
    <t>अनंद बिटर गourd चिप्स</t>
  </si>
  <si>
    <t>['bitter gourd chips', 'anand', 'snacks']</t>
  </si>
  <si>
    <t>Anand Bombay Mixture 400g</t>
  </si>
  <si>
    <t>అనంద బాంబే మిశ్రమం 400గ్రా</t>
  </si>
  <si>
    <t>अनंद बॉम्बे मिश्रण 400ग्रा</t>
  </si>
  <si>
    <t>['bombay mixture', 'anand', 'snacks']</t>
  </si>
  <si>
    <t>Anand Boondi Masala</t>
  </si>
  <si>
    <t>అనంద బూంది మసాలా</t>
  </si>
  <si>
    <t>अनंद बूंदी मसाला</t>
  </si>
  <si>
    <t>{"visitorId":"BB-DEV-0FWB3","deviceType":"Mobile","os":"iOS","browser":"Chrome","screenRes":"390x844","isTouch":true,"visitCount":1,"firstVisit":"9/16/2026","lastVisit":"02:16 PM","deviceId":"DID-5A1F235D"}</t>
  </si>
  <si>
    <t>['boondi masala', 'anand', 'spices']</t>
  </si>
  <si>
    <t>Anand Curd Chilli</t>
  </si>
  <si>
    <t>అనంద పాల చిల్లి</t>
  </si>
  <si>
    <t>अनंद दही चिल्ली</t>
  </si>
  <si>
    <t>['curd chilli', 'anand', 'chutneys']</t>
  </si>
  <si>
    <t>Anand Dry Whole Chilli Wrinkled</t>
  </si>
  <si>
    <t>అనంద ద్రవ్య పూర్తి చిల్లి కుంటలు</t>
  </si>
  <si>
    <t>{"visitorId":"BB-DEV-XYFHN","deviceType":"Mobile","os":"iOS","browser":"Safari","screenRes":"414x896","isTouch":true,"visitCount":1,"firstVisit":"9/17/2026","lastVisit":"07:28 PM","deviceId":"DID-6D0805CD"}</t>
  </si>
  <si>
    <t>अनंद सूखा पूरा चिल्ली कुंटल</t>
  </si>
  <si>
    <t>['dry whole chilli', 'wrinkled chilli', 'anand', 'spices']</t>
  </si>
  <si>
    <t>Anand Frynus Bhindi Cut</t>
  </si>
  <si>
    <t>అనంద్ ఫ్రైనస్ భిండి కట్</t>
  </si>
  <si>
    <t>अनंद फ्रायनस भिंडी कट</t>
  </si>
  <si>
    <t>bhindi, cut, frynus</t>
  </si>
  <si>
    <t>Lifebuoy Total Soap</t>
  </si>
  <si>
    <t>Anand Fryums Star Color</t>
  </si>
  <si>
    <t>అనంద్ ఫ్రైమ్స్ స్టార్ కలర్</t>
  </si>
  <si>
    <t>{"visitorId":"BB-DEV-HW4OM","deviceType":"Mobile","os":"iOS","browser":"Safari","screenRes":"402x874","isTouch":true,"visitCount":1,"firstVisit":"9/19/2026","lastVisit":"01:27 PM","deviceId":"DID-668959DA"}</t>
  </si>
  <si>
    <t>अनंद फ्राईम्स स्टार कलर</t>
  </si>
  <si>
    <t>fryums, star, color</t>
  </si>
  <si>
    <t>Anand Instant Rava Dosa Mix</t>
  </si>
  <si>
    <t>Reshma Turmeric Soap</t>
  </si>
  <si>
    <t>అనంద్ ఇన్‌స్టంట్ రవ దోస మిక్స్</t>
  </si>
  <si>
    <t>अनंद इंस्टेंट रवा डोसा मिक्स</t>
  </si>
  <si>
    <t>rava, dosa, mix</t>
  </si>
  <si>
    <t>Anand Kachori</t>
  </si>
  <si>
    <t>{"visitorId":"BB-DEV-T3S4T","deviceType":"Mobile","os":"iOS","browser":"Safari","screenRes":"440x956","isTouch":true,"visitCount":1,"firstVisit":"9/19/2026","lastVisit":"03:45 PM","deviceId":"DID-22521A9B"}</t>
  </si>
  <si>
    <t>అనంద్ కచోరి</t>
  </si>
  <si>
    <t>अनंद कचोरी</t>
  </si>
  <si>
    <t>kachori</t>
  </si>
  <si>
    <t>haldi|pasupu</t>
  </si>
  <si>
    <t>Anand Kerala Mixture</t>
  </si>
  <si>
    <t>Ayur Herbal Shampoo</t>
  </si>
  <si>
    <t>అనంద్ కేరళ మిక్స్చర్</t>
  </si>
  <si>
    <t>अनंद केरला मिक्सचर</t>
  </si>
  <si>
    <t>kerala, mixture</t>
  </si>
  <si>
    <t>{"visitorId":"BB-DEV-VTHFB","deviceType":"Mobile","os":"iOS","browser":"Safari","screenRes":"414x896","isTouch":true,"visitCount":1,"firstVisit":"9/20/2026","lastVisit":"01:52 PM","deviceId":"DID-2551BD8A"}</t>
  </si>
  <si>
    <t>Anand Muruku Mini</t>
  </si>
  <si>
    <t>249 అనంద మురుకు మీనీ</t>
  </si>
  <si>
    <t>249 आनंद मुरुकु मिनी</t>
  </si>
  <si>
    <t>['muruku', '249 anand', 'mini']</t>
  </si>
  <si>
    <t>Anand Nelakadale Laddu</t>
  </si>
  <si>
    <t>ఆనంద్ నెలకడలే లడ్డు</t>
  </si>
  <si>
    <t>आनंद नेलकडले लड्डू</t>
  </si>
  <si>
    <t>['nelakadale laddu', 'anand laddu']</t>
  </si>
  <si>
    <t>{"visitorId":"BB-DEV-LPX4S","deviceType":"Mobile","os":"iOS","browser":"Chrome","screenRes":"440x956","isTouch":true,"visitCount":1,"firstVisit":"9/20/2026","lastVisit":"04:59 PM","deviceId":"DID-22521A9B"}</t>
  </si>
  <si>
    <t>Anand Nelakadle Chikki Bar</t>
  </si>
  <si>
    <t>ఆనంద్ నెలకడలే చిక్కీ బార్</t>
  </si>
  <si>
    <t>आनंद नेलकडले चिक्की बार</t>
  </si>
  <si>
    <t>['nelakadle chikki bar', 'anand chikki']</t>
  </si>
  <si>
    <t>Anand Pappadam</t>
  </si>
  <si>
    <t>ఆనంద్ పప్పడం</t>
  </si>
  <si>
    <t>आनंद पपडम</t>
  </si>
  <si>
    <t>['pappadam', 'anand pappadam']</t>
  </si>
  <si>
    <t>Anand Peanut Chikki</t>
  </si>
  <si>
    <t>ఆనంద్ పెంట చిక్కీ</t>
  </si>
  <si>
    <t>आनंद पीनट चिक्की</t>
  </si>
  <si>
    <t>['peanut chikki', 'anand peanut chikki']</t>
  </si>
  <si>
    <t>{"visitorId":"BB-DEV-279VP","deviceType":"Mobile","os":"iOS","browser":"Safari","screenRes":"414x896","isTouch":true,"visitCount":1,"firstVisit":"9/21/2026","lastVisit":"09:28 AM","deviceId":"DID-48405E98"}</t>
  </si>
  <si>
    <t>Anand Potato Chips Masala</t>
  </si>
  <si>
    <t>ఆనంద్ పాలకూర చిప్స్ మసాలా</t>
  </si>
  <si>
    <t>आनंद आलू चिप्स मसाला</t>
  </si>
  <si>
    <t>Rack 46</t>
  </si>
  <si>
    <t>['potato chips masala', 'anand potato chips']</t>
  </si>
  <si>
    <t>Meera Herbal Shampoo</t>
  </si>
  <si>
    <t>Anand Ragi Flour Regular</t>
  </si>
  <si>
    <t>ఆనంద్ రాగి మిఠాయి పిండి</t>
  </si>
  <si>
    <t>आनंद रागी आटा रेगुलर</t>
  </si>
  <si>
    <t>['ragi flour', 'anand', 'regular']</t>
  </si>
  <si>
    <t>Anand Sandige Garlic</t>
  </si>
  <si>
    <t>ఆనంద్ సందీగె గార్లిక్</t>
  </si>
  <si>
    <t>Sunsilk Soft &amp; Smooth Shampoo</t>
  </si>
  <si>
    <t>आनंद संदिगे गार्लिक</t>
  </si>
  <si>
    <t>['sandige', 'garlic', 'anand']</t>
  </si>
  <si>
    <t>Anand Sesame Chikki Bar</t>
  </si>
  <si>
    <t>ఆనంద్ తిల చిక్కీ బార్</t>
  </si>
  <si>
    <t>आनंद तिला चिक्की बार</t>
  </si>
  <si>
    <t>Sunsilk Stunning Black Shine Shampoo</t>
  </si>
  <si>
    <t>['sesame', 'chikki', 'bar', 'anand']</t>
  </si>
  <si>
    <t>Anand Sesame Laddu</t>
  </si>
  <si>
    <t>ఆనంద్ తిల లడ్డు</t>
  </si>
  <si>
    <t>आनंद तिला लड्डू</t>
  </si>
  <si>
    <t>['sesame', 'laddu', 'anand']</t>
  </si>
  <si>
    <t>Anand Sev Laddu</t>
  </si>
  <si>
    <t>ఆనంద్ సేవ్ లడ్డు</t>
  </si>
  <si>
    <t>आनंद सेव लड्डू</t>
  </si>
  <si>
    <t>['sev', 'laddu', 'anand']</t>
  </si>
  <si>
    <t>Anand Spicy Mixture Hot</t>
  </si>
  <si>
    <t>అనంద్ స్పైసీ మిక్స్చర్ హాట్</t>
  </si>
  <si>
    <t>अनंद स्पाइसी मिक्सचर हॉट</t>
  </si>
  <si>
    <t>spicy mixture, hot, anand</t>
  </si>
  <si>
    <t>{"visitorId":"BB-DEV-MCWAE","deviceType":"Mobile","os":"iOS","browser":"Safari","screenRes":"430x932","isTouch":true,"visitCount":1,"firstVisit":"9/23/2026","lastVisit":"03:22 PM","deviceId":"DID-37BBF33C"}</t>
  </si>
  <si>
    <t>Anand Spicy Muruku</t>
  </si>
  <si>
    <t>అనంద్ స్పైసీ మురుకు</t>
  </si>
  <si>
    <t>अनंद स्पाइसी मुरुकू</t>
  </si>
  <si>
    <t>['spicy muruku', 'anand muruku']</t>
  </si>
  <si>
    <t>Anar Dana</t>
  </si>
  <si>
    <t>అనార్ దానా</t>
  </si>
  <si>
    <t>अनार दाना</t>
  </si>
  <si>
    <t>anar, dana, pomegranate seeds</t>
  </si>
  <si>
    <t>Ani Rice Vermicelli</t>
  </si>
  <si>
    <t>అని రైస్ వర్మిసెలీ</t>
  </si>
  <si>
    <t>{"visitorId":"BB-DEV-DK9SJ","deviceType":"Mobile","os":"iOS","browser":"Safari","screenRes":"402x874","isTouch":true,"visitCount":1,"firstVisit":"9/24/2026","lastVisit":"09:16 PM","deviceId":"DID-668959DA"}</t>
  </si>
  <si>
    <t>अनि राइस वर्मिसेली</t>
  </si>
  <si>
    <t>rice vermicelli, ani</t>
  </si>
  <si>
    <t>Sunsilk Lusciously Thick &amp; Long Shampoo</t>
  </si>
  <si>
    <t>Anil Lemon Semia</t>
  </si>
  <si>
    <t>అనిల్ లీమన్ సెమియా</t>
  </si>
  <si>
    <t>अनिल लेमन सेमिया</t>
  </si>
  <si>
    <t>lemon semia, anil</t>
  </si>
  <si>
    <t>Anil Ragi Vermicelli</t>
  </si>
  <si>
    <t>అనిల్ రాగి వర్మిసెలీ</t>
  </si>
  <si>
    <t>अनिल रागी वर्मिसेली</t>
  </si>
  <si>
    <t>ragi vermicelli, anil</t>
  </si>
  <si>
    <t>Clinic Plus Strong &amp; Long Shampoo</t>
  </si>
  <si>
    <t>Anil Rice Sevai</t>
  </si>
  <si>
    <t>{"visitorId":"BB-DEV-3XCUT","deviceType":"Mobile","os":"iOS","browser":"Safari","screenRes":"440x956","isTouch":true,"visitCount":1,"firstVisit":"9/26/2026","lastVisit":"08:39 PM","deviceId":"DID-22521A9B"}</t>
  </si>
  <si>
    <t>అనిల్ రైస్ సెవాయి</t>
  </si>
  <si>
    <t>अनिल राइस सेवाई</t>
  </si>
  <si>
    <t>rice sevai, anil rice sevai</t>
  </si>
  <si>
    <t>Anil Roasted Rava</t>
  </si>
  <si>
    <t>అనిల్ రోస్టెడ్ రవా</t>
  </si>
  <si>
    <t>अनिल रोस्टेड रवा</t>
  </si>
  <si>
    <t>roasted rava, anil roasted rava</t>
  </si>
  <si>
    <t>Anil Roasted Vermicelli</t>
  </si>
  <si>
    <t>అనిల్ రోస్టెడ్ వర్మిసెలీ</t>
  </si>
  <si>
    <t>{"visitorId":"BB-DEV-W9J9I","deviceType":"Mobile","os":"iOS","browser":"Safari","screenRes":"414x896","isTouch":true,"visitCount":1,"firstVisit":"9/27/2026","lastVisit":"06:56 PM","deviceId":"DID-1B44AE25"}</t>
  </si>
  <si>
    <t>अनिल रोस्टेड वर्मिसेली</t>
  </si>
  <si>
    <t>Rack 47</t>
  </si>
  <si>
    <t>{"visitorId":"BB-DEV-D6PQW","deviceType":"Desktop","os":"Windows","browser":"Chrome","screenRes":"1920x1080","isTouch":false,"visitCount":1,"firstVisit":"9/28/2026","lastVisit":"10:41 AM","deviceId":"DID-1308E0BA"}</t>
  </si>
  <si>
    <t>Dehraduni Basmati Rice</t>
  </si>
  <si>
    <t>roasted vermicelli, anil roasted vermicelli</t>
  </si>
  <si>
    <t>Dairy, Oils &amp; Ghee</t>
  </si>
  <si>
    <t>Anil Soya Bari</t>
  </si>
  <si>
    <t>అనిల్ సోయా బారి</t>
  </si>
  <si>
    <t>अनिल सोया बारी</t>
  </si>
  <si>
    <t>{"visitorId":"BB-DEV-OMBJ6","deviceType":"Mobile","os":"iOS","browser":"Chrome","screenRes":"393x852","isTouch":true,"visitCount":1,"firstVisit":"9/28/2026","lastVisit":"06:44 PM","deviceId":"DID-2D4A808E"}</t>
  </si>
  <si>
    <t>soya bari, anil soya bari</t>
  </si>
  <si>
    <t>Anil Tamarind Semia</t>
  </si>
  <si>
    <t>అనిల్ తమరింద్ సెమియా</t>
  </si>
  <si>
    <t>अनिल तामरिंद सेमिया</t>
  </si>
  <si>
    <t>tamarind semia, anil tamarind semia</t>
  </si>
  <si>
    <t>Anil Tamrind Semia</t>
  </si>
  <si>
    <t>అనిల్ తమ్రింద్ సెమియా</t>
  </si>
  <si>
    <t>अनिल टम्रिंद सेमिया</t>
  </si>
  <si>
    <t>['tamrind', 'semia']</t>
  </si>
  <si>
    <t>{"visitorId":"BB-DEV-CDX7P","deviceType":"Mobile","os":"iOS","browser":"Chrome","screenRes":"393x852","isTouch":true,"visitCount":1,"firstVisit":"9/28/2026","lastVisit":"08:09 PM","deviceId":"DID-2D4A808E"}</t>
  </si>
  <si>
    <t>Anil Wheat Vermicelli</t>
  </si>
  <si>
    <t>అనిల్ వెట్టర్ వర్మిసెలీ</t>
  </si>
  <si>
    <t>अनिल व्हीट वर्मिसेली</t>
  </si>
  <si>
    <t>['wheat', 'vermicelli']</t>
  </si>
  <si>
    <t>Anjali Silvera Steel</t>
  </si>
  <si>
    <t>అంజలి సిల్వరా స్టీల్</t>
  </si>
  <si>
    <t>अंजलि सिल्वरा स्टील</t>
  </si>
  <si>
    <t>['silvera', 'steel']</t>
  </si>
  <si>
    <t>Annapoorna Biryani</t>
  </si>
  <si>
    <t>{"visitorId":"BB-DEV-VOHS6","deviceType":"Mobile","os":"iOS","browser":"Chrome","screenRes":"393x852","isTouch":true,"visitCount":1,"firstVisit":"9/28/2026","lastVisit":"09:26 PM","deviceId":"DID-2D4A808E"}</t>
  </si>
  <si>
    <t>అన్నపూర్ణ బిర్యానీ</t>
  </si>
  <si>
    <t>अन्नपूर्ण बिरयानी</t>
  </si>
  <si>
    <t>Rack 48</t>
  </si>
  <si>
    <t>['biryani']</t>
  </si>
  <si>
    <t>Annapoorna Chicken 65</t>
  </si>
  <si>
    <t>అన్నపూర్ణ చికెన్ 65</t>
  </si>
  <si>
    <t>अन्नपूर्ण चिकन 65</t>
  </si>
  <si>
    <t>['chicken', '65']</t>
  </si>
  <si>
    <t>Araku Boomi Coffee</t>
  </si>
  <si>
    <t>ఆరకు బూమి కాఫీ</t>
  </si>
  <si>
    <t>आराकू बूमी कॉफी</t>
  </si>
  <si>
    <t>{"visitorId":"BB-DEV-QJZCZ","deviceType":"Mobile","os":"iOS","browser":"Chrome","screenRes":"393x852","isTouch":true,"visitCount":1,"firstVisit":"9/29/2026","lastVisit":"07:35 AM","deviceId":"DID-2D4A808E"}</t>
  </si>
  <si>
    <t>['araku', 'boomi', 'coffee']</t>
  </si>
  <si>
    <t>Sujata Chakki Atta</t>
  </si>
  <si>
    <t>Archi Puliyodhari Rice Powder</t>
  </si>
  <si>
    <t>అర్చి పులియోధరి బియ్యం పొడి</t>
  </si>
  <si>
    <t>अर्चि पुलियोधरी चावल पाउडर</t>
  </si>
  <si>
    <t>['archi', 'puliyodhari', 'rice', 'powder']</t>
  </si>
  <si>
    <t>Asafoetida</t>
  </si>
  <si>
    <t>అసాఫోటీడా</t>
  </si>
  <si>
    <t>असाफ़ेटिडा</t>
  </si>
  <si>
    <t>Aashirvaad Atta with Multigrains</t>
  </si>
  <si>
    <t>Asafoetida, Hing, Spice</t>
  </si>
  <si>
    <t>{"visitorId":"BB-DEV-5SPV1","deviceType":"Mobile","os":"Android","browser":"Chrome","screenRes":"360x780","isTouch":true,"visitCount":1,"firstVisit":"29/09/2026","lastVisit":"19:01","deviceId":"DID-72AC3733"}</t>
  </si>
  <si>
    <t>Atta Biscits</t>
  </si>
  <si>
    <t>అట్ట బిస్కట్స్</t>
  </si>
  <si>
    <t>अट्टा बिस्किट्स</t>
  </si>
  <si>
    <t>['atta', 'biscits']</t>
  </si>
  <si>
    <t>flour</t>
  </si>
  <si>
    <t>Atta Multi Grains Flour</t>
  </si>
  <si>
    <t>అట్ట మల్టీ గ్రేన్స్ అట్ట</t>
  </si>
  <si>
    <t>Harpic Power Plus Toilet Cleaner</t>
  </si>
  <si>
    <t>अट्टा मल्टी ग्रेन्स फ्लोर</t>
  </si>
  <si>
    <t>['atta', 'multi', 'grains', 'flour']</t>
  </si>
  <si>
    <t>Atta Noodles</t>
  </si>
  <si>
    <t>అట్ట నూడుల్స్</t>
  </si>
  <si>
    <t>अट्टा नूडल्स</t>
  </si>
  <si>
    <t>['atta', 'noodles']</t>
  </si>
  <si>
    <t>{"visitorId":"BB-DEV-L2EMG","deviceType":"Desktop","os":"Windows","browser":"Chrome","screenRes":"1280x720","isTouch":false,"visitCount":1,"firstVisit":"9/29/2026","lastVisit":"09:29 PM","deviceId":"DID-535415B3"}</t>
  </si>
  <si>
    <t>Ayur Anti Sun Tan Face Pack</t>
  </si>
  <si>
    <t>ఏయుర్ అంటీ సన్ టాన్ ఫేస్ పాక్</t>
  </si>
  <si>
    <t>एयूर एंटी सन टैन फेस पैक</t>
  </si>
  <si>
    <t>anti sun tan face pack, ayurvedic face pack</t>
  </si>
  <si>
    <t>Ayur Cucumber Face Pack 1</t>
  </si>
  <si>
    <t>ఏయుర్ కుకుమ్బర్ ఫేస్ పాక్ 1</t>
  </si>
  <si>
    <t>एयूर कुकुम्बर फेस पैक 1</t>
  </si>
  <si>
    <t>cucumber face pack, ayurvedic face pack</t>
  </si>
  <si>
    <t>{"visitorId":"BB-DEV-GMZA6","deviceType":"Mobile","os":"iOS","browser":"Chrome","screenRes":"393x852","isTouch":true,"visitCount":1,"firstVisit":"9/29/2026","lastVisit":"10:36 PM","deviceId":"DID-2D4A808E"}</t>
  </si>
  <si>
    <t>Ayur Deep Cleaning</t>
  </si>
  <si>
    <t>ఏయుర్ డీప్ క్లీనింగ్</t>
  </si>
  <si>
    <t>Ziploc Double Zipper Freezer Bags</t>
  </si>
  <si>
    <t>एयूर डीप क्लीनिंग</t>
  </si>
  <si>
    <t>deep cleaning, ayurvedic cleaning</t>
  </si>
  <si>
    <t>ఏయుర్ రోజ్ ఫేస్ పాక్</t>
  </si>
  <si>
    <t>एयूर रोज फेस पैक</t>
  </si>
  <si>
    <t>rose face pack, ayurvedic face pack</t>
  </si>
  <si>
    <t>Ayur Shahi Ubtan Face Pack</t>
  </si>
  <si>
    <t>Vicco Turmeric Skin Cream</t>
  </si>
  <si>
    <t>ఏయర్ షాహి ఉబ్తన్ ఫేస్ పాక్</t>
  </si>
  <si>
    <t>अयुर शाही उब्तान फेस पैक</t>
  </si>
  <si>
    <t>['Ayur Shahi Ubtan', 'Face Pack']</t>
  </si>
  <si>
    <t>{"visitorId":"BB-DEV-7CH25","deviceType":"Desktop","os":"Windows","browser":"Chrome","screenRes":"1280x720","isTouch":false,"visitCount":1,"firstVisit":"9/30/2026","lastVisit":"01:25 PM","deviceId":"DID-22377A09"}</t>
  </si>
  <si>
    <t>Himalaya Purifying Neem Face Wash</t>
  </si>
  <si>
    <t>Baba 120</t>
  </si>
  <si>
    <t>{"visitorId":"BB-DEV-X9UWV","deviceType":"Mobile","os":"iOS","browser":"Chrome","screenRes":"393x852","isTouch":true,"visitCount":1,"firstVisit":"9/30/2026","lastVisit":"01:38 PM","deviceId":"DID-2D4A808E"}</t>
  </si>
  <si>
    <t>బాబా 120</t>
  </si>
  <si>
    <t>बाबा 120</t>
  </si>
  <si>
    <t>baba 120, ayurvedic product</t>
  </si>
  <si>
    <t>Baby Mango</t>
  </si>
  <si>
    <t>బేబీ మాంగో</t>
  </si>
  <si>
    <t>बेबी आम</t>
  </si>
  <si>
    <t>Clinic Plus Strong &amp; Long Health Shampoo</t>
  </si>
  <si>
    <t>['baby mango', 'mango']</t>
  </si>
  <si>
    <t>Badam Coconut</t>
  </si>
  <si>
    <t>{"visitorId":"BB-DEV-OFTLP","deviceType":"Mobile","os":"iOS","browser":"Chrome","screenRes":"393x852","isTouch":true,"visitCount":1,"firstVisit":"9/30/2026","lastVisit":"05:55 PM","deviceId":"DID-2D4A808E"}</t>
  </si>
  <si>
    <t>బాదం కొబ్బరి</t>
  </si>
  <si>
    <t>बादाम नारियल</t>
  </si>
  <si>
    <t>Vatika Naturals Shampoo</t>
  </si>
  <si>
    <t>{"visitorId":"BB-DEV-G9NIT","deviceType":"Mobile","os":"iOS","browser":"Safari","screenRes":"414x896","isTouch":true,"visitCount":1,"firstVisit":"9/30/2026","lastVisit":"07:45 PM","deviceId":"DID-14E20A91"}</t>
  </si>
  <si>
    <t>Aashirvaad Superior MP Atta</t>
  </si>
  <si>
    <t>['badam coconut', 'almond coconut']</t>
  </si>
  <si>
    <t>Badam Drink</t>
  </si>
  <si>
    <t>బాదం డ్రింక్</t>
  </si>
  <si>
    <t>बादाम ड्रिंक</t>
  </si>
  <si>
    <t>['badam drink', 'almond milk']</t>
  </si>
  <si>
    <t>{"visitorId":"BB-DEV-PQS7E","deviceType":"Desktop","os":"Windows","browser":"Chrome","screenRes":"1280x720","isTouch":false,"visitCount":1,"firstVisit":"9/30/2026","lastVisit":"10:34 PM","deviceId":"DID-22377A09"}</t>
  </si>
  <si>
    <t>Badshah Chat Masala</t>
  </si>
  <si>
    <t>బాద్షా చాట్ మసాలా</t>
  </si>
  <si>
    <t>बादशाह चाट मसाला</t>
  </si>
  <si>
    <t>['chat masala', 'badshah chat masala']</t>
  </si>
  <si>
    <t>Bajji Masala Archi</t>
  </si>
  <si>
    <t>బజ్జి మసాలా అర్చి</t>
  </si>
  <si>
    <t>बज्जी मसाला अर्ची</t>
  </si>
  <si>
    <t>['bajji masala', 'fritter spice']</t>
  </si>
  <si>
    <t>{"visitorId":"BB-DEV-F969J","deviceType":"Desktop","os":"Windows","browser":"Chrome","screenRes":"1280x720","isTouch":false,"visitCount":1,"firstVisit":"10/1/2026","lastVisit":"09:53 AM","deviceId":"DID-22377A09"}</t>
  </si>
  <si>
    <t>Bajra Roti</t>
  </si>
  <si>
    <t>Royal Basmati Rice</t>
  </si>
  <si>
    <t>బాజ్రా రొట్టి</t>
  </si>
  <si>
    <t>बाजरा रोटी</t>
  </si>
  <si>
    <t>['bajra roti', 'pearl millet roti']</t>
  </si>
  <si>
    <t>Bajri Flour</t>
  </si>
  <si>
    <t>బాజ్రీ ఫ్లౌర్</t>
  </si>
  <si>
    <t>बाजरी आटा</t>
  </si>
  <si>
    <t>['bajri flour', 'pearl millet flour']</t>
  </si>
  <si>
    <t>Mother's Recipe Paneer Tikka Masala Ready-To-Cook</t>
  </si>
  <si>
    <t>Ready to Eat &amp; Instant</t>
  </si>
  <si>
    <t>Rasoi Magic Paneer Bhurji Spice Mix</t>
  </si>
  <si>
    <t>Rasoi Magic Misal Rassa Spice Mix</t>
  </si>
  <si>
    <t>Rasoi Magic Veg Specials Chicken Curry Spice Mix</t>
  </si>
  <si>
    <t>Jawari Peanut Chutney Powder</t>
  </si>
  <si>
    <t>groundnuts</t>
  </si>
  <si>
    <t>Sauces &amp; Pastes</t>
  </si>
  <si>
    <t>Jawari Flax Seed Chutney Powder</t>
  </si>
  <si>
    <t>Bajri Khakhara</t>
  </si>
  <si>
    <t>Shan Chicken Broast Mix</t>
  </si>
  <si>
    <t>బజ్రి ఖఖరా</t>
  </si>
  <si>
    <t>बाजरी खाखरा</t>
  </si>
  <si>
    <t>['bajri khakhara', 'pearl millet biscuit']</t>
  </si>
  <si>
    <t>Baked Potato Samosa</t>
  </si>
  <si>
    <t>బేక్ చేసిన బఠానీ సమోసా</t>
  </si>
  <si>
    <t>बेक किए हुए आलू समोसा</t>
  </si>
  <si>
    <t>['baked samosa', 'potato samosa', 'snack']</t>
  </si>
  <si>
    <t>Bambino Roasted Vermicelli</t>
  </si>
  <si>
    <t>బాంబినో రోస్టెడ్ వెర్మిసెలీ</t>
  </si>
  <si>
    <t>बाम्बिनो रोस्टेड वर्मिसेली</t>
  </si>
  <si>
    <t>['bambino vermicelli', 'roasted vermicelli']</t>
  </si>
  <si>
    <t>Bambino Vermicelli</t>
  </si>
  <si>
    <t>బాంబినో వెర్మిసెలీ</t>
  </si>
  <si>
    <t>बाम्बिनो वर्मिसेली</t>
  </si>
  <si>
    <t>chicken tikka mix|tikka chicken mix|marinade for chicken</t>
  </si>
  <si>
    <t>['bambino vermicelli', 'vermicelli']</t>
  </si>
  <si>
    <t>Shan Chicken Masala Mix</t>
  </si>
  <si>
    <t>Banana</t>
  </si>
  <si>
    <t>బనాన</t>
  </si>
  <si>
    <t>बनाना</t>
  </si>
  <si>
    <t>banana</t>
  </si>
  <si>
    <t>Pickles, Sauces &amp; Instant</t>
  </si>
  <si>
    <t>Shan Bihari Kabab Mix</t>
  </si>
  <si>
    <t>Banana Chips</t>
  </si>
  <si>
    <t>బనాన చిప్స్</t>
  </si>
  <si>
    <t>बनाना चिप्स</t>
  </si>
  <si>
    <t>banana, chips</t>
  </si>
  <si>
    <t>kebabs</t>
  </si>
  <si>
    <t>Banne Nawab</t>
  </si>
  <si>
    <t>బన్నే నవాబ్</t>
  </si>
  <si>
    <t>बन्ने नवाब</t>
  </si>
  <si>
    <t>Shan Biryani Masala</t>
  </si>
  <si>
    <t>['Banne Nawab', 'Indian Spice Mix']</t>
  </si>
  <si>
    <t>Banne Nawab Vegetable Khorma</t>
  </si>
  <si>
    <t>బన్నే నవాబ్ వెజిటబుల్ ఖోర్మా</t>
  </si>
  <si>
    <t>बन्ने नवाब वेजिटेबल खोरमा</t>
  </si>
  <si>
    <t>['Banne Nawab', 'Vegetable Khorma']</t>
  </si>
  <si>
    <t>mutton rice|indian rice dish</t>
  </si>
  <si>
    <t>Banne Nawab's Mutton Curry Masala</t>
  </si>
  <si>
    <t>Patak's Sweet Mango Chutney</t>
  </si>
  <si>
    <t>బన్నే నవాబ్స్ మటన్ కరీ మసాలా</t>
  </si>
  <si>
    <t>बन्ने नवाब्स के मटन करी मसाला</t>
  </si>
  <si>
    <t>['Banne Nawab', 'Mutton Curry Masala']</t>
  </si>
  <si>
    <t>Bansi Chora Vadi</t>
  </si>
  <si>
    <t>బాన్సీ చోర వాడి</t>
  </si>
  <si>
    <t>बांसी चोरा वड़ी</t>
  </si>
  <si>
    <t>Pickles &amp; Chutneys</t>
  </si>
  <si>
    <t>['Bansi Chora Vadi', 'Indian Snack']</t>
  </si>
  <si>
    <t>Shan Aaloo Bhaji Mix</t>
  </si>
  <si>
    <t>Bansi Fry Me Wheel</t>
  </si>
  <si>
    <t>బాంసి ఫ్రై మీ వీల్</t>
  </si>
  <si>
    <t>बांसी फ्राई मी व्हील</t>
  </si>
  <si>
    <t>['bansi', 'fry', 'me', 'wheel']</t>
  </si>
  <si>
    <t>Bansi Idli Rice 10 lb</t>
  </si>
  <si>
    <t>బాన్సీ ఇడ్లీ బియ్యం 10 లీబర్స్</t>
  </si>
  <si>
    <t>बांसी इडली चावल 10 पाउंड</t>
  </si>
  <si>
    <t>Shan Achar Gosht Mix</t>
  </si>
  <si>
    <t>['Bansi Idli Rice', 'Indian Rice']</t>
  </si>
  <si>
    <t>Bansi Kolhapuri Murmura</t>
  </si>
  <si>
    <t>బాన్సి కోలాపూర్ ముర్ముర</t>
  </si>
  <si>
    <t>बांसी कोल्हापुरी मुरमुरा</t>
  </si>
  <si>
    <t>['kolhapuri murmura', 'bansi murmura']</t>
  </si>
  <si>
    <t>Bansi Moong Vadi</t>
  </si>
  <si>
    <t>బాన్సి మొంగ్ వాడి</t>
  </si>
  <si>
    <t>MDH Chunky Chat Masala</t>
  </si>
  <si>
    <t>बांसी मूंग वड़ी</t>
  </si>
  <si>
    <t>['moong vadi', 'bansi vadi']</t>
  </si>
  <si>
    <t>Bansi Murmura</t>
  </si>
  <si>
    <t>బాన్సి ముర్ముర</t>
  </si>
  <si>
    <t>बांसी मुरमुरा</t>
  </si>
  <si>
    <t>['bansi murmura', 'murmura']</t>
  </si>
  <si>
    <t>spices</t>
  </si>
  <si>
    <t>Bansi Phool Makhana</t>
  </si>
  <si>
    <t>MDH Curry Masala for Chicken</t>
  </si>
  <si>
    <t>బాన్సి ఫూల్ మఖానా</t>
  </si>
  <si>
    <t>बांसी फूल मखाना</t>
  </si>
  <si>
    <t>['phool makhana', 'bansi makhana']</t>
  </si>
  <si>
    <t>Bansi Poha Thick 4lb</t>
  </si>
  <si>
    <t>బాన్సి పోహా బాగా బరువు 4 లీబర్లు</t>
  </si>
  <si>
    <t>बांसी पोहा मोटा 4 पाउंड</t>
  </si>
  <si>
    <t>['thick poha', 'bansi poha']</t>
  </si>
  <si>
    <t>MDH Chana Masala</t>
  </si>
  <si>
    <t>Bansi Rajgira Ladoo</t>
  </si>
  <si>
    <t>బాన్సి రాజ్గిరా లాడూ</t>
  </si>
  <si>
    <t>बांसी राजगीरा लड्डू</t>
  </si>
  <si>
    <t>rajgira ladoo, bansi ladoo</t>
  </si>
  <si>
    <t>chickpea|chickpeas</t>
  </si>
  <si>
    <t>Bansi Sev Batata Puri Kit</t>
  </si>
  <si>
    <t>Dals &amp; Pulses</t>
  </si>
  <si>
    <t>బాన్సి సేవ్ బటాటా పురి కిట్</t>
  </si>
  <si>
    <t>बांसी सेव बटाटा पूरी किट</t>
  </si>
  <si>
    <t>MDH Chutney Podina Masala</t>
  </si>
  <si>
    <t>sev batata puri, bansi kit</t>
  </si>
  <si>
    <t>Bansi Sona Massori</t>
  </si>
  <si>
    <t>బాన్సి సోనా మసోరి</t>
  </si>
  <si>
    <t>बांसी सोना मसूरी</t>
  </si>
  <si>
    <t>sona massori, bansi massori</t>
  </si>
  <si>
    <t>Barar's Paneer</t>
  </si>
  <si>
    <t>MDH Baingan Bharta Masala</t>
  </si>
  <si>
    <t>బారార్స్ పానీర్</t>
  </si>
  <si>
    <t>बारार्स पनीर</t>
  </si>
  <si>
    <t>paneer, barar's paneer</t>
  </si>
  <si>
    <t>Barley Flour</t>
  </si>
  <si>
    <t>బార్లీ ఫ్లౌర్</t>
  </si>
  <si>
    <t>बार्ली फ्लोर</t>
  </si>
  <si>
    <t>barley flour</t>
  </si>
  <si>
    <t>MDH Curry Masala for Butter Chicken</t>
  </si>
  <si>
    <t>Barnyard Millet</t>
  </si>
  <si>
    <t>బార్న్యార్డ్ మిల్లెట్</t>
  </si>
  <si>
    <t>बार्नयार्ड मिलेट</t>
  </si>
  <si>
    <t>['barnyard millet', 'millets', 'healthy grains']</t>
  </si>
  <si>
    <t>Basmati Rice (10 lbs)</t>
  </si>
  <si>
    <t>బాస్మతి చారు</t>
  </si>
  <si>
    <t>बासमती चावल</t>
  </si>
  <si>
    <t>['basmati rice', 'long grain rice', 'indian rice']</t>
  </si>
  <si>
    <t>MDH Bombay Biryani Masala</t>
  </si>
  <si>
    <t>Batata Vada</t>
  </si>
  <si>
    <t>బటాటా వడ</t>
  </si>
  <si>
    <t>बटाटा वड़ा</t>
  </si>
  <si>
    <t>['batata vada', 'potato vada', 'indian street food']</t>
  </si>
  <si>
    <t>spice</t>
  </si>
  <si>
    <t>BBQ Sticks</t>
  </si>
  <si>
    <t>బిబీక్యూ స్టిక్స్</t>
  </si>
  <si>
    <t>MDH Arhar Dal Masala</t>
  </si>
  <si>
    <t>बीबीक्यू स्टिक्स</t>
  </si>
  <si>
    <t>bbq sticks, barbecue sticks</t>
  </si>
  <si>
    <t>Beacon Sparklers 20/5 Pcs</t>
  </si>
  <si>
    <t>బీకాన్ స్పార్క్లర్స్ 20/5 పీసీఎస్</t>
  </si>
  <si>
    <t>बी कैन स्पार्कलर्स 20/5 पीसी</t>
  </si>
  <si>
    <t>beacon sparklers, sparklers, fireworks</t>
  </si>
  <si>
    <t>Beater</t>
  </si>
  <si>
    <t>MDH Amchur Powder</t>
  </si>
  <si>
    <t>బీటర్</t>
  </si>
  <si>
    <t>बीटर</t>
  </si>
  <si>
    <t>beater, electric beater</t>
  </si>
  <si>
    <t>Tea &amp; Beverages</t>
  </si>
  <si>
    <t>Bedekar Golden Chiwda</t>
  </si>
  <si>
    <t>rice</t>
  </si>
  <si>
    <t>బెడెకర్ గోల్డెన్ చివ్వడ</t>
  </si>
  <si>
    <t>MDH Achari Gosht Masala</t>
  </si>
  <si>
    <t>बेडेकार गोल्डन चिवड़ा</t>
  </si>
  <si>
    <t>bedekar golden chiwda, chiwda</t>
  </si>
  <si>
    <t>Bedekar Green Chilli Pickle</t>
  </si>
  <si>
    <t>బెడెకర్ పచ్చిమిరి ఆచార్</t>
  </si>
  <si>
    <t>बेडेकार हरी मिर्च अचार</t>
  </si>
  <si>
    <t>bedekar green chilli pickle, green chilli pickle</t>
  </si>
  <si>
    <t>MDH Achari Aloo Masala</t>
  </si>
  <si>
    <t>Bedekar Mango Lime Pickle</t>
  </si>
  <si>
    <t>బెడెకార్ మాంగో లైమ్ పిక్కిల్</t>
  </si>
  <si>
    <t>बेडेकार मैंगो लाइम पिक्कल</t>
  </si>
  <si>
    <t>mango lime pickle, bedekar pickle</t>
  </si>
  <si>
    <t>Bedekar Mixed Pickle</t>
  </si>
  <si>
    <t>బెడెకార్ మిశ్రమ పిక్కిల్</t>
  </si>
  <si>
    <t>बेडेकार मिश्रित पिक्कल</t>
  </si>
  <si>
    <t>mixed pickle, bedekar pickle</t>
  </si>
  <si>
    <t>MDH Achari Chicken Masala</t>
  </si>
  <si>
    <t>Bedekar Pickle</t>
  </si>
  <si>
    <t>బెడెకార్ పిక్కిల్</t>
  </si>
  <si>
    <t>बेडेकार पिक्कल</t>
  </si>
  <si>
    <t>chicken curry|chicken tikka masala</t>
  </si>
  <si>
    <t>bedekar pickle</t>
  </si>
  <si>
    <t>MDH Anardana Powder</t>
  </si>
  <si>
    <t>Bedekar Spical Chawda</t>
  </si>
  <si>
    <t>బెడెకార్ స్పికల్ చావ్డా</t>
  </si>
  <si>
    <t>बेडेकार स्पिकल चावड़ा</t>
  </si>
  <si>
    <t>spical chawda, bedekar pickle</t>
  </si>
  <si>
    <t>Bengal Gram Lentil</t>
  </si>
  <si>
    <t>బెంగాల్ గ్రామ్ లెంటిల్</t>
  </si>
  <si>
    <t>बंगाल ग्राम लेंटिल</t>
  </si>
  <si>
    <t>['bengal gram lentil', 'chickpea lentil']</t>
  </si>
  <si>
    <t>777 Tandoori Chicken Masala</t>
  </si>
  <si>
    <t>Bengali Sweets</t>
  </si>
  <si>
    <t>బెంగాలీ మీట్లు</t>
  </si>
  <si>
    <t>बंगाली मिठाई</t>
  </si>
  <si>
    <t>bengali sweets</t>
  </si>
  <si>
    <t>Ber</t>
  </si>
  <si>
    <t>బెర్</t>
  </si>
  <si>
    <t>बेर</t>
  </si>
  <si>
    <t>777 Madras Sambar Powder</t>
  </si>
  <si>
    <t>['ber', 'berry']</t>
  </si>
  <si>
    <t>Berry Fantasy</t>
  </si>
  <si>
    <t>బెర్రీ ఫ్యాంటసీ</t>
  </si>
  <si>
    <t>बेरी फैंटेसी</t>
  </si>
  <si>
    <t>['berry', 'fantasy']</t>
  </si>
  <si>
    <t>madras mix|spice mix</t>
  </si>
  <si>
    <t>besan</t>
  </si>
  <si>
    <t>బెసన్</t>
  </si>
  <si>
    <t>777 Madras Rasam Powder</t>
  </si>
  <si>
    <t>बेसन</t>
  </si>
  <si>
    <t>['gram flour', 'chickpea flour']</t>
  </si>
  <si>
    <t>Best Bakery Almond Cookies</t>
  </si>
  <si>
    <t>బెస్ట్ బేకరీ ఆల్మండ్ కుక్కీలు</t>
  </si>
  <si>
    <t>बेस्ट बेकरी अल्मंड कुकीज़</t>
  </si>
  <si>
    <t>['almond', 'cookies']</t>
  </si>
  <si>
    <t>777 Instant Puliyodharai Mix</t>
  </si>
  <si>
    <t>Bhagwati's Patra Vagar</t>
  </si>
  <si>
    <t>భగవతీస్ పట్ర వగర్</t>
  </si>
  <si>
    <t>भगवाती का पत्र वागर</t>
  </si>
  <si>
    <t>['patra', 'vagar']</t>
  </si>
  <si>
    <t>Bhagwati's Sandwich Dhokla</t>
  </si>
  <si>
    <t>భగవతీస్ సాండ్విచ్ ధోక్లా</t>
  </si>
  <si>
    <t>rice|powder</t>
  </si>
  <si>
    <t>भगवाती का सैंडविच धोकला</t>
  </si>
  <si>
    <t>['sandwich', 'dhokla']</t>
  </si>
  <si>
    <t>777 Idly Chilly Chutney Powder</t>
  </si>
  <si>
    <t>Bhagwati's Surti Khaman</t>
  </si>
  <si>
    <t>భాగవతి సర్తి ఖమాన్</t>
  </si>
  <si>
    <t>भागवती की सर्ती खमन</t>
  </si>
  <si>
    <t>['khaman', 'gujarati', 'snack']</t>
  </si>
  <si>
    <t>Bhakri</t>
  </si>
  <si>
    <t>భక్రి</t>
  </si>
  <si>
    <t>भाकरी</t>
  </si>
  <si>
    <t>['flatbread', 'indian']</t>
  </si>
  <si>
    <t>Bhakri Chili</t>
  </si>
  <si>
    <t>భక్రి చిలీ</t>
  </si>
  <si>
    <t>भाकरी चिली</t>
  </si>
  <si>
    <t>['chili', 'spicy', 'bhakri']</t>
  </si>
  <si>
    <t>Bhakri Jeera</t>
  </si>
  <si>
    <t>భక్రి జీరా</t>
  </si>
  <si>
    <t>777 Special Egg Curry Masala</t>
  </si>
  <si>
    <t>भाकरी जीरा</t>
  </si>
  <si>
    <t>['jeera', 'cumin', 'bhakri']</t>
  </si>
  <si>
    <t>Bhatura</t>
  </si>
  <si>
    <t>భటూరా</t>
  </si>
  <si>
    <t>भटूरा</t>
  </si>
  <si>
    <t>['fried', 'bread', 'indian']</t>
  </si>
  <si>
    <t>777 Madras Chicken 65 Masala</t>
  </si>
  <si>
    <t>777 Biryani Pulav Masala</t>
  </si>
  <si>
    <t>National Mutton Biryani Masala</t>
  </si>
  <si>
    <t>mutton curry masala</t>
  </si>
  <si>
    <t>National Biryani Masala</t>
  </si>
  <si>
    <t>Laxmi Black Pepper Powder</t>
  </si>
  <si>
    <t>Bhatura Bulk</t>
  </si>
  <si>
    <t>భటురా బ్యాచ్</t>
  </si>
  <si>
    <t>भटूरा बुल्क</t>
  </si>
  <si>
    <t>['bhatura', 'bulk']</t>
  </si>
  <si>
    <t>Bhature Ka Atta</t>
  </si>
  <si>
    <t>భటూర్ కా అట్టా</t>
  </si>
  <si>
    <t>भटूरे का आटा</t>
  </si>
  <si>
    <t>['bhature', 'atta']</t>
  </si>
  <si>
    <t>Bhindi</t>
  </si>
  <si>
    <t>భిండి</t>
  </si>
  <si>
    <t>भिंडी</t>
  </si>
  <si>
    <t>['bhindi']</t>
  </si>
  <si>
    <t>Bhindi Whole</t>
  </si>
  <si>
    <t>భిండి పూర్తి</t>
  </si>
  <si>
    <t>भिंडी पूरी</t>
  </si>
  <si>
    <t>['bhindi', 'whole']</t>
  </si>
  <si>
    <t>Bhuji Plain Haldi</t>
  </si>
  <si>
    <t>భూజి ప్లేన్ హల్డి</t>
  </si>
  <si>
    <t>भूजी प्लेन हल्दी</t>
  </si>
  <si>
    <t>['bhuji', 'haldi']</t>
  </si>
  <si>
    <t>Bhujia</t>
  </si>
  <si>
    <t>భూజియా</t>
  </si>
  <si>
    <t>भूजिया</t>
  </si>
  <si>
    <t>['bhujia', 'snack']</t>
  </si>
  <si>
    <t>Big Eggplant</t>
  </si>
  <si>
    <t>పెద్ద బఠానీ</t>
  </si>
  <si>
    <t>बड़ा अंडा बैंगन</t>
  </si>
  <si>
    <t>['eggplant', 'big', 'vegetable']</t>
  </si>
  <si>
    <t>Query</t>
  </si>
  <si>
    <t>Bikano Aloo Bhuja</t>
  </si>
  <si>
    <t>బికానో ఆలూ భూజా</t>
  </si>
  <si>
    <t>बिकानो आलू भुजा</t>
  </si>
  <si>
    <t>['bikano', 'aloo bhuja', 'snacks']</t>
  </si>
  <si>
    <t>Birds Custard Powder</t>
  </si>
  <si>
    <t>పక్షుల కస్టర్డ్ పావడర్</t>
  </si>
  <si>
    <t>पक्षियों का कस्टर्ड पाउडर</t>
  </si>
  <si>
    <t>Swad Black Pepper Coarse</t>
  </si>
  <si>
    <t>['custard', 'powder', 'baking']</t>
  </si>
  <si>
    <t>Biryani</t>
  </si>
  <si>
    <t>బిర్యానీ</t>
  </si>
  <si>
    <t>बिरयानी</t>
  </si>
  <si>
    <t>['indian rice dish', 'mixed rice']</t>
  </si>
  <si>
    <t>Biryani Masala</t>
  </si>
  <si>
    <t>బిర్యానీ మసాలా</t>
  </si>
  <si>
    <t>Aara White Pepper Whole</t>
  </si>
  <si>
    <t>बिरयानी मसाला</t>
  </si>
  <si>
    <t>['biryani', 'masala', 'spice']</t>
  </si>
  <si>
    <t>Personal Care &amp; Household</t>
  </si>
  <si>
    <t>curd milk | deviceId=DID-4A1B2C3D | https://bharathbazar.local/?deviceId=DID-4A1B2C3D</t>
  </si>
  <si>
    <t>Bitta Misal</t>
  </si>
  <si>
    <t>Laxmi Star Anise Seeds</t>
  </si>
  <si>
    <t>బిట్టా మిసల్</t>
  </si>
  <si>
    <t>बिट्टा मिसाल</t>
  </si>
  <si>
    <t>['indian street food', 'curried sprouts']</t>
  </si>
  <si>
    <t>Black Beans</t>
  </si>
  <si>
    <t>నల్ల మొక్కజొన్న</t>
  </si>
  <si>
    <t>काले मूंग</t>
  </si>
  <si>
    <t>chiya bij|chiya beeja</t>
  </si>
  <si>
    <t>['legumes', 'beans']</t>
  </si>
  <si>
    <t>Laxmi Ajwain Seeds</t>
  </si>
  <si>
    <t>Black Bourbon</t>
  </si>
  <si>
    <t>నల్ల బౌర్బాన్</t>
  </si>
  <si>
    <t>काला बोरबॉन</t>
  </si>
  <si>
    <t>['whiskey', 'spirits']</t>
  </si>
  <si>
    <t>yogurt | deviceId=DID-48F45744 | https://bharathbazar.local/?deviceId=DID-48F45744</t>
  </si>
  <si>
    <t>Black Salt</t>
  </si>
  <si>
    <t>నల్ల పసుపు</t>
  </si>
  <si>
    <t>carom seeds</t>
  </si>
  <si>
    <t>काला नमक</t>
  </si>
  <si>
    <t>['seasoning salt', 'kala namak']</t>
  </si>
  <si>
    <t>Laxmi Amchur Powder</t>
  </si>
  <si>
    <t>Black Urad Whole</t>
  </si>
  <si>
    <t>బ్లాక్ ఉరాడ్ వ్హోల్</t>
  </si>
  <si>
    <t>काला उरद पूरा</t>
  </si>
  <si>
    <t>['black urad whole', 'urad dal whole']</t>
  </si>
  <si>
    <t>Blanded Almond</t>
  </si>
  <si>
    <t>honey | deviceId=DID-48F45744 | https://bharathbazar.local/?deviceId=DID-48F45744</t>
  </si>
  <si>
    <t>బ్లాండెడ్ అల్మండ్</t>
  </si>
  <si>
    <t>ब्लैंडेड बादाम</t>
  </si>
  <si>
    <t>['blanded almond', 'almond']</t>
  </si>
  <si>
    <t>Blossom Hill Clover Honey</t>
  </si>
  <si>
    <t>బ్లాసమ్ హిల్ క్లోవర్ హనీ</t>
  </si>
  <si>
    <t>ब्लॉससम हिल क्लॉवर हनी</t>
  </si>
  <si>
    <t>['blossom hill clover honey', 'clover honey']</t>
  </si>
  <si>
    <t>Bombay Kitchen Achari Kitchen</t>
  </si>
  <si>
    <t>బాంబే కుటీర అచారి కుటీర</t>
  </si>
  <si>
    <t>बॉम्बे किचन अचारी किचन</t>
  </si>
  <si>
    <t>machin | deviceId=DID-48F45744 | https://bharathbazar.local/?deviceId=DID-48F45744</t>
  </si>
  <si>
    <t>['bombay kitchen achari kitchen', 'achari masala']</t>
  </si>
  <si>
    <t>Bombay Kitchen Chicken 65</t>
  </si>
  <si>
    <t>బాంబే కుటీర చికెన్ 65</t>
  </si>
  <si>
    <t>बॉम्बे किचन चिकन 65</t>
  </si>
  <si>
    <t>['bombay kitchen chicken 65', 'chicken 65']</t>
  </si>
  <si>
    <t>Bombay Kitchen Chicken Biryani</t>
  </si>
  <si>
    <t>బాంబే కుక్కు చికెన్ బిర్యానీ</t>
  </si>
  <si>
    <t>Swad Anardana Powder</t>
  </si>
  <si>
    <t>बॉम्बे किचन चिकन बिरयानी</t>
  </si>
  <si>
    <t>['chicken biryani', 'bombay kitchen', 'indian food']</t>
  </si>
  <si>
    <t>Bombay Kitchen Chicken Chettinad</t>
  </si>
  <si>
    <t>బాంబే కుక్కు చికెన్ చెట్టినాడ్</t>
  </si>
  <si>
    <t>machine | deviceId=DID-48F45744 | https://bharathbazar.local/?deviceId=DID-48F45744</t>
  </si>
  <si>
    <t>बॉम्बे किचन चिकन चेट्टीनाड</t>
  </si>
  <si>
    <t>['chicken chettinad', 'indian spices', 'south indian']</t>
  </si>
  <si>
    <t>Bombay Kitchen Chicken Kabab</t>
  </si>
  <si>
    <t>బాంబే కుక్కు చికెన్ కబాబ్</t>
  </si>
  <si>
    <t>Deep Pani Puri Golgappa</t>
  </si>
  <si>
    <t>बॉम्बे किचन चिकन कबाब</t>
  </si>
  <si>
    <t>['chicken kabab', 'indian street food', 'kebabs']</t>
  </si>
  <si>
    <t>Bombay Kitchen Chicken Korma</t>
  </si>
  <si>
    <t>బాంబే కుక్కు చికెన్ కోర్మా</t>
  </si>
  <si>
    <t>pav | deviceId=DID-48F45744 | https://bharathbazar.local/?deviceId=DID-48F45744</t>
  </si>
  <si>
    <t>बॉम्बे किचन चिकन कोरमा</t>
  </si>
  <si>
    <t>Snacks &amp; Namkeen</t>
  </si>
  <si>
    <t>['chicken korma', 'mughlai cuisine', 'indian curries']</t>
  </si>
  <si>
    <t>Haldiram's Pani Puri Kit</t>
  </si>
  <si>
    <t>Bombay Kitchen Chicken Makhani</t>
  </si>
  <si>
    <t>బాంబే కుక్కు చికెన్ మఖనీ</t>
  </si>
  <si>
    <t>बॉम्बे किचन चिकन मखनी</t>
  </si>
  <si>
    <t>['chicken makhani', 'butter chicken', 'indian restaurant']</t>
  </si>
  <si>
    <t>Bombay Kitchen Chicken Samosa</t>
  </si>
  <si>
    <t>pav | deviceId=DID-37BBF33C</t>
  </si>
  <si>
    <t>బాంబే కుక్కు చికెన్ సమోసా</t>
  </si>
  <si>
    <t>puchka masala|golgappas spice</t>
  </si>
  <si>
    <t>बॉम्बे किचन चिकन समोसा</t>
  </si>
  <si>
    <t>['chicken samosa', 'bombay kitchen']</t>
  </si>
  <si>
    <t>Shana Pani Puri Shells</t>
  </si>
  <si>
    <t>Bombay Kitchen Chicken Tikka Masala</t>
  </si>
  <si>
    <t>బాంబే కుక్కు చికెన్ టిక్కా మసాలా</t>
  </si>
  <si>
    <t>बॉम्बे किचन चिकन टिक्का मसाला</t>
  </si>
  <si>
    <t>['chicken tikka masala', 'bombay kitchen']</t>
  </si>
  <si>
    <t>Bombay Kitchen Kadai Chicken</t>
  </si>
  <si>
    <t>బాంబే కుక్కు కడాయి చికెన్</t>
  </si>
  <si>
    <t>avakaya | deviceId=DID-37BBF33C</t>
  </si>
  <si>
    <t>बॉम्बे किचन कढाई चिकन</t>
  </si>
  <si>
    <t>['kadai chicken', 'bombay kitchen']</t>
  </si>
  <si>
    <t>Rubicon Mango Juice Drink</t>
  </si>
  <si>
    <t>Bombay Kitchen Lamb Biryani</t>
  </si>
  <si>
    <t>బాంబే కుక్కు మేక బిర్యానీ</t>
  </si>
  <si>
    <t>बॉम्बे किचन लैम्ब बिरयानी</t>
  </si>
  <si>
    <t>['lamb biryani', 'bombay kitchen']</t>
  </si>
  <si>
    <t>Bombay Kitchen Spicy Punjabi Mix 10oz</t>
  </si>
  <si>
    <t>బాంబే కుక్కు వేడి పంజాబీ మిశ్రమం 10oz</t>
  </si>
  <si>
    <t>बॉम्बे किचन मिर्ची पंजाबी मिश्रण 10oz</t>
  </si>
  <si>
    <t>garlic | deviceId=DID-37BBF33C</t>
  </si>
  <si>
    <t>['spicy punjabi mix', 'bombay kitchen']</t>
  </si>
  <si>
    <t>Boomdi</t>
  </si>
  <si>
    <t>బూండి</t>
  </si>
  <si>
    <t>बूंदी</t>
  </si>
  <si>
    <t>Beverages</t>
  </si>
  <si>
    <t>['boondi', 'di']</t>
  </si>
  <si>
    <t>Rubicon Guava Juice Drink</t>
  </si>
  <si>
    <t>Boondi Jain Sweets</t>
  </si>
  <si>
    <t>బూండి జైన్ స్వీట్స్</t>
  </si>
  <si>
    <t>बूंदी जैन स्वीट्स</t>
  </si>
  <si>
    <t>['boondi', 'jain', 'sweets']</t>
  </si>
  <si>
    <t>Boondi Masala</t>
  </si>
  <si>
    <t>బూండి మసాలా</t>
  </si>
  <si>
    <t>बूंदी मसाला</t>
  </si>
  <si>
    <t>['boondi', 'masala']</t>
  </si>
  <si>
    <t>MTR Rava Dosa Mix</t>
  </si>
  <si>
    <t>Boondi Sev</t>
  </si>
  <si>
    <t>బూండి సెవ్</t>
  </si>
  <si>
    <t>बूंदी सेव</t>
  </si>
  <si>
    <t>['boondi', 'sev']</t>
  </si>
  <si>
    <t>Boost</t>
  </si>
  <si>
    <t>బూస్ట్</t>
  </si>
  <si>
    <t>बूस्ट</t>
  </si>
  <si>
    <t>['boost']</t>
  </si>
  <si>
    <t>MTR Rava Idli Mix</t>
  </si>
  <si>
    <t>Boro Plus 1</t>
  </si>
  <si>
    <t>garlic pic | deviceId=DID-37BBF33C</t>
  </si>
  <si>
    <t>బోరో ప్లస్ 1</t>
  </si>
  <si>
    <t>बोरो प्लस 1</t>
  </si>
  <si>
    <t>['boro plus 1', 'boro plus']</t>
  </si>
  <si>
    <t>rice rava</t>
  </si>
  <si>
    <t>garlic pickle | deviceId=DID-37BBF33C</t>
  </si>
  <si>
    <t>Vidhya Foods Pav Bhaji Buns</t>
  </si>
  <si>
    <t>mango | deviceId=DID-7F786A35</t>
  </si>
  <si>
    <t>Shan Chana Masala</t>
  </si>
  <si>
    <t>milk | deviceId=DID-7F786A35</t>
  </si>
  <si>
    <t>Shan Chicken Masala</t>
  </si>
  <si>
    <t>dancer | deviceId=DID-7F786A35</t>
  </si>
  <si>
    <t>MDH Kasuri Methi</t>
  </si>
  <si>
    <t>MDH Fish Curry Masala</t>
  </si>
  <si>
    <t>curd | deviceId=DID-37BBF33C</t>
  </si>
  <si>
    <t>Chef Chicken Curry Mix</t>
  </si>
  <si>
    <t>poha | deviceId=DID-37BBF33C</t>
  </si>
  <si>
    <t>ramba | deviceId=DID-37BBF33C</t>
  </si>
  <si>
    <t>Chef Butter Chicken Mix</t>
  </si>
  <si>
    <t>chicken curry</t>
  </si>
  <si>
    <t>ri | deviceId=DID-37BBF33C</t>
  </si>
  <si>
    <t>Verbest Chicken Curry</t>
  </si>
  <si>
    <t>Mother's Recipe Chicken Curry</t>
  </si>
  <si>
    <t>right | deviceId=DID-37BBF33C</t>
  </si>
  <si>
    <t>Mother's Recipe Chicken Tikka Masala</t>
  </si>
  <si>
    <t>Shan Haleem</t>
  </si>
  <si>
    <t>pasupu | deviceId=DID-37BBF33C</t>
  </si>
  <si>
    <t>slow cooked stew</t>
  </si>
  <si>
    <t>Shan Fried Chops / Steaks</t>
  </si>
  <si>
    <t>milk | deviceId=DID-239CB3FA</t>
  </si>
  <si>
    <t>indian snacks</t>
  </si>
  <si>
    <t>Shan Fried Fish</t>
  </si>
  <si>
    <t>tice | deviceId=DID-37BBF33C</t>
  </si>
  <si>
    <t>rice | deviceId=DID-37BBF33C</t>
  </si>
  <si>
    <t>bellam | deviceId=DID-37BBF33C</t>
  </si>
  <si>
    <t>milk | deviceId=DID-37BBF33C</t>
  </si>
  <si>
    <t>ro | deviceId=DID-37BBF33C</t>
  </si>
  <si>
    <t>rosted | deviceId=DID-37BBF33C</t>
  </si>
  <si>
    <t>noth | deviceId=DID-37BBF33C</t>
  </si>
  <si>
    <t>makh | deviceId=DID-1908D6F8</t>
  </si>
  <si>
    <t>makha | deviceId=DID-1908D6F8</t>
  </si>
  <si>
    <t>da | deviceId=DID-1908D6F8</t>
  </si>
  <si>
    <t>daal | deviceId=DID-1908D6F8</t>
  </si>
  <si>
    <t>daa | deviceId=DID-1908D6F8</t>
  </si>
  <si>
    <t>dal | deviceId=DID-1908D6F8</t>
  </si>
  <si>
    <t>Borwicks Baking Powder</t>
  </si>
  <si>
    <t>బోర్విక్స్ బేకింగ్ పవ్డర్</t>
  </si>
  <si>
    <t>बोर्विक्स बेकिंग पाउडर</t>
  </si>
  <si>
    <t>['borwicks baking powder', 'baking powder']</t>
  </si>
  <si>
    <t>Bourbon</t>
  </si>
  <si>
    <t>బౌర్బన్</t>
  </si>
  <si>
    <t>बौर्बन</t>
  </si>
  <si>
    <t>['bourbon', 'whiskey']</t>
  </si>
  <si>
    <t>Bowl 1</t>
  </si>
  <si>
    <t>బౌల్ 1</t>
  </si>
  <si>
    <t>बाउल 1</t>
  </si>
  <si>
    <t>['bowl', 'tableware']</t>
  </si>
  <si>
    <t>Brahmi Brahmi Capsules 60</t>
  </si>
  <si>
    <t>బ్రాహ్మి బ్రాహ్మి క్యాప్సుల్స్ 60</t>
  </si>
  <si>
    <t>ब्रह्मी ब्रह्मी कैप्सूल्स 60</t>
  </si>
  <si>
    <t>['brahmi brahmi capsules', 'ayurvedic supplements']</t>
  </si>
  <si>
    <t>Brahmins Broken Samba Wheat</t>
  </si>
  <si>
    <t>బ్రాహ్మణ్ల బ్రాకెన్ సాంబా గోధుమ</t>
  </si>
  <si>
    <t>ब्रह्मणों का टूटा हुआ सांबा गेहूं</t>
  </si>
  <si>
    <t>['broken wheat', 'samba wheat', 'brahmins wheat']</t>
  </si>
  <si>
    <t>Brahmins Chemba Puttu Podi</t>
  </si>
  <si>
    <t>బ్రాహ్మణ్ల చెంబ పుట్టు పొడి</t>
  </si>
  <si>
    <t>ब्रह्मणों का चेम्बा पुट्टू पाउडर</t>
  </si>
  <si>
    <t>['chemba puttu podi', 'brahmins puttu powder']</t>
  </si>
  <si>
    <t>Brahmins Dosa Podi</t>
  </si>
  <si>
    <t>బ్రాహ్మణ్ల దోస పొడి</t>
  </si>
  <si>
    <t>ब्रह्मणों का डोसा पाउडर</t>
  </si>
  <si>
    <t>['dosa podi', 'brahmins dosa powder']</t>
  </si>
  <si>
    <t>Shan Fish Biryani</t>
  </si>
  <si>
    <t>Brahmins Fried Rava</t>
  </si>
  <si>
    <t>బ్రాహ్మణ్ల నేలకూరను వంటి రవా</t>
  </si>
  <si>
    <t>ब्रह्मणों का तला हुआ रावा</t>
  </si>
  <si>
    <t>['fried rava', 'brahmins rava']</t>
  </si>
  <si>
    <t>Bras Sev Sancha</t>
  </si>
  <si>
    <t>indian rice dish</t>
  </si>
  <si>
    <t>బ్రాస్ సేవ్ సంచ</t>
  </si>
  <si>
    <t>ब्रास सेव संच</t>
  </si>
  <si>
    <t>['bras sev sancha', 'crunchy sev']</t>
  </si>
  <si>
    <t>Shan Daal Masala</t>
  </si>
  <si>
    <t>Britannia 5 Grain Biscuit</t>
  </si>
  <si>
    <t>బ్రిటానియా 5 గ్రేన్ బిస్కెట్</t>
  </si>
  <si>
    <t>ब्रिटेनिया 5 ग्रेन बिस्किट</t>
  </si>
  <si>
    <t>['britannia', '5 grain', 'biscuit']</t>
  </si>
  <si>
    <t>Britannia 50-50</t>
  </si>
  <si>
    <t>బ్రిటానియా 50-50</t>
  </si>
  <si>
    <t>ब्रिटेनिया 50-50</t>
  </si>
  <si>
    <t>['britannia', '50-50']</t>
  </si>
  <si>
    <t>Shan Curry Powder</t>
  </si>
  <si>
    <t>Britannia Bourbon</t>
  </si>
  <si>
    <t>బ్రిటానియా బౌర్బన్</t>
  </si>
  <si>
    <t>ब्रिटेनिया बोर्बन</t>
  </si>
  <si>
    <t>['britannia', 'bourbon']</t>
  </si>
  <si>
    <t>hot curry powder</t>
  </si>
  <si>
    <t>Britannia Chocolate Cream Wafers</t>
  </si>
  <si>
    <t>బ్రిటానియా చోక్లేట్ క్రీమ్ వేఫర్స్</t>
  </si>
  <si>
    <t>Shan Chicken Tikka</t>
  </si>
  <si>
    <t>ब्रिटेनिया चॉकलेट क्रीम वेफर्स</t>
  </si>
  <si>
    <t>['britannia', 'chocolate', 'cream', 'wafers']</t>
  </si>
  <si>
    <t>Britannia Chocolate Wafers</t>
  </si>
  <si>
    <t>బ్రిటానియా చోక్లేట్ వేఫర్స్</t>
  </si>
  <si>
    <t>ब्रिटेनिया चॉकलेट वेफर्स</t>
  </si>
  <si>
    <t>['britannia', 'chocolate', 'wafers']</t>
  </si>
  <si>
    <t>chicken tikka mix|tikka chicken mix</t>
  </si>
  <si>
    <t>Britannia Cows Ghee</t>
  </si>
  <si>
    <t>Shan Chicken 65</t>
  </si>
  <si>
    <t>బ్రిటానియా కోవ్స్ గ్హీ</t>
  </si>
  <si>
    <t>ब्रिटेनिया कॉव्स घी</t>
  </si>
  <si>
    <t>britannia cows ghee, cow ghee, Britannia cow ghee</t>
  </si>
  <si>
    <t>Britannia Date Rolls</t>
  </si>
  <si>
    <t>kodi 65|kodi sixty five</t>
  </si>
  <si>
    <t>బ్రిటానియా డేట్ రోల్స్</t>
  </si>
  <si>
    <t>ब्रिटेनिया डेट रोल्स</t>
  </si>
  <si>
    <t>britannia date rolls, Britannia date rolls</t>
  </si>
  <si>
    <t>Shan Chaat Masala</t>
  </si>
  <si>
    <t>Britannia Digestive</t>
  </si>
  <si>
    <t>బ్రిటానియా డైజెస్టివ్</t>
  </si>
  <si>
    <t>ब्रिटेनिया डाइजेस्टिव</t>
  </si>
  <si>
    <t>britannia digestive, Britannia digestive biscuits</t>
  </si>
  <si>
    <t>MDH Pakora Masala</t>
  </si>
  <si>
    <t>Britannia Fig Rolls</t>
  </si>
  <si>
    <t>బ్రిటానియా ఫిగ్ రోల్స్</t>
  </si>
  <si>
    <t>ब्रिटेनिया फिग रोल्स</t>
  </si>
  <si>
    <t>britannia fig rolls, Britannia fig rolls</t>
  </si>
  <si>
    <t>Britannia Funky Choco</t>
  </si>
  <si>
    <t>బ్రిటానియా ఫంకీ చోకో</t>
  </si>
  <si>
    <t>ब्रिटेनिया फंकी चोको</t>
  </si>
  <si>
    <t>golgappas spice</t>
  </si>
  <si>
    <t>britannia funky choco, Britannia funky chocolate</t>
  </si>
  <si>
    <t>MDH Pav Bhaji Masala</t>
  </si>
  <si>
    <t>ब्रिटेनिया फंकी चॉको</t>
  </si>
  <si>
    <t>['funky choco', 'britannia']</t>
  </si>
  <si>
    <t>Britannia Good Day Butter</t>
  </si>
  <si>
    <t>బ్రిటానియా గుడ్ డే బట్టర్</t>
  </si>
  <si>
    <t>ब्रिटेनिया गुड डे बटर</t>
  </si>
  <si>
    <t>['good day butter', 'britannia']</t>
  </si>
  <si>
    <t>MDH Karahi Gosht</t>
  </si>
  <si>
    <t>Britannia Good Day Butter Cookies</t>
  </si>
  <si>
    <t>బ్రిటానియా గుడ్ డే బట్టర్ కుకీస్</t>
  </si>
  <si>
    <t>ब्रिटेनिया गुड डे बटर कुकीज़</t>
  </si>
  <si>
    <t>['good day butter cookies', 'britannia']</t>
  </si>
  <si>
    <t>Britannia Good Day Butter Cookies 75g</t>
  </si>
  <si>
    <t>బ్రిటానియా గుడ్ డే బట్టర్ కుకీస్ 75జీ</t>
  </si>
  <si>
    <t>MDH Karahi Chicken</t>
  </si>
  <si>
    <t>ब्रिटेनिया गुड डे बटर कुकीज़ 75ग्राम</t>
  </si>
  <si>
    <t>['good day butter cookies 75g', 'britannia']</t>
  </si>
  <si>
    <t>Britannia Good Day Cashew</t>
  </si>
  <si>
    <t>బ్రిటానియా గుడ్ డే క్యాష్వే</t>
  </si>
  <si>
    <t>ब्रिटेनिया गुड डे कैशव</t>
  </si>
  <si>
    <t>cashew, Britannia, Good Day</t>
  </si>
  <si>
    <t>MDH Peacock Kasoori Methi</t>
  </si>
  <si>
    <t>Britannia Good Day Chunkies Choco Chip Cookies</t>
  </si>
  <si>
    <t>బ్రిటానియా గుడ్ డే చంకీస్ చోకో చిప్ కుకీస్</t>
  </si>
  <si>
    <t>ब्रिटेनिया गुड डे चंकीज़ चॉको चिप कुकीज़</t>
  </si>
  <si>
    <t>cookies, chunkies, choco chip, Britannia, Good Day</t>
  </si>
  <si>
    <t>Britannia Good Day Pista Almond</t>
  </si>
  <si>
    <t>బ్రిటానియా గుడ్ డే పిస్టా ఆల్మండ్</t>
  </si>
  <si>
    <t>ब्रिटेनिया गुड डे पिस्ता अल्मंड</t>
  </si>
  <si>
    <t>pista, almond, Britannia, Good Day</t>
  </si>
  <si>
    <t>Britannia Hazelnut Wafers</t>
  </si>
  <si>
    <t>బ్రిటానియా హజెల్‌నట్ వాఫర్స్</t>
  </si>
  <si>
    <t>ब्रिटेनिया हेज़लनट वाफर्स</t>
  </si>
  <si>
    <t>hazelnut, wafers, Britannia</t>
  </si>
  <si>
    <t>Britannia Little Hearts</t>
  </si>
  <si>
    <t>బ్రిటానియా లిటిల్ హృదయాలు</t>
  </si>
  <si>
    <t>ब्रिटेनिया लिटिल हृदय</t>
  </si>
  <si>
    <t>britannia, little hearts, biscuits</t>
  </si>
  <si>
    <t>Britannia Marie Gold</t>
  </si>
  <si>
    <t>బ్రిటానియా మేరీ గోల్డ్</t>
  </si>
  <si>
    <t>ब्रिटेनिया मैरी गोल्ड</t>
  </si>
  <si>
    <t>britannia, marie gold, biscuits</t>
  </si>
  <si>
    <t>Britannia Maska Chaska</t>
  </si>
  <si>
    <t>బ్రిటానియా మాస్కా చాస్కా</t>
  </si>
  <si>
    <t>ब्रिटेनिया मस्का चास्का</t>
  </si>
  <si>
    <t>britannia, maska chaska, biscuits</t>
  </si>
  <si>
    <t>Britannia Milk Bikis</t>
  </si>
  <si>
    <t>బ్రిటానియా మిల్క్ బికీస్</t>
  </si>
  <si>
    <t>ब्रिटेनिया दूध बिकीस</t>
  </si>
  <si>
    <t>britannia, milk bikis, biscuits</t>
  </si>
  <si>
    <t>Britannia Milk Rusk</t>
  </si>
  <si>
    <t>బ్రిటానియా మిల్క్ రస్క్</t>
  </si>
  <si>
    <t>ब्रिटेनिया दूध रुस्क</t>
  </si>
  <si>
    <t>britannia, milk rusk, biscuits</t>
  </si>
  <si>
    <t>tom | deviceId=DID-1908D6F8</t>
  </si>
  <si>
    <t>Britannia Nice Time</t>
  </si>
  <si>
    <t>బ్రిటానియా నైస్ టైమ్</t>
  </si>
  <si>
    <t>ब्रिटेनिया नाइस टाइम</t>
  </si>
  <si>
    <t>Britannia Suji Toast</t>
  </si>
  <si>
    <t>బ్రిటానియా సూజీ టోస్ట్</t>
  </si>
  <si>
    <t>ब्रिटेनिया सूजी टोस्ट</t>
  </si>
  <si>
    <t>Britannia Treat</t>
  </si>
  <si>
    <t>బ్రిటానియా ట్రీట్</t>
  </si>
  <si>
    <t>ब्रिटेनिया ट्रीट</t>
  </si>
  <si>
    <t>Britannia Treat Choco 100 Gms</t>
  </si>
  <si>
    <t>బ్రిటానియా ట్రీట్ చోకో 100 జీమీ</t>
  </si>
  <si>
    <t>ब्रिटेनिया ट्रीट चॉको 100 जीएम</t>
  </si>
  <si>
    <t>Britannia Treat Creme Wafers 3 Pack</t>
  </si>
  <si>
    <t>బ్రిటానియా ట్రీట్ క్రీమ్ వేఫర్స్ 3 ప్యాక్</t>
  </si>
  <si>
    <t>ब्रिटेनिया ट्रीट क्रीम वेफर्स 3 पैक</t>
  </si>
  <si>
    <t>['britannia', 'treat', 'creme', 'wafers']</t>
  </si>
  <si>
    <t>Britannia Treat Pineapple</t>
  </si>
  <si>
    <t>బ్రిటానియా ట్రీట్ పైనాపిల్</t>
  </si>
  <si>
    <t>ब्रिटेनिया ट्रीट पाइनएप्पल</t>
  </si>
  <si>
    <t>['britannia', 'treat', 'pineapple']</t>
  </si>
  <si>
    <t>MDH Kitchen King</t>
  </si>
  <si>
    <t>Brooke Bond Red Label Tea Bags</t>
  </si>
  <si>
    <t>బ్రూక్ బాండ్ రెడ్ లేబుల్ టీ బ్యాగ్స్</t>
  </si>
  <si>
    <t>tomato | deviceId=DID-1908D6F8</t>
  </si>
  <si>
    <t>ब्रूक बॉन्ड रेड लेबल टी बैग्स</t>
  </si>
  <si>
    <t>['brooke', 'bond', 'red', 'label', 'tea']</t>
  </si>
  <si>
    <t>swad | deviceId=DID-1908D6F8</t>
  </si>
  <si>
    <t>Brown and Polish</t>
  </si>
  <si>
    <t>బ్రౌన్ మరియు పోలిష్</t>
  </si>
  <si>
    <t>ब्राउन और पोलिश</t>
  </si>
  <si>
    <t>['brown polish', 'shoe polish']</t>
  </si>
  <si>
    <t>Brown Basmati Rice 10 lb</t>
  </si>
  <si>
    <t>బ్రౌన్ బాస్మతి చిరుధాన్యం 10 లీవర్లు</t>
  </si>
  <si>
    <t>ब्राउन बासमती चावल 10 पाउंड</t>
  </si>
  <si>
    <t>['brown', 'basmati', 'rice']</t>
  </si>
  <si>
    <t>swad ani | deviceId=DID-1908D6F8</t>
  </si>
  <si>
    <t>MDH Dahivada Raita Masala</t>
  </si>
  <si>
    <t>Brown Chana</t>
  </si>
  <si>
    <t>బ్రౌన్ చన</t>
  </si>
  <si>
    <t>ब्राउन चना</t>
  </si>
  <si>
    <t>['brown chana', 'chickpeas']</t>
  </si>
  <si>
    <t>Brown Rice</t>
  </si>
  <si>
    <t>బ్రౌన్ బియ్యం</t>
  </si>
  <si>
    <t>ब्राउन चावल</t>
  </si>
  <si>
    <t>['brown rice', 'unpolished rice']</t>
  </si>
  <si>
    <t>amul | deviceId=DID-37BBF33C</t>
  </si>
  <si>
    <t>Brown Sona Masoori Rice 10 lb</t>
  </si>
  <si>
    <t>బ్రౌన్ సోనా మసూరి బియ్యం 10 లీబర్లు</t>
  </si>
  <si>
    <t>ब्राउन सोना मसूरी चावल 10 पाउंड</t>
  </si>
  <si>
    <t>['sona masoori rice', 'brown rice']</t>
  </si>
  <si>
    <t>Bru Green Label</t>
  </si>
  <si>
    <t>బ్రూ గ్రీన్ లేబుల్</t>
  </si>
  <si>
    <t>ब्रू ग्रीन लेबल</t>
  </si>
  <si>
    <t>Just Organic Turmeric Powder</t>
  </si>
  <si>
    <t>['bru coffee', 'green label coffee']</t>
  </si>
  <si>
    <t>Bulk Okra</t>
  </si>
  <si>
    <t>బ్యాలెన్స్ ఓక్రా</t>
  </si>
  <si>
    <t>बुल्क ओक्रा</t>
  </si>
  <si>
    <t>okra, lady's finger, bhindi</t>
  </si>
  <si>
    <t>pasupu|haldi</t>
  </si>
  <si>
    <t>Bulk Potato Paratha</t>
  </si>
  <si>
    <t>బఠాని పరాతా బల్క్</t>
  </si>
  <si>
    <t>आलू पराठा बुल्क</t>
  </si>
  <si>
    <t>Just Organic Coriander Powder</t>
  </si>
  <si>
    <t>['bulk potato paratha', 'aloo paratha bulk']</t>
  </si>
  <si>
    <t>pickle | deviceId=DID-37BBF33C</t>
  </si>
  <si>
    <t>Butter Chicken Masala</t>
  </si>
  <si>
    <t>బట్టర్ చికెన్ మసాలా</t>
  </si>
  <si>
    <t>बटर चिकन मसाला</t>
  </si>
  <si>
    <t>dhania|dhaniyalu</t>
  </si>
  <si>
    <t>['butter chicken masala', 'chicken curry']</t>
  </si>
  <si>
    <t>Just Organic Mustard</t>
  </si>
  <si>
    <t>Butter Chicken Mix</t>
  </si>
  <si>
    <t>perugu | deviceId=DID-2168F760</t>
  </si>
  <si>
    <t>బట్టర్ చికెన్ మిక్స్</t>
  </si>
  <si>
    <t>बटर चिकन मिक्स</t>
  </si>
  <si>
    <t>['butter chicken mix', 'chicken mix', 'butter chicken']</t>
  </si>
  <si>
    <t>rai|aavalu</t>
  </si>
  <si>
    <t>Butter Good Day</t>
  </si>
  <si>
    <t>Just Organic Red Chilli</t>
  </si>
  <si>
    <t>బట్టర్ గుడ్ డే</t>
  </si>
  <si>
    <t>बटर गुड डे</t>
  </si>
  <si>
    <t>['butter good day', 'good day']</t>
  </si>
  <si>
    <t>Butter Ice Cream</t>
  </si>
  <si>
    <t>బట్టర్ ఐస్ క్రీం</t>
  </si>
  <si>
    <t>bellam | deviceId=DID-2168F760</t>
  </si>
  <si>
    <t>बटर आइस क्रीम</t>
  </si>
  <si>
    <t>['butter ice cream', 'ice cream']</t>
  </si>
  <si>
    <t>Butter Scotch</t>
  </si>
  <si>
    <t>బట్టర్ స్కాట్చ్</t>
  </si>
  <si>
    <t>बटर स्कॉच</t>
  </si>
  <si>
    <t>['butter scotch', 'scotch']</t>
  </si>
  <si>
    <t>Butterscotch</t>
  </si>
  <si>
    <t>బట్టర్‌స్కాట్చ్</t>
  </si>
  <si>
    <t>बटरस्कॉच</t>
  </si>
  <si>
    <t>['butterscotch']</t>
  </si>
  <si>
    <t>chili|mirchi</t>
  </si>
  <si>
    <t>Butterscotch Ice Cream</t>
  </si>
  <si>
    <t>బట్టర్‌స్కోచ్ ఐస్ క్రీం</t>
  </si>
  <si>
    <t>बटरस्कॉच आइसक्रीम</t>
  </si>
  <si>
    <t>butterscotch, ice cream</t>
  </si>
  <si>
    <t>Butterscotch King Cone</t>
  </si>
  <si>
    <t>Patel Brothers Malapudi</t>
  </si>
  <si>
    <t>బట్టర్‌స్కోచ్ కింగ్ కోన్</t>
  </si>
  <si>
    <t>बटरस्कॉच किंग कोन</t>
  </si>
  <si>
    <t>Janani Malapudi</t>
  </si>
  <si>
    <t>butterscotch, king cone</t>
  </si>
  <si>
    <t>Buttry Black Lentils</t>
  </si>
  <si>
    <t>బట్ట్రీ బ్లాక్ లెంటిల్స్</t>
  </si>
  <si>
    <t>बट्ट्री ब्लैक लेंटिल्स</t>
  </si>
  <si>
    <t>buttry, black lentils</t>
  </si>
  <si>
    <t>Cadbury Fruit Nut</t>
  </si>
  <si>
    <t>కేడుబ్రీ ఫ్రూట్ న్యూట్</t>
  </si>
  <si>
    <t>केडुब्री फल नट</t>
  </si>
  <si>
    <t>Century Khichdi Masala</t>
  </si>
  <si>
    <t>garam masala</t>
  </si>
  <si>
    <t>Century Sabji Masala</t>
  </si>
  <si>
    <t>cadbury, fruit, nut</t>
  </si>
  <si>
    <t>Cake Rusk</t>
  </si>
  <si>
    <t>కేక్ రస్క్</t>
  </si>
  <si>
    <t>केक रस्क</t>
  </si>
  <si>
    <t>Century Panipuri Masala</t>
  </si>
  <si>
    <t>cake, rusk</t>
  </si>
  <si>
    <t>Canola Oil</t>
  </si>
  <si>
    <t>కనోలా తైలం</t>
  </si>
  <si>
    <t>कैनोला तेल</t>
  </si>
  <si>
    <t>['canola oil', 'vegetable oil']</t>
  </si>
  <si>
    <t>Cardamom Powder</t>
  </si>
  <si>
    <t>ఏలకు పొడి</t>
  </si>
  <si>
    <t>Century Momo Masala</t>
  </si>
  <si>
    <t>एलची पाउडर</t>
  </si>
  <si>
    <t>['cardamom powder', 'elaichi powder']</t>
  </si>
  <si>
    <t>Cardamom Seeds</t>
  </si>
  <si>
    <t>ఏలకు బియ్యం</t>
  </si>
  <si>
    <t>एलची बीज</t>
  </si>
  <si>
    <t>['cardamom seeds', 'elaichi seeds']</t>
  </si>
  <si>
    <t>chicken masala</t>
  </si>
  <si>
    <t>Century Garam Masala</t>
  </si>
  <si>
    <t>కార్పెట్ క్లీనర్</t>
  </si>
  <si>
    <t>कार्पेट क्लीनर</t>
  </si>
  <si>
    <t>['carpet cleaner', 'carpet shampoo']</t>
  </si>
  <si>
    <t>Century Chatpate Masala</t>
  </si>
  <si>
    <t>Carrot</t>
  </si>
  <si>
    <t>గాజర్</t>
  </si>
  <si>
    <t>गाजर</t>
  </si>
  <si>
    <t>['carrot', 'gajar', 'gaajar']</t>
  </si>
  <si>
    <t>Cashew Pieces</t>
  </si>
  <si>
    <t>క్యాష్వ్ పిస్సెస్</t>
  </si>
  <si>
    <t>कैशव पीस</t>
  </si>
  <si>
    <t>['cashew', 'kashew', 'cashew pieces']</t>
  </si>
  <si>
    <t>Swad Cumin Powder</t>
  </si>
  <si>
    <t>Cashew Whole</t>
  </si>
  <si>
    <t>క్యాష్వ్ వోల్</t>
  </si>
  <si>
    <t>कैशव वोल</t>
  </si>
  <si>
    <t>['cashew', 'kashew', 'cashew whole']</t>
  </si>
  <si>
    <t>jeera|jilakarra|cumin seeds</t>
  </si>
  <si>
    <t>Laxmi Cumin Seeds</t>
  </si>
  <si>
    <t>cashwe</t>
  </si>
  <si>
    <t>కాష్వీ</t>
  </si>
  <si>
    <t>काशवी</t>
  </si>
  <si>
    <t>['cashew', 'cashew nut']</t>
  </si>
  <si>
    <t>jeera|jilakarra|chiya bij|chiya beeja</t>
  </si>
  <si>
    <t>Cassatta</t>
  </si>
  <si>
    <t>కాసట్టా</t>
  </si>
  <si>
    <t>कासट्टा</t>
  </si>
  <si>
    <t>['cassatta', 'cassata']</t>
  </si>
  <si>
    <t>cassava</t>
  </si>
  <si>
    <t>కసావా</t>
  </si>
  <si>
    <t>कसावा</t>
  </si>
  <si>
    <t>Laxmi Bay Leaves</t>
  </si>
  <si>
    <t>['manioc', 'yuca']</t>
  </si>
  <si>
    <t>Cauliflower</t>
  </si>
  <si>
    <t>కాల్ఫ్లవర్</t>
  </si>
  <si>
    <t>कालफ्लावर</t>
  </si>
  <si>
    <t>['cauliflower', 'gobhi']</t>
  </si>
  <si>
    <t>Chai Masala</t>
  </si>
  <si>
    <t>Swad Bay Leaves</t>
  </si>
  <si>
    <t>చాయ్ మసాలా</t>
  </si>
  <si>
    <t>चाय मसाला</t>
  </si>
  <si>
    <t>['chai masala', 'tea spice']</t>
  </si>
  <si>
    <t>Chakli</t>
  </si>
  <si>
    <t>చక్లి</t>
  </si>
  <si>
    <t>चकली</t>
  </si>
  <si>
    <t>['chakli', 'fried snack']</t>
  </si>
  <si>
    <t>Swad Whole Black Pepper</t>
  </si>
  <si>
    <t>Chana</t>
  </si>
  <si>
    <t>చన</t>
  </si>
  <si>
    <t>चना</t>
  </si>
  <si>
    <t>['chana', 'chickpea']</t>
  </si>
  <si>
    <t>Chana Chawal</t>
  </si>
  <si>
    <t>చన చావల్</t>
  </si>
  <si>
    <t>चना चावल</t>
  </si>
  <si>
    <t>['chana chawal', 'chickpea rice']</t>
  </si>
  <si>
    <t>Chandan 6 in 1 Mukhwas</t>
  </si>
  <si>
    <t>చందన్ 6 ఇన్ 1 ముఖ్వాస్</t>
  </si>
  <si>
    <t>चंदन 6 इन 1 मुखवास</t>
  </si>
  <si>
    <t>['chandan', 'mukhwas', 'breath freshener']</t>
  </si>
  <si>
    <t>Chandan Olympic Mix</t>
  </si>
  <si>
    <t>చందన్ ఒలింపిక్ మిక్స్</t>
  </si>
  <si>
    <t>चंदन ओलंपिक मिक्स</t>
  </si>
  <si>
    <t>['chandan', 'olympic mix', 'mukhwas']</t>
  </si>
  <si>
    <t>Channa</t>
  </si>
  <si>
    <t>చన్న</t>
  </si>
  <si>
    <t>चन्ना</t>
  </si>
  <si>
    <t>['channa', 'chickpeas']</t>
  </si>
  <si>
    <t>Channa Jor Garam</t>
  </si>
  <si>
    <t>చన్న జార్ గరమ్</t>
  </si>
  <si>
    <t>चन्ना जोर गरम</t>
  </si>
  <si>
    <t>['channa', 'spicy', 'chickpeas']</t>
  </si>
  <si>
    <t>Chaokoh Coconut Milk</t>
  </si>
  <si>
    <t>చాకోహ్ కొబ్బరి పాలు</t>
  </si>
  <si>
    <t>चाओकोह कोयला दूध</t>
  </si>
  <si>
    <t>['coconut milk', 'chaokoh']</t>
  </si>
  <si>
    <t>Chap Stick</t>
  </si>
  <si>
    <t>చాప్ స్టిక్</t>
  </si>
  <si>
    <t>चैप स्टिक</t>
  </si>
  <si>
    <t>['chapstick', 'lip balm']</t>
  </si>
  <si>
    <t>Chapati</t>
  </si>
  <si>
    <t>చపాతి</t>
  </si>
  <si>
    <t>चापाती</t>
  </si>
  <si>
    <t>['flatbread', 'indian bread']</t>
  </si>
  <si>
    <t>Char Magaz</t>
  </si>
  <si>
    <t>చార్ మగజ్</t>
  </si>
  <si>
    <t>चार मगज</t>
  </si>
  <si>
    <t>['char magaz', 'char magaj']</t>
  </si>
  <si>
    <t>Charcoal</t>
  </si>
  <si>
    <t>చార్కోల్</t>
  </si>
  <si>
    <t>चारकोल</t>
  </si>
  <si>
    <t>['charcoal', 'activated charcoal']</t>
  </si>
  <si>
    <t>Chef's Secret Basmati Rice 10 lb</t>
  </si>
  <si>
    <t>చీఫ్స్ సెక్రెట్ బాస్మతి చిరుధాన్యం 10 లీబుల్స్</t>
  </si>
  <si>
    <t>चीफ्स सीक्रेट बासमती चावल 10 पाउंड</t>
  </si>
  <si>
    <t>['basmati rice', 'long grain rice']</t>
  </si>
  <si>
    <t>Laxmi Whole Black Pepper</t>
  </si>
  <si>
    <t>Chef's Secret Basmati Rice 20 lb</t>
  </si>
  <si>
    <t>చీఫ్స్ సెక్రెట్ బాస్మతి చావలి 20 లీబు</t>
  </si>
  <si>
    <t>चीफ्स सीक्रेट बासमती चावल 20 लीबु</t>
  </si>
  <si>
    <t>basmati rice, chefs secret, 20 lb</t>
  </si>
  <si>
    <t>Chettinad Barnyard Millet</t>
  </si>
  <si>
    <t>చెట్టినాడ్ బర్న్యార్డ్ మిలెట్</t>
  </si>
  <si>
    <t>चेट्टीनाड बार्नयार्ड मिलेट</t>
  </si>
  <si>
    <t>barnyard millet, chettinad</t>
  </si>
  <si>
    <t>Chettinad Little Millet</t>
  </si>
  <si>
    <t>చెట్టినాడ్ లిటిల్ మిలెట్</t>
  </si>
  <si>
    <t>चेट्टीनाड लिटिल मिलेट</t>
  </si>
  <si>
    <t>little millet, chettinad</t>
  </si>
  <si>
    <t>Chheder</t>
  </si>
  <si>
    <t>చ్హేదర్</t>
  </si>
  <si>
    <t>छेडर</t>
  </si>
  <si>
    <t>chheder</t>
  </si>
  <si>
    <t>Chhole</t>
  </si>
  <si>
    <t>చోలే</t>
  </si>
  <si>
    <t>छोले</t>
  </si>
  <si>
    <t>chhole</t>
  </si>
  <si>
    <t>Chia Seeds</t>
  </si>
  <si>
    <t>చియా బీజాలు</t>
  </si>
  <si>
    <t>चिया बीज</t>
  </si>
  <si>
    <t>['chia seeds', 'chiya bij', 'chiya beeja']</t>
  </si>
  <si>
    <t>Chicken 65</t>
  </si>
  <si>
    <t>కోడి 65</t>
  </si>
  <si>
    <t>कोड़ी 65</t>
  </si>
  <si>
    <t>['chicken 65', 'kodi 65', 'kodi sixty-five']</t>
  </si>
  <si>
    <t>Chicken 66</t>
  </si>
  <si>
    <t>కోడి 66</t>
  </si>
  <si>
    <t>कोड़ी 66</t>
  </si>
  <si>
    <t>['chicken 66', 'kodi 66', 'kodi sixty-six']</t>
  </si>
  <si>
    <t>Chicken Curry Paste</t>
  </si>
  <si>
    <t>కోడి కూర పేస్ట్</t>
  </si>
  <si>
    <t>कोड़ी करी पेस्ट</t>
  </si>
  <si>
    <t>['chicken curry paste', 'kodi kura paste', 'kodi kuri peest']</t>
  </si>
  <si>
    <t>Chicken Keema</t>
  </si>
  <si>
    <t>కోడి కీమా</t>
  </si>
  <si>
    <t>कोड़ी कीमा</t>
  </si>
  <si>
    <t>['chicken keema', 'kodi keema', 'kodi keema']</t>
  </si>
  <si>
    <t>Chicken Marinade</t>
  </si>
  <si>
    <t>కోడి మారినేడ్</t>
  </si>
  <si>
    <t>चिकन मैरिनेड</t>
  </si>
  <si>
    <t>['chicken marinade', 'marinade for chicken']</t>
  </si>
  <si>
    <t>Chicken Masala</t>
  </si>
  <si>
    <t>చికెన్ మసాలా</t>
  </si>
  <si>
    <t>चिकन मसाला</t>
  </si>
  <si>
    <t>['chicken masala', 'chicken curry']</t>
  </si>
  <si>
    <t>కోడి మసాలా</t>
  </si>
  <si>
    <t>['chicken masala', 'chicken spice']</t>
  </si>
  <si>
    <t>Chicken Roast Mothers</t>
  </si>
  <si>
    <t>కోడి రోస్ట్ మాదర్స్</t>
  </si>
  <si>
    <t>चिकन रोस्ट मदर्स</t>
  </si>
  <si>
    <t>['chicken roast', 'mothers chicken roast']</t>
  </si>
  <si>
    <t>Chicken Vindaloo</t>
  </si>
  <si>
    <t>కోడి విందాలూ</t>
  </si>
  <si>
    <t>चिकन विंदालू</t>
  </si>
  <si>
    <t>['chicken vindaloo', 'vindaloo chicken']</t>
  </si>
  <si>
    <t>Chickn Tikka Mix</t>
  </si>
  <si>
    <t>కిక్కన్ టిక్కా మిక్స్</t>
  </si>
  <si>
    <t>चिकन टिक्का मिक्स</t>
  </si>
  <si>
    <t>['chicken tikka mix', 'tikka chicken mix']</t>
  </si>
  <si>
    <t>Chicko Ice Cream</t>
  </si>
  <si>
    <t>చిక్కో ఐస్ క్రీం</t>
  </si>
  <si>
    <t>चिक्को आइस क्रीम</t>
  </si>
  <si>
    <t>chicko ice cream, ice cream</t>
  </si>
  <si>
    <t>Chickpea Kofta Curry</t>
  </si>
  <si>
    <t>మొక్కజొన్న కోఫ్టా కూర</t>
  </si>
  <si>
    <t>चिक्की कोफ्ता करी</t>
  </si>
  <si>
    <t>chickpea kofta curry, chickpea curry</t>
  </si>
  <si>
    <t>Chili Garlic Sauce</t>
  </si>
  <si>
    <t>చిలీ గార్లిక్ సాస్</t>
  </si>
  <si>
    <t>चिली गार्लिक सॉस</t>
  </si>
  <si>
    <t>chili garlic sauce, chili sauce, garlic sauce</t>
  </si>
  <si>
    <t>Chilli</t>
  </si>
  <si>
    <t>చిలీ</t>
  </si>
  <si>
    <t>चिली</t>
  </si>
  <si>
    <t>chilli, chili</t>
  </si>
  <si>
    <t>Chilli Banana</t>
  </si>
  <si>
    <t>చిల్లి బెనాన</t>
  </si>
  <si>
    <t>चिली बेनाना</t>
  </si>
  <si>
    <t>['chilli banana', 'banana chilli']</t>
  </si>
  <si>
    <t>Chilli Pickle</t>
  </si>
  <si>
    <t>చిల్లి పిక్కిల్</t>
  </si>
  <si>
    <t>चिली पिक्कल</t>
  </si>
  <si>
    <t>['chilli pickle', 'pickle chilli']</t>
  </si>
  <si>
    <t>Chilli Powder</t>
  </si>
  <si>
    <t>చిల్లి పొడి</t>
  </si>
  <si>
    <t>चिली पाउडर</t>
  </si>
  <si>
    <t>['chilli powder', 'powder chilli']</t>
  </si>
  <si>
    <t>Chinese Okra</t>
  </si>
  <si>
    <t>చైనీస్ బంగాళదుంప</t>
  </si>
  <si>
    <t>चीनी बैंगन</t>
  </si>
  <si>
    <t>chinese okra, lady's finger, benda kalu</t>
  </si>
  <si>
    <t>Chinese Potato</t>
  </si>
  <si>
    <t>చైనీస్ ఆకుకాయ</t>
  </si>
  <si>
    <t>चीनी आलू</t>
  </si>
  <si>
    <t>chinese potato, chinese taro, arbi</t>
  </si>
  <si>
    <t>Chings Dark Soy Sauce</t>
  </si>
  <si>
    <t>చింగ్స్ డార్క్ సోయా సాస్</t>
  </si>
  <si>
    <t>चिंग्स डार्क सोया सॉस</t>
  </si>
  <si>
    <t>chings dark soy sauce, soy sauce, soya sauce</t>
  </si>
  <si>
    <t>Chings Hakka Egg Noodles</t>
  </si>
  <si>
    <t>చింగ్స్ హక్కా మిఠాయి నూడుల్స్</t>
  </si>
  <si>
    <t>चिंग्स हक्का अंडे नूडल्स</t>
  </si>
  <si>
    <t>chings hakka egg noodles, egg noodles, hakka noodles</t>
  </si>
  <si>
    <t>Chings Hakka Veg Noodles</t>
  </si>
  <si>
    <t>చింగ్స్ హక్కా వెగ్ నూడుల్స్</t>
  </si>
  <si>
    <t>चिंग्स हक्का वेग नूडल्स</t>
  </si>
  <si>
    <t>hakka noodles, veg noodles</t>
  </si>
  <si>
    <t>Chings Manchurian Noodles</t>
  </si>
  <si>
    <t>చింగ్స్ మంచూరియన్ నూడుల్స్</t>
  </si>
  <si>
    <t>चिंग्स मंचूरियन नूडल्स</t>
  </si>
  <si>
    <t>manchurian noodles</t>
  </si>
  <si>
    <t>Chings Paneer Chilli Masala</t>
  </si>
  <si>
    <t>చింగ్స్ పనీర్ చిలీ మసాలా</t>
  </si>
  <si>
    <t>चिंग्स पनीर चिली मसाला</t>
  </si>
  <si>
    <t>paneer chilli masala</t>
  </si>
  <si>
    <t>Chings Schezwan Sauce</t>
  </si>
  <si>
    <t>చింగ్స్ సెచ్చ్వాన్ సౌస్</t>
  </si>
  <si>
    <t>चिंग्स सेच्वान सॉस</t>
  </si>
  <si>
    <t>schezwan sauce</t>
  </si>
  <si>
    <t>Chitale Idli Mix</t>
  </si>
  <si>
    <t>చితాలే ఇడ్లీ మిక్స్</t>
  </si>
  <si>
    <t>चिताले इडली मिक्स</t>
  </si>
  <si>
    <t>idli mix</t>
  </si>
  <si>
    <t>Chitale Khaman Mix</t>
  </si>
  <si>
    <t>చితాలే ఖమాన్ మిక్స్</t>
  </si>
  <si>
    <t>चिताले खमान मिक्स</t>
  </si>
  <si>
    <t>['khaman mix', 'chitale', 'snack mix']</t>
  </si>
  <si>
    <t>Chocolate</t>
  </si>
  <si>
    <t>చోక్లేట్</t>
  </si>
  <si>
    <t>चॉकलेट</t>
  </si>
  <si>
    <t>['chocolate', 'cocoa']</t>
  </si>
  <si>
    <t>Chocolate Ice Cream</t>
  </si>
  <si>
    <t>చోక్లేట్ ఐస్ క్రీం</t>
  </si>
  <si>
    <t>चॉकलेट आइस क्रीम</t>
  </si>
  <si>
    <t>['chocolate ice cream', 'ice cream']</t>
  </si>
  <si>
    <t>Aara Pani Puri (Gol Gappe)</t>
  </si>
  <si>
    <t>Choley Kulcha</t>
  </si>
  <si>
    <t>చోలీ కుల్చా</t>
  </si>
  <si>
    <t>चोली कुलचा</t>
  </si>
  <si>
    <t>['choley kulcha', 'north indian bread']</t>
  </si>
  <si>
    <t>Chora Dal</t>
  </si>
  <si>
    <t>చోర దాల్</t>
  </si>
  <si>
    <t>चोरा दाल</t>
  </si>
  <si>
    <t>['chora dal', 'split black gram']</t>
  </si>
  <si>
    <t>Chunky Chat Masala</t>
  </si>
  <si>
    <t>చంకీ చాట్ మసాలా</t>
  </si>
  <si>
    <t>चंकी चैट मसाला</t>
  </si>
  <si>
    <t>Saab Ragi Golgappa with Masala</t>
  </si>
  <si>
    <t>['chunky chat masala', 'chat masala']</t>
  </si>
  <si>
    <t>Cilantro</t>
  </si>
  <si>
    <t>సిలంట్రో</t>
  </si>
  <si>
    <t>सिलेंट्रो</t>
  </si>
  <si>
    <t>['cilantro', 'coriander leaves']</t>
  </si>
  <si>
    <t>Desi Pani Puri</t>
  </si>
  <si>
    <t>Cinnamon Powder</t>
  </si>
  <si>
    <t>డేగులు పొడి</t>
  </si>
  <si>
    <t>दालचीनी पाउडर</t>
  </si>
  <si>
    <t>['cinnamon powder', 'dalchini powder']</t>
  </si>
  <si>
    <t>Cinnamon Sticks</t>
  </si>
  <si>
    <t>డేగులు</t>
  </si>
  <si>
    <t>दालचीनी की छड़ें</t>
  </si>
  <si>
    <t>['cinnamon sticks', 'dalchini']</t>
  </si>
  <si>
    <t>Mother's Recipe Paneer Butter Masala</t>
  </si>
  <si>
    <t>Clarified Butter</t>
  </si>
  <si>
    <t>Neyyi</t>
  </si>
  <si>
    <t>Ghee</t>
  </si>
  <si>
    <t>ghee|neyyi</t>
  </si>
  <si>
    <t>Mother's Recipe Paneer Tikka Masala</t>
  </si>
  <si>
    <t>Clarified Butter (Ghee)</t>
  </si>
  <si>
    <t>Neyyi (నెయ్యి)</t>
  </si>
  <si>
    <t>Ghee (घी)</t>
  </si>
  <si>
    <t>ghee|neyyi|clarified-butter</t>
  </si>
  <si>
    <t>Classic</t>
  </si>
  <si>
    <t>క్లాసిక్</t>
  </si>
  <si>
    <t>क्लासिक</t>
  </si>
  <si>
    <t>['classic']</t>
  </si>
  <si>
    <t>Rasoi Magic Paneer Bhurji Mix</t>
  </si>
  <si>
    <t>Classic Cream</t>
  </si>
  <si>
    <t>క్లాసిక్ క్రీమ్</t>
  </si>
  <si>
    <t>क्लासिक क्रीम</t>
  </si>
  <si>
    <t>['classic', 'cream']</t>
  </si>
  <si>
    <t>Classic Malai</t>
  </si>
  <si>
    <t>క్లాసిక్ మలై</t>
  </si>
  <si>
    <t>क्लासिक मलाई</t>
  </si>
  <si>
    <t>paneer cheese</t>
  </si>
  <si>
    <t>['classic', 'malai']</t>
  </si>
  <si>
    <t>Rasoi Magic Mix Veg Special</t>
  </si>
  <si>
    <t>Classic Malai Kulfi</t>
  </si>
  <si>
    <t>క్లాసిక్ మలై కుల్ఫీ</t>
  </si>
  <si>
    <t>क्लासिक मलाई कुल्फी</t>
  </si>
  <si>
    <t>['classic', 'malai', 'kulfi']</t>
  </si>
  <si>
    <t>Clay Deepak 1</t>
  </si>
  <si>
    <t>క్లే డీపక్ 1</t>
  </si>
  <si>
    <t>क्ले डीपक 1</t>
  </si>
  <si>
    <t>diya, clay diya, deepak</t>
  </si>
  <si>
    <t>Clay Plain Diya Medium 12 Pcs</t>
  </si>
  <si>
    <t>క్లే ప్లేన్ డియా మీడియం 12 పీసీఎస్</t>
  </si>
  <si>
    <t>क्ले प्लेन डिया मीडियम 12 पीसी</t>
  </si>
  <si>
    <t>diya, clay diya, plain diya, medium diya</t>
  </si>
  <si>
    <t>Click Emb</t>
  </si>
  <si>
    <t>క్లిక్ ఎంబీ</t>
  </si>
  <si>
    <t>क्लिक एमबी</t>
  </si>
  <si>
    <t>embroidery, embroidery floss, click embroidery</t>
  </si>
  <si>
    <t>Shan Special Bombay Biryani Mix</t>
  </si>
  <si>
    <t>Clorox 6 Pack Bleach Toilet Bowl Cleaner</t>
  </si>
  <si>
    <t>క్లోరాక్స్ 6 ప్యాక్ బ్లీచ్ టోలెట్ బౌల్ క్లీనర్</t>
  </si>
  <si>
    <t>क्लोरॉक्स 6 पैक ब्लीच टॉयलेट बाउल क्लीनर</t>
  </si>
  <si>
    <t>bleach, toilet bowl cleaner, clorox bleach</t>
  </si>
  <si>
    <t>Cocktail Chicken Samosa</t>
  </si>
  <si>
    <t>కోక్టెయిల్ చికెన్ సమోసా</t>
  </si>
  <si>
    <t>कॉकटेल चिकन समोसा</t>
  </si>
  <si>
    <t>samosa, chicken samosa, cocktail samosa</t>
  </si>
  <si>
    <t>Shan Butter Chicken Mix</t>
  </si>
  <si>
    <t>Coconut</t>
  </si>
  <si>
    <t>కొబ్బరి</t>
  </si>
  <si>
    <t>नारियल</t>
  </si>
  <si>
    <t>['coconut', 'narial']</t>
  </si>
  <si>
    <t>Coconut Cake</t>
  </si>
  <si>
    <t>కొబ్బరి కేక్</t>
  </si>
  <si>
    <t>नारियल केक</t>
  </si>
  <si>
    <t>['coconut cake', 'narial cake']</t>
  </si>
  <si>
    <t>Shan Bihari Kabab Masala</t>
  </si>
  <si>
    <t>Coconut Chikki</t>
  </si>
  <si>
    <t>కొబ్బరి చిక్కీ</t>
  </si>
  <si>
    <t>नारियल चिक्की</t>
  </si>
  <si>
    <t>['coconut chikki', 'narial chikki']</t>
  </si>
  <si>
    <t>Coconut Chutney</t>
  </si>
  <si>
    <t>కొబ్బరి చట్నీ</t>
  </si>
  <si>
    <t>नारियल चटनी</t>
  </si>
  <si>
    <t>['coconut chutney', 'narial chutney']</t>
  </si>
  <si>
    <t>Coconuts Flakes</t>
  </si>
  <si>
    <t>కొబ్బరి పొడి</t>
  </si>
  <si>
    <t>नारियल के दाने</t>
  </si>
  <si>
    <t>['coconut flakes', 'nariyal ki powder']</t>
  </si>
  <si>
    <t>Coffee</t>
  </si>
  <si>
    <t>కాఫీ</t>
  </si>
  <si>
    <t>कॉफी</t>
  </si>
  <si>
    <t>['coffee beans', 'kaapi']</t>
  </si>
  <si>
    <t>CoFresh Jalapeno Grills</t>
  </si>
  <si>
    <t>కోఫ్రెష్ జలపెనో గ్రిల్స్</t>
  </si>
  <si>
    <t>कोफ्रेश जालापेनो ग्रिल्स</t>
  </si>
  <si>
    <t>['cofresh jalapeno', 'jalapeno grills']</t>
  </si>
  <si>
    <t>Coke</t>
  </si>
  <si>
    <t>కోక్</t>
  </si>
  <si>
    <t>कोक</t>
  </si>
  <si>
    <t>['coke drink', 'koka']</t>
  </si>
  <si>
    <t>Colander</t>
  </si>
  <si>
    <t>కొలండర్</t>
  </si>
  <si>
    <t>कोलेंडर</t>
  </si>
  <si>
    <t>['colander', 'strainer', 'kitchen utensil']</t>
  </si>
  <si>
    <t>Cold Brew Coffee</t>
  </si>
  <si>
    <t>కాల్డ్ బ్రూ కాఫీ</t>
  </si>
  <si>
    <t>कोल्ड ब्रू कॉफी</t>
  </si>
  <si>
    <t>['cold brew coffee', 'coffee', 'beverage']</t>
  </si>
  <si>
    <t>Cold Pressed Groundnut Oil</t>
  </si>
  <si>
    <t>కాల్డ్ ప్రెస్డ్ గ్రౌండ్‌నట్ తేనెటీగ నూనె</t>
  </si>
  <si>
    <t>कोल्ड प्रेस्ड ग्राउंडनट तेल</t>
  </si>
  <si>
    <t>['cold pressed oil', 'groundnut oil', 'nut oil']</t>
  </si>
  <si>
    <t>Color Diyas 9 Pcs</t>
  </si>
  <si>
    <t>రంగుల దీపాలు 9 పీసీసీలు</t>
  </si>
  <si>
    <t>रंगीन दिये 9 पीस</t>
  </si>
  <si>
    <t>['color diya', 'diya', 'dipali']</t>
  </si>
  <si>
    <t>Color Sparklers 10-12 Boxes</t>
  </si>
  <si>
    <t>poh | deviceId=DID-384587C8</t>
  </si>
  <si>
    <t>రంగుల స్పార్కలర్లు 10-12 బాక్సులు</t>
  </si>
  <si>
    <t>रंगीन स्पार्कलर 10-12 बॉक्स</t>
  </si>
  <si>
    <t>['color sparkler', 'sparkler', 'firework']</t>
  </si>
  <si>
    <t>Combiflam Icy Hot</t>
  </si>
  <si>
    <t>కాంబిఫ్లామ్ ఆయిసీ హాట్</t>
  </si>
  <si>
    <t>कॉम्बिफ्लेम आइसी हॉट</t>
  </si>
  <si>
    <t>['Combiflam', 'Icy Hot', 'Pain Reliever']</t>
  </si>
  <si>
    <t>Combo 8904063204714</t>
  </si>
  <si>
    <t>poha | deviceId=DID-384587C8</t>
  </si>
  <si>
    <t>కాంబో 8904063204714</t>
  </si>
  <si>
    <t>कॉम्बो 8904063204714</t>
  </si>
  <si>
    <t>['Combo', 'Packaged Goods']</t>
  </si>
  <si>
    <t>Complain</t>
  </si>
  <si>
    <t>క్లేయిన్</t>
  </si>
  <si>
    <t>क्लेन</t>
  </si>
  <si>
    <t>['Antacid', 'Heartburn Relief']</t>
  </si>
  <si>
    <t>Concentrate Pani Puri</t>
  </si>
  <si>
    <t>కాంసెంట్రేట్ పానీ పూరీ</t>
  </si>
  <si>
    <t>कॉन्सेंट्रेट पानी पूरी</t>
  </si>
  <si>
    <t>['Pani Puri', 'Flavor Concentrate']</t>
  </si>
  <si>
    <t>Cookie</t>
  </si>
  <si>
    <t>కుకీ</t>
  </si>
  <si>
    <t>कुकी</t>
  </si>
  <si>
    <t>['cookie', 'biscuit']</t>
  </si>
  <si>
    <t>Cookie Heaven Coconut</t>
  </si>
  <si>
    <t>కుకీ హెవెన్ కొకోనట్</t>
  </si>
  <si>
    <t>कुकी हेवन कोकोनट</t>
  </si>
  <si>
    <t>['Cookie', 'Coconut Flavor']</t>
  </si>
  <si>
    <t>Cookies</t>
  </si>
  <si>
    <t>కుకీస్</t>
  </si>
  <si>
    <t>कुकीज़</t>
  </si>
  <si>
    <t>['cookies', 'biscuits']</t>
  </si>
  <si>
    <t>Cooking Soda</t>
  </si>
  <si>
    <t>కుకింగ్ సోడా</t>
  </si>
  <si>
    <t>कुकिंग सोडा</t>
  </si>
  <si>
    <t>['cooking soda', 'soda bicarb']</t>
  </si>
  <si>
    <t>Copper Ice Cup</t>
  </si>
  <si>
    <t>కప్పర్ ఐస్ కప్</t>
  </si>
  <si>
    <t>कॉपर आइस कप</t>
  </si>
  <si>
    <t>['copper ice cup', 'ice cup']</t>
  </si>
  <si>
    <t>Coriander</t>
  </si>
  <si>
    <t>Dhaniyalu</t>
  </si>
  <si>
    <t>Dhania</t>
  </si>
  <si>
    <t>coriander|dhania|dhaniyalu</t>
  </si>
  <si>
    <t>Coriander Chutney</t>
  </si>
  <si>
    <t>కోరిండర్ చట్నీ</t>
  </si>
  <si>
    <t>कोरीANDर चटनी</t>
  </si>
  <si>
    <t>coriander chutney, coriander, chutney</t>
  </si>
  <si>
    <t>Coriander Powder</t>
  </si>
  <si>
    <t>ధనియాలు పొడి</t>
  </si>
  <si>
    <t>धनिया पाउडर</t>
  </si>
  <si>
    <t>['coriander powder', 'dhania powder']</t>
  </si>
  <si>
    <t>కోరిండర్ పావుర</t>
  </si>
  <si>
    <t>कोरीANDर पाउडर</t>
  </si>
  <si>
    <t>coriander powder, coriander, powder</t>
  </si>
  <si>
    <t>Coriander Powder / Seeds</t>
  </si>
  <si>
    <t>Dhaniyalu / Kotthimera (ధనియాలు)</t>
  </si>
  <si>
    <t>Dhania (धनिया)</t>
  </si>
  <si>
    <t>coriander|dhania|dhaniyalu|kotthimera</t>
  </si>
  <si>
    <t>Coriander Seeds</t>
  </si>
  <si>
    <t>కోరిండర్ బీజాలు</t>
  </si>
  <si>
    <t>कोरीANDर बीज</t>
  </si>
  <si>
    <t>coriander seeds, coriander, seeds</t>
  </si>
  <si>
    <t>Corn Oil</t>
  </si>
  <si>
    <t>కార్న్ ఆయిల్</t>
  </si>
  <si>
    <t>कॉर्न ऑयल</t>
  </si>
  <si>
    <t>corn oil, corn, oil</t>
  </si>
  <si>
    <t>Cothas Coffee</t>
  </si>
  <si>
    <t>కోథాస్ కాఫీ</t>
  </si>
  <si>
    <t>कोथास कॉफी</t>
  </si>
  <si>
    <t>['coffee', 'cothas']</t>
  </si>
  <si>
    <t>Cottage Cheese (Paneer)</t>
  </si>
  <si>
    <t>Paneer (పన్నీర్)</t>
  </si>
  <si>
    <t>Paneer (पनीर)</t>
  </si>
  <si>
    <t>paneer|cottage-cheese</t>
  </si>
  <si>
    <t>Cracked Wheat</t>
  </si>
  <si>
    <t>Shan Char Masala</t>
  </si>
  <si>
    <t>క్రాక్డ్ వీట</t>
  </si>
  <si>
    <t>क्रैक्ड वीट</t>
  </si>
  <si>
    <t>['cracked wheat']</t>
  </si>
  <si>
    <t>Cream Roll</t>
  </si>
  <si>
    <t>క్రీం రోల్</t>
  </si>
  <si>
    <t>क्रीम रोल</t>
  </si>
  <si>
    <t>['cream roll']</t>
  </si>
  <si>
    <t>Crispy Ajwain Cookies</t>
  </si>
  <si>
    <t>క్రిస్పీ ఆజ్వైన్ కుక్కీలు</t>
  </si>
  <si>
    <t>क्रिस्पी अजवाइन कुकीज़</t>
  </si>
  <si>
    <t>['ajwain cookies', 'crispy cookies', 'indian cookies']</t>
  </si>
  <si>
    <t>Crispy Almond Cake Rusk</t>
  </si>
  <si>
    <t>క్రిస్పీ ఆల్మండ్ కేక్ రస్క్</t>
  </si>
  <si>
    <t>char magaj</t>
  </si>
  <si>
    <t>क्रिस्पी बादाम केक रस्क</t>
  </si>
  <si>
    <t>['almond cake', 'crispy rusk', 'indian bakery']</t>
  </si>
  <si>
    <t>Crispy Eggless Cake Rusk</t>
  </si>
  <si>
    <t>క్రిస్పీ ఎగ్గులేని కేక్ రస్క్</t>
  </si>
  <si>
    <t>क्रिस्पी अंडे वाला केक रस्क</t>
  </si>
  <si>
    <t>['eggless cake', 'crispy rusk', 'indian bakery']</t>
  </si>
  <si>
    <t>Shan Aaloo Bhaji Recipe &amp; Seasoning Mix</t>
  </si>
  <si>
    <t>Crispy Fried Chicken Mix</t>
  </si>
  <si>
    <t>క్రిస్పీ ఫ్రైడ్ చికెన్ మిక్స్</t>
  </si>
  <si>
    <t>क्रिस्पी फ्राइड चिकन मिक्स</t>
  </si>
  <si>
    <t>['crispy fried chicken', 'chicken mix', 'indian snacks']</t>
  </si>
  <si>
    <t>Crispy Gur Punjabi Cookies</t>
  </si>
  <si>
    <t>క్రిస్పీ గుర్ పంజాబీ కుక్కీలు</t>
  </si>
  <si>
    <t>क्रिस्पी गुड़ पंजाबी कुकीज़</t>
  </si>
  <si>
    <t>['gur cookies', 'punjabi cookies', 'indian sweets']</t>
  </si>
  <si>
    <t>Shan Achar Gosht Masala</t>
  </si>
  <si>
    <t>Crispy Peepewali Cookies</t>
  </si>
  <si>
    <t>ja | deviceId=DID-22521A9B</t>
  </si>
  <si>
    <t>crispy-peepewali-cookies</t>
  </si>
  <si>
    <t>Crispy Punjabi Cookies</t>
  </si>
  <si>
    <t>MDH Chana Dal Masala</t>
  </si>
  <si>
    <t>crispy-punjabi-cookies</t>
  </si>
  <si>
    <t>Crispy Tea Toast</t>
  </si>
  <si>
    <t>crispy-tea-toast</t>
  </si>
  <si>
    <t>Crispy Veg Punjabi Cookies</t>
  </si>
  <si>
    <t>MDH Baingan Bhartaa Masala</t>
  </si>
  <si>
    <t>crispy-veg-punjabi-cookies</t>
  </si>
  <si>
    <t>Crown Kulfi</t>
  </si>
  <si>
    <t>crown-kulfi</t>
  </si>
  <si>
    <t>Crystal Sona Masoori Rice 20 Lb</t>
  </si>
  <si>
    <t>Laxmi White Pepper Whole</t>
  </si>
  <si>
    <t>crystal-sona-masoori-rice-20-lb</t>
  </si>
  <si>
    <t>jag | deviceId=DID-22521A9B</t>
  </si>
  <si>
    <t>Ctelugu Chethi</t>
  </si>
  <si>
    <t>ctelugu-chethi</t>
  </si>
  <si>
    <t>Laxmi White Pepper Powder</t>
  </si>
  <si>
    <t>Cumin Seeds</t>
  </si>
  <si>
    <t>Jilakarra (జిలకర)</t>
  </si>
  <si>
    <t>Jeera (जीरा)</t>
  </si>
  <si>
    <t>cumin|jeera|jilakarra</t>
  </si>
  <si>
    <t>jagr | deviceId=DID-22521A9B</t>
  </si>
  <si>
    <t>cumin|jeera|jilakarra|seeds</t>
  </si>
  <si>
    <t>Haldiram's Gobbles Pani Puri Kit</t>
  </si>
  <si>
    <t>Jilakarra</t>
  </si>
  <si>
    <t>Jeera</t>
  </si>
  <si>
    <t>jagry | deviceId=DID-22521A9B</t>
  </si>
  <si>
    <t>Curry Leaves2051</t>
  </si>
  <si>
    <t>Pani Puri Shells Pack</t>
  </si>
  <si>
    <t>curry-leaves2051</t>
  </si>
  <si>
    <t>Curry Powder 1</t>
  </si>
  <si>
    <t>curry-powder-1</t>
  </si>
  <si>
    <t>idya | deviceId=DID-22521A9B</t>
  </si>
  <si>
    <t>Custaed Powder</t>
  </si>
  <si>
    <t>BYADGI CHILLI (With Stem)</t>
  </si>
  <si>
    <t>custaed-powder</t>
  </si>
  <si>
    <t>Cut Mango</t>
  </si>
  <si>
    <t>cut-mango</t>
  </si>
  <si>
    <t>Daawat Brown Basmati Rice</t>
  </si>
  <si>
    <t>Rack 56</t>
  </si>
  <si>
    <t>oul | deviceId=DID-384587C8</t>
  </si>
  <si>
    <t>daawat-brown-basmati-rice</t>
  </si>
  <si>
    <t>DRY WHOLE RED CHILLIES - BYADGI</t>
  </si>
  <si>
    <t>Dabar Real</t>
  </si>
  <si>
    <t>dabar-real</t>
  </si>
  <si>
    <t>dry whole chilli|spices|chilli|mirchi|chili</t>
  </si>
  <si>
    <t>Dabur 1</t>
  </si>
  <si>
    <t>DRY WHOLE RED CHILLIES</t>
  </si>
  <si>
    <t>dabur-1</t>
  </si>
  <si>
    <t>istam | deviceId=DID-22521A9B</t>
  </si>
  <si>
    <t>dabur-amla-jasmine-hair-oil</t>
  </si>
  <si>
    <t>Dabur Real Litchi</t>
  </si>
  <si>
    <t>Anand 2002 DRY WHOLE &amp; DRY WHOLE CHILLIES TEJA KARNATAKA BYADAGI</t>
  </si>
  <si>
    <t>dabur-real-litchi</t>
  </si>
  <si>
    <t>Dabur Real Mosambi</t>
  </si>
  <si>
    <t>istam oi | deviceId=DID-22521A9B</t>
  </si>
  <si>
    <t>dabur-real-mosambi</t>
  </si>
  <si>
    <t>Rack 57</t>
  </si>
  <si>
    <t>Jiyas Spice Bottle (Red)</t>
  </si>
  <si>
    <t>Dabur Red</t>
  </si>
  <si>
    <t>dabur-red</t>
  </si>
  <si>
    <t>oil | deviceId=DID-384587C8</t>
  </si>
  <si>
    <t>Dabur Vatika Hair Cream 1</t>
  </si>
  <si>
    <t>Jiyas Spice Bottle (Green)</t>
  </si>
  <si>
    <t>dabur-vatika-hair-cream-1</t>
  </si>
  <si>
    <t>Dabur Vatika Hair Oil</t>
  </si>
  <si>
    <t>dabur-vatika-hair-oil</t>
  </si>
  <si>
    <t>kwikmeal Kwik Chicken Masala</t>
  </si>
  <si>
    <t>Dabur Vatika Lemon 210 Ml</t>
  </si>
  <si>
    <t>dabur-vatika-lemon-210-ml</t>
  </si>
  <si>
    <t>chicken tikka masala</t>
  </si>
  <si>
    <t>Device Type</t>
  </si>
  <si>
    <t>OS</t>
  </si>
  <si>
    <t>Browser</t>
  </si>
  <si>
    <t>Visit Count</t>
  </si>
  <si>
    <t>Chef's Kebab</t>
  </si>
  <si>
    <t>Dabur Vatika Olive Cactus Henna Hair Cream</t>
  </si>
  <si>
    <t>dabur-vatika-olive-cactus-henna-hair-cream</t>
  </si>
  <si>
    <t>Dabur Vatika Olive Hair</t>
  </si>
  <si>
    <t>dabur-vatika-olive-hair</t>
  </si>
  <si>
    <t>Dahi Kebabs</t>
  </si>
  <si>
    <t>istam oil | deviceId=DID-22521A9B</t>
  </si>
  <si>
    <t>chicken kabab</t>
  </si>
  <si>
    <t>dahi-kebabs</t>
  </si>
  <si>
    <t>SWAD KASHMIRI WHOLE CHILLI</t>
  </si>
  <si>
    <t>Dahi Wada</t>
  </si>
  <si>
    <t>dahi-wada</t>
  </si>
  <si>
    <t>Daily Delight Idiappam</t>
  </si>
  <si>
    <t>daily-delight-idiappam</t>
  </si>
  <si>
    <t>mirchi|chili</t>
  </si>
  <si>
    <t>Rack 58</t>
  </si>
  <si>
    <t>Daily Delight Idiappam Brown</t>
  </si>
  <si>
    <t>SWAD TEJA CHILLI</t>
  </si>
  <si>
    <t>daily-delight-idiappam-brown</t>
  </si>
  <si>
    <t>Daily Delight Idli</t>
  </si>
  <si>
    <t>daily-delight-idli</t>
  </si>
  <si>
    <t>chili|mirchi|powder chilli|chilli powder swad</t>
  </si>
  <si>
    <t>Daily Delight Malabar Porotta</t>
  </si>
  <si>
    <t>Telugu WHOLE RED CHILLIES</t>
  </si>
  <si>
    <t>daily-delight-malabar-porotta</t>
  </si>
  <si>
    <t>Daily Delight Palappam</t>
  </si>
  <si>
    <t>daily-delight-palappam</t>
  </si>
  <si>
    <t>chili</t>
  </si>
  <si>
    <t>Daily Delight Tapioca</t>
  </si>
  <si>
    <t>LAXMI WHOLE KASHMIRI WHOLE CHILLIES</t>
  </si>
  <si>
    <t>daily-delight-tapioca</t>
  </si>
  <si>
    <t>Dairy Milk Fruit Nut</t>
  </si>
  <si>
    <t>dairy-milk-fruit-nut</t>
  </si>
  <si>
    <t>chilli|mirchi|chili|spices</t>
  </si>
  <si>
    <t>Dal Chawal Mix</t>
  </si>
  <si>
    <t>dal-chawal-mix</t>
  </si>
  <si>
    <t>LAXMI ROUND RED CHILIES</t>
  </si>
  <si>
    <t>Dal Fry Chawal</t>
  </si>
  <si>
    <t>dal-fry-chawal</t>
  </si>
  <si>
    <t>Dal Makhani</t>
  </si>
  <si>
    <t>dal-makhani</t>
  </si>
  <si>
    <t>chilli|mirchi|chili</t>
  </si>
  <si>
    <t>Dal Palak</t>
  </si>
  <si>
    <t>Rack 59</t>
  </si>
  <si>
    <t>LAXMI WHOLE RED CHILLIES</t>
  </si>
  <si>
    <t>dal-palak</t>
  </si>
  <si>
    <t>Dal Tadka</t>
  </si>
  <si>
    <t>dal-tadka</t>
  </si>
  <si>
    <t>Dant Kranti</t>
  </si>
  <si>
    <t>Richi product</t>
  </si>
  <si>
    <t>dant-kranti</t>
  </si>
  <si>
    <t>Date Rolls</t>
  </si>
  <si>
    <t>date-rolls</t>
  </si>
  <si>
    <t>Other</t>
  </si>
  <si>
    <t>Dates</t>
  </si>
  <si>
    <t>LAXMI WHOLE DRY RED CHILLIES</t>
  </si>
  <si>
    <t>dates</t>
  </si>
  <si>
    <t>Day Calcutta Pan</t>
  </si>
  <si>
    <t>day-calcutta-pan</t>
  </si>
  <si>
    <t>chilli|mirchi|dry whole chilli|spices|chili</t>
  </si>
  <si>
    <t>Dd Chicken 65</t>
  </si>
  <si>
    <t>Ching's Secret Veg Hakka Noodles</t>
  </si>
  <si>
    <t>dd-chicken-65</t>
  </si>
  <si>
    <t>Dd Sambar Mix</t>
  </si>
  <si>
    <t>dd-sambar-mix</t>
  </si>
  <si>
    <t>rice vermicelli</t>
  </si>
  <si>
    <t>Deep Ajman Seeds</t>
  </si>
  <si>
    <t>Below Rack 59</t>
  </si>
  <si>
    <t>deep-ajman-seeds</t>
  </si>
  <si>
    <t>VSPICE Veggies Cup Noodles Manchow</t>
  </si>
  <si>
    <t>Deep Ajwain Paratha</t>
  </si>
  <si>
    <t>డీప్ అజ్వైన్ పరాఠా</t>
  </si>
  <si>
    <t>डीप अजवाइन पराठा</t>
  </si>
  <si>
    <t>['deep ajwain paratha', 'deep carom seeds flatbread']</t>
  </si>
  <si>
    <t>MAGGI 2-Minute Noodles</t>
  </si>
  <si>
    <t>Deep Ajwain Seeds</t>
  </si>
  <si>
    <t>deep-ajwain-seeds</t>
  </si>
  <si>
    <t>Deep All In One</t>
  </si>
  <si>
    <t>deep-all-in-one</t>
  </si>
  <si>
    <t>Deep Aloo Paratha</t>
  </si>
  <si>
    <t>deep-aloo-paratha</t>
  </si>
  <si>
    <t>Deep Amachur Powder 7oz</t>
  </si>
  <si>
    <t>deep-amachur-powder-7oz</t>
  </si>
  <si>
    <t>Deep Amba Halder Pickle</t>
  </si>
  <si>
    <t>deep-amba-halder-pickle</t>
  </si>
  <si>
    <t>Deep Amchur Mango Powder</t>
  </si>
  <si>
    <t>deep-amchur-mango-powder</t>
  </si>
  <si>
    <t>Deep Amla</t>
  </si>
  <si>
    <t>atta</t>
  </si>
  <si>
    <t>deep-amla</t>
  </si>
  <si>
    <t>Aachi MASALA</t>
  </si>
  <si>
    <t>Deep Anardana</t>
  </si>
  <si>
    <t>deep-anardana</t>
  </si>
  <si>
    <t>rf | deviceId=DID-384587C8</t>
  </si>
  <si>
    <t>Deep Arvi</t>
  </si>
  <si>
    <t>deep-arvi</t>
  </si>
  <si>
    <t>Anand's product</t>
  </si>
  <si>
    <t>Deep Babus Paneer Tikka</t>
  </si>
  <si>
    <t>deep-babus-paneer-tikka</t>
  </si>
  <si>
    <t>Deep Baingan Bhartha</t>
  </si>
  <si>
    <t>deep-baingan-bhartha</t>
  </si>
  <si>
    <t>LAXMI WHOLE KASHMIRI RED CHILIES</t>
  </si>
  <si>
    <t>Deep Bajri Flour</t>
  </si>
  <si>
    <t>deep-bajri-flour</t>
  </si>
  <si>
    <t>Deep Basmati Rice 2 Lb</t>
  </si>
  <si>
    <t>deep-basmati-rice-2-lb</t>
  </si>
  <si>
    <t>rfp | deviceId=DID-384587C8</t>
  </si>
  <si>
    <t>Deep Besan</t>
  </si>
  <si>
    <t>LAXMI WHOLE JAVANTRI</t>
  </si>
  <si>
    <t>deep-besan</t>
  </si>
  <si>
    <t>Deep Besan Flour</t>
  </si>
  <si>
    <t>deep-besan-flour</t>
  </si>
  <si>
    <t>SWAD GINGER POWDER</t>
  </si>
  <si>
    <t>Deep Besan Ladoo 400 Gms</t>
  </si>
  <si>
    <t>deep-besan-ladoo-400-gms</t>
  </si>
  <si>
    <t>adarak|adrak|allam</t>
  </si>
  <si>
    <t>Deep Bhakri Flour</t>
  </si>
  <si>
    <t>SWAD GARAM MASALA</t>
  </si>
  <si>
    <t>deep-bhakri-flour</t>
  </si>
  <si>
    <t>Deep Bhatura</t>
  </si>
  <si>
    <t>deep-bhatura</t>
  </si>
  <si>
    <t>spice|spices</t>
  </si>
  <si>
    <t>Deep Bhel Mix</t>
  </si>
  <si>
    <t>Instant Noodles</t>
  </si>
  <si>
    <t>deep-bhel-mix</t>
  </si>
  <si>
    <t>Deep Bhindi Baby Okra</t>
  </si>
  <si>
    <t>deep-bhindi-baby-okra</t>
  </si>
  <si>
    <t>SPICY CHEESY</t>
  </si>
  <si>
    <t>Deep Bhindi Cut</t>
  </si>
  <si>
    <t>deep-bhindi-cut</t>
  </si>
  <si>
    <t>Deep Boondi</t>
  </si>
  <si>
    <t>spicy muruku</t>
  </si>
  <si>
    <t>deep-boondi</t>
  </si>
  <si>
    <t>Banna Nawab Paya Nihari</t>
  </si>
  <si>
    <t>Deep Brown Basmati Rice 2 Lb</t>
  </si>
  <si>
    <t>deep-brown-basmati-rice-2-lb</t>
  </si>
  <si>
    <t>indian spice mix</t>
  </si>
  <si>
    <t>Deep Chai Puri 340 Gms</t>
  </si>
  <si>
    <t>deep-chai-puri-340-gms</t>
  </si>
  <si>
    <t>Banna Nawab Paneer Butter</t>
  </si>
  <si>
    <t>Deep Chana Dal Samosa</t>
  </si>
  <si>
    <t>deep-chana-dal-samosa</t>
  </si>
  <si>
    <t>Deep Chauri</t>
  </si>
  <si>
    <t>Dairy &amp; Paneer</t>
  </si>
  <si>
    <t>deep-chauri</t>
  </si>
  <si>
    <t>Banna Nawab Mutton Masala</t>
  </si>
  <si>
    <t>Deep Chhole</t>
  </si>
  <si>
    <t>deep-chhole</t>
  </si>
  <si>
    <t>Deep Chikoo Slices</t>
  </si>
  <si>
    <t>Banna Nawab Biryani</t>
  </si>
  <si>
    <t>deep-chikoo-slices</t>
  </si>
  <si>
    <t>Deep Cktail Samosa Chan Dal</t>
  </si>
  <si>
    <t>deep-cktail-samosa-chan-dal</t>
  </si>
  <si>
    <t>Everest Kasuri Methi</t>
  </si>
  <si>
    <t>Deep Coconut</t>
  </si>
  <si>
    <t>deep-coconut</t>
  </si>
  <si>
    <t>Deep Coconut Chutney</t>
  </si>
  <si>
    <t>Swad Kasuri Methi</t>
  </si>
  <si>
    <t>deep-coconut-chutney</t>
  </si>
  <si>
    <t>Deep Coconut Water</t>
  </si>
  <si>
    <t>deep-coconut-water</t>
  </si>
  <si>
    <t>Aashirvaad Aata</t>
  </si>
  <si>
    <t>Deep Coriander Chutney</t>
  </si>
  <si>
    <t>deep-coriander-chutney</t>
  </si>
  <si>
    <t>Deep Coriander Seeds</t>
  </si>
  <si>
    <t>atta|wheat flour</t>
  </si>
  <si>
    <t>deep-coriander-seeds</t>
  </si>
  <si>
    <t>Ching's Secret Veg Manchurian Masala Mix</t>
  </si>
  <si>
    <t>Deep Cow Ghee</t>
  </si>
  <si>
    <t>deep-cow-ghee</t>
  </si>
  <si>
    <t>Deep Cream Role Chocolate</t>
  </si>
  <si>
    <t>deep-cream-role-chocolate</t>
  </si>
  <si>
    <t>Ching's Secret Paneer Chilli Masala</t>
  </si>
  <si>
    <t>Deep Crispy Fried Onion</t>
  </si>
  <si>
    <t>deep-crispy-fried-onion</t>
  </si>
  <si>
    <t>Deep Cumin Seeds</t>
  </si>
  <si>
    <t>డీప్ జీరా బీజాలు</t>
  </si>
  <si>
    <t>डीप जीरा बीज</t>
  </si>
  <si>
    <t>['cumin seeds', 'jeera']</t>
  </si>
  <si>
    <t>Deep Cumin Seeds 7oz</t>
  </si>
  <si>
    <t>deep-cumin-seeds-7oz</t>
  </si>
  <si>
    <t>Deep Curry Powder Hot</t>
  </si>
  <si>
    <t>డీప్ కరీ పావురు వేడి</t>
  </si>
  <si>
    <t>डीप करी पाउडर गरम</t>
  </si>
  <si>
    <t>['curry powder', 'hot curry powder']</t>
  </si>
  <si>
    <t>Deep Daabeli</t>
  </si>
  <si>
    <t>deep-daabeli</t>
  </si>
  <si>
    <t>Deep Dahi Vada</t>
  </si>
  <si>
    <t>deep-dahi-vada</t>
  </si>
  <si>
    <t>Ching's Secret Chicken 65</t>
  </si>
  <si>
    <t>Deep Dahi Whole Milk</t>
  </si>
  <si>
    <t>deep-dahi-whole-milk</t>
  </si>
  <si>
    <t>Deep Dhokla Flour</t>
  </si>
  <si>
    <t>deep-dhokla-flour</t>
  </si>
  <si>
    <t>Sakthi Garlic Rice Mix</t>
  </si>
  <si>
    <t>Deep Dosa Mix</t>
  </si>
  <si>
    <t>deep-dosa-mix</t>
  </si>
  <si>
    <t>Deep Drumsticks</t>
  </si>
  <si>
    <t>డీప్ డ్రమ్‌స్టిక్స్</t>
  </si>
  <si>
    <t>Sakthi Chicken Mix</t>
  </si>
  <si>
    <t>डीप ड्रमस्टिक्स</t>
  </si>
  <si>
    <t>['drumsticks', 'deep drumsticks']</t>
  </si>
  <si>
    <t>Deep Dum Aloo</t>
  </si>
  <si>
    <t>deep-dum-aloo</t>
  </si>
  <si>
    <t>Deep Extra Long Grain Basmati Rice 2 Lb</t>
  </si>
  <si>
    <t>deep-extra-long-grain-basmati-rice-2-lb</t>
  </si>
  <si>
    <t>Deep Fada</t>
  </si>
  <si>
    <t>deep-fada</t>
  </si>
  <si>
    <t>Deep Fada Kansar</t>
  </si>
  <si>
    <t>deep-fada-kansar</t>
  </si>
  <si>
    <t>Deep Fansi</t>
  </si>
  <si>
    <t>Sakthi Biryani Masala</t>
  </si>
  <si>
    <t>deep-fansi</t>
  </si>
  <si>
    <t>Deep Fennel Seeds</t>
  </si>
  <si>
    <t>deep-fennel-seeds</t>
  </si>
  <si>
    <t>Deep Fruity Biscuits</t>
  </si>
  <si>
    <t>rfg | deviceId=DID-384587C8</t>
  </si>
  <si>
    <t>deep-fruity-biscuits</t>
  </si>
  <si>
    <t>Deep Garam Masala</t>
  </si>
  <si>
    <t>Aachi Chicken Masala</t>
  </si>
  <si>
    <t>deep-garam-masala</t>
  </si>
  <si>
    <t>Deep Garam Masala 50 Gram</t>
  </si>
  <si>
    <t>deep-garam-masala-50-gram</t>
  </si>
  <si>
    <t>Aachi Mutton Masala</t>
  </si>
  <si>
    <t>Deep Garlic Green Jeer Papad</t>
  </si>
  <si>
    <t>deep-garlic-green-jeer-papad</t>
  </si>
  <si>
    <t>Deep Garlic Naan</t>
  </si>
  <si>
    <t>Shan Paya Nehari</t>
  </si>
  <si>
    <t>deep-garlic-naan</t>
  </si>
  <si>
    <t>Deep Ginger Garlic Paste</t>
  </si>
  <si>
    <t>డీప్ గింజర్ గార్లిక్ పేస్ట్</t>
  </si>
  <si>
    <t>डीप गिंजर गार्लिक पेस्ट</t>
  </si>
  <si>
    <t>['ginger garlic paste', 'deep paste', 'condiment']</t>
  </si>
  <si>
    <t>Deep Ginger Paste</t>
  </si>
  <si>
    <t>deep-ginger-paste</t>
  </si>
  <si>
    <t>Deep Green Peas</t>
  </si>
  <si>
    <t>co | deviceId=DID-37BBF33C</t>
  </si>
  <si>
    <t>deep-green-peas</t>
  </si>
  <si>
    <t>Deep Gulab Jamun Mix</t>
  </si>
  <si>
    <t>deep-gulab-jamun-mix</t>
  </si>
  <si>
    <t>Shan Pav Bhaji</t>
  </si>
  <si>
    <t>Deep Guvar Cut</t>
  </si>
  <si>
    <t>deep-guvar-cut</t>
  </si>
  <si>
    <t>coco | deviceId=DID-37BBF33C</t>
  </si>
  <si>
    <t>Deep Handva Flour</t>
  </si>
  <si>
    <t>Shan Taster Butter Chicken Mix</t>
  </si>
  <si>
    <t>deep-handva-flour</t>
  </si>
  <si>
    <t>Deep Handvo Mix</t>
  </si>
  <si>
    <t>deep-handvo-mix</t>
  </si>
  <si>
    <t>honey | deviceId=DID-7A5AC9F4</t>
  </si>
  <si>
    <t>Shan Nihari Masala</t>
  </si>
  <si>
    <t>Deep Homestyle Paratha</t>
  </si>
  <si>
    <t>deep-homestyle-paratha</t>
  </si>
  <si>
    <t>Deep Hot Mango Pickle</t>
  </si>
  <si>
    <t>deep-hot-mango-pickle</t>
  </si>
  <si>
    <t>milk | deviceId=DID-7A5AC9F4</t>
  </si>
  <si>
    <t>Deep Hot Mix Ex Hot</t>
  </si>
  <si>
    <t>deep-hot-mix-ex-hot</t>
  </si>
  <si>
    <t>Deep Hot Mix Original</t>
  </si>
  <si>
    <t>deep-hot-mix-original</t>
  </si>
  <si>
    <t>jeera | deviceId=DID-239CB3FA</t>
  </si>
  <si>
    <t>Shan Bombay Biryani Mix</t>
  </si>
  <si>
    <t>Deep Idli Mix</t>
  </si>
  <si>
    <t>deep-idli-mix</t>
  </si>
  <si>
    <t>Deep Jumbo Punjabi Samosas</t>
  </si>
  <si>
    <t>డీప్ జమ్బో పంజాబీ సమోసాలు</t>
  </si>
  <si>
    <t>masala|spice|indian rice dish|mixed rice|indian spices</t>
  </si>
  <si>
    <t>डीप जंबो पंजाबी समोसे</t>
  </si>
  <si>
    <t>samosas, punjabi samosas, deep fried samosas</t>
  </si>
  <si>
    <t>Shan Mutton Masala</t>
  </si>
  <si>
    <t>ragi | deviceId=DID-239CB3FA</t>
  </si>
  <si>
    <t>Deep Kaju Katli</t>
  </si>
  <si>
    <t>deep-kaju-katli</t>
  </si>
  <si>
    <t>Deep Kala Chana Besan</t>
  </si>
  <si>
    <t>deep-kala-chana-besan</t>
  </si>
  <si>
    <t>Shan Chicken Karahi</t>
  </si>
  <si>
    <t>ragi, milk | deviceId=DID-239CB3FA</t>
  </si>
  <si>
    <t>Deep Kala Kand</t>
  </si>
  <si>
    <t>deep-kala-kand</t>
  </si>
  <si>
    <t>chicken masala|indian spices</t>
  </si>
  <si>
    <t>Deep Kamarkas</t>
  </si>
  <si>
    <t>Shan Master Curry</t>
  </si>
  <si>
    <t>deep-kamarkas</t>
  </si>
  <si>
    <t>Deep Kantola</t>
  </si>
  <si>
    <t>deep-kantola</t>
  </si>
  <si>
    <t>curry powder|hot curry powder</t>
  </si>
  <si>
    <t>ragi, milk, | deviceId=DID-239CB3FA</t>
  </si>
  <si>
    <t>Deep Katki Mango Sweet</t>
  </si>
  <si>
    <t>deep-katki-mango-sweet</t>
  </si>
  <si>
    <t>Shan Haleem Mix</t>
  </si>
  <si>
    <t>Deep Khakhara Bajri</t>
  </si>
  <si>
    <t>deep-khakhara-bajri</t>
  </si>
  <si>
    <t>ragi, milk, curd | deviceId=DID-239CB3FA</t>
  </si>
  <si>
    <t>Deep Khakhara Chorafali</t>
  </si>
  <si>
    <t>spice mix</t>
  </si>
  <si>
    <t>deep-khakhara-chorafali</t>
  </si>
  <si>
    <t>Shan Achari Chicken Masala</t>
  </si>
  <si>
    <t>Deep Khakhara Jeera</t>
  </si>
  <si>
    <t>deep-khakhara-jeera</t>
  </si>
  <si>
    <t>curd | deviceId=DID-239CB3FA</t>
  </si>
  <si>
    <t>Deep Khakhara Masala</t>
  </si>
  <si>
    <t>deep-khakhara-masala</t>
  </si>
  <si>
    <t>Shan Fish Fry</t>
  </si>
  <si>
    <t>Deep Khakhara Math</t>
  </si>
  <si>
    <t>deep-khakhara-math</t>
  </si>
  <si>
    <t>Deep Khakhara Mathia</t>
  </si>
  <si>
    <t>Shan Fried Fish Masala</t>
  </si>
  <si>
    <t>deep-khakhara-mathia</t>
  </si>
  <si>
    <t>Deep Khakhara Pizza</t>
  </si>
  <si>
    <t>deep-khakhara-pizza</t>
  </si>
  <si>
    <t>Deep Khaman</t>
  </si>
  <si>
    <t>Laxmi XXL Whole Red Chillies</t>
  </si>
  <si>
    <t>kaa | deviceId=DID-37BBF33C</t>
  </si>
  <si>
    <t>deep-khaman</t>
  </si>
  <si>
    <t>Deep Khaman Mix</t>
  </si>
  <si>
    <t>deep-khaman-mix</t>
  </si>
  <si>
    <t>Laxmi Kala Jeera</t>
  </si>
  <si>
    <t>Deep Khari Jeera</t>
  </si>
  <si>
    <t>deep-khari-jeera</t>
  </si>
  <si>
    <t>ka | deviceId=DID-37BBF33C</t>
  </si>
  <si>
    <t>Deep Khari Methi</t>
  </si>
  <si>
    <t>Laxmi Whole Cumin Seeds</t>
  </si>
  <si>
    <t>deep-khari-methi</t>
  </si>
  <si>
    <t>Deep Khichiya Green Chili</t>
  </si>
  <si>
    <t>deep-khichiya-green-chili</t>
  </si>
  <si>
    <t>karam | deviceId=DID-37BBF33C</t>
  </si>
  <si>
    <t>Deep Khichiya Jeera</t>
  </si>
  <si>
    <t>deep-khichiya-jeera</t>
  </si>
  <si>
    <t>Deep Khichiya Plain</t>
  </si>
  <si>
    <t>deep-khichiya-plain</t>
  </si>
  <si>
    <t>haldi | deviceId=DID-37BBF33C</t>
  </si>
  <si>
    <t>Laxmi Whole Green Cardamom</t>
  </si>
  <si>
    <t>Deep Khichiya Red Chilli With Garli</t>
  </si>
  <si>
    <t>deep-khichiya-red-chilli-with-garli</t>
  </si>
  <si>
    <t>Deep Khichiya Upvas Sago</t>
  </si>
  <si>
    <t>elaichi seeds</t>
  </si>
  <si>
    <t>deep-khichiya-upvas-sago</t>
  </si>
  <si>
    <t>Laxmi Whole Cloves</t>
  </si>
  <si>
    <t>Deep Ladoo Besan</t>
  </si>
  <si>
    <t>pasupu | deviceId=DID-2F83F36B</t>
  </si>
  <si>
    <t>deep-ladoo-besan</t>
  </si>
  <si>
    <t>Deep Lilva Kachori</t>
  </si>
  <si>
    <t>deep-lilva-kachori</t>
  </si>
  <si>
    <t>Laxmi Star Anise</t>
  </si>
  <si>
    <t>gold | deviceId=DID-2F83F36B</t>
  </si>
  <si>
    <t>Deep Lime Pickle Sweet</t>
  </si>
  <si>
    <t>deep-lime-pickle-sweet</t>
  </si>
  <si>
    <t>Deep Lotus Root Cut</t>
  </si>
  <si>
    <t>deep-lotus-root-cut</t>
  </si>
  <si>
    <t>Deep Maida</t>
  </si>
  <si>
    <t>deep-maida</t>
  </si>
  <si>
    <t>Laxmi Cinnamon Sticks</t>
  </si>
  <si>
    <t>Deep Maida 2 Lb</t>
  </si>
  <si>
    <t>deep-maida-2-lb</t>
  </si>
  <si>
    <t>Deep Masala Boondi</t>
  </si>
  <si>
    <t>dalchini</t>
  </si>
  <si>
    <t>deep-masala-boondi</t>
  </si>
  <si>
    <t>Laxmi Whole Fenugreek Seeds</t>
  </si>
  <si>
    <t>suja | deviceId=DID-2F83F36B</t>
  </si>
  <si>
    <t>Deep Masala Paratha</t>
  </si>
  <si>
    <t>deep-masala-paratha</t>
  </si>
  <si>
    <t>Deep Mathia</t>
  </si>
  <si>
    <t>aavalu</t>
  </si>
  <si>
    <t>deep-mathia</t>
  </si>
  <si>
    <t>Laxmi Dry Whole Chillies</t>
  </si>
  <si>
    <t>Deep Methi</t>
  </si>
  <si>
    <t>deep-methi</t>
  </si>
  <si>
    <t>chilli|mirchi|dry whole chilli|chili</t>
  </si>
  <si>
    <t>Deep Methi Paratha</t>
  </si>
  <si>
    <t>Laxmi Kalonji Seeds</t>
  </si>
  <si>
    <t>deep-methi-paratha</t>
  </si>
  <si>
    <t>Deep Milk Mava Powder</t>
  </si>
  <si>
    <t>deep-milk-mava-powder</t>
  </si>
  <si>
    <t>carom seeds|elaichi seeds</t>
  </si>
  <si>
    <t>Deep Mini Toast</t>
  </si>
  <si>
    <t>Swad Garlic Powder</t>
  </si>
  <si>
    <t>deep-mini-toast</t>
  </si>
  <si>
    <t>Deep Mint Chutney</t>
  </si>
  <si>
    <t>lahsun|vellulli</t>
  </si>
  <si>
    <t>deep-mint-chutney</t>
  </si>
  <si>
    <t>Butt's Ginger Powder</t>
  </si>
  <si>
    <t>Deep Mix Vegetable Samosa</t>
  </si>
  <si>
    <t>deep-mix-vegetable-samosa</t>
  </si>
  <si>
    <t>Deep Mixed Pickle</t>
  </si>
  <si>
    <t>deep-mixed-pickle</t>
  </si>
  <si>
    <t>Deep Mixed Vegetable</t>
  </si>
  <si>
    <t>deep-mixed-vegetable</t>
  </si>
  <si>
    <t>Deep Mooli Paratha</t>
  </si>
  <si>
    <t>deep-mooli-paratha</t>
  </si>
  <si>
    <t>Deep Moong Dal Flour</t>
  </si>
  <si>
    <t>deep-moong-dal-flour</t>
  </si>
  <si>
    <t>Deep Moong Flour</t>
  </si>
  <si>
    <t>deep-moong-flour</t>
  </si>
  <si>
    <t>Deep Mustard</t>
  </si>
  <si>
    <t>deep-mustard</t>
  </si>
  <si>
    <t>Deep Mustard Oil</t>
  </si>
  <si>
    <t>deep-mustard-oil</t>
  </si>
  <si>
    <t>Deep Mustard Seeds 7oz</t>
  </si>
  <si>
    <t>deep-mustard-seeds-7oz</t>
  </si>
  <si>
    <t>Deep Naan</t>
  </si>
  <si>
    <t>deep-naan</t>
  </si>
  <si>
    <t>Deep Nankhatai</t>
  </si>
  <si>
    <t>deep-nankhatai</t>
  </si>
  <si>
    <t>Deep Onion Kulcha</t>
  </si>
  <si>
    <t>deep-onion-kulcha</t>
  </si>
  <si>
    <t>Deep Onion Pakora</t>
  </si>
  <si>
    <t>deep-onion-pakora</t>
  </si>
  <si>
    <t>Deep Original Paratha</t>
  </si>
  <si>
    <t>deep-original-paratha</t>
  </si>
  <si>
    <t>Deep Palak</t>
  </si>
  <si>
    <t>deep-palak</t>
  </si>
  <si>
    <t>Deep Paneer Paratha</t>
  </si>
  <si>
    <t>deep-paneer-paratha</t>
  </si>
  <si>
    <t>Swad Garam Masala Whole</t>
  </si>
  <si>
    <t>Laxmi Fennel Seeds</t>
  </si>
  <si>
    <t>jeera|jilakarra|chiya bij|chiya beeja|rai|aavalu</t>
  </si>
  <si>
    <t>Laxmi Lazseeds</t>
  </si>
  <si>
    <t>Swad Coriander Powder</t>
  </si>
  <si>
    <t>dhania|dhaniyalu|kotthimera</t>
  </si>
  <si>
    <t>Swad Turmeric Powder</t>
  </si>
  <si>
    <t>Swad Red Chilli Powder</t>
  </si>
  <si>
    <t>chili|mirchi|spices</t>
  </si>
  <si>
    <t>Capit Instant Noodles</t>
  </si>
  <si>
    <t>Rava, Poha &amp; Grains</t>
  </si>
  <si>
    <t>Maggi 2-Minute Instant Noodles</t>
  </si>
  <si>
    <t>Mumbai Instant Noodles</t>
  </si>
  <si>
    <t>Spicy Cheesy Instant Noodles</t>
  </si>
  <si>
    <t>Aachi Garam Masala</t>
  </si>
  <si>
    <t>rasam powder</t>
  </si>
  <si>
    <t>Aachi Madras Sambar</t>
  </si>
  <si>
    <t>masala | deviceId=DID-2F83F36B</t>
  </si>
  <si>
    <t>Aachi Fish Fry Masala</t>
  </si>
  <si>
    <t>Daane Nawab's Mutton Biryani</t>
  </si>
  <si>
    <t>chi | deviceId=DID-2F83F36B</t>
  </si>
  <si>
    <t>mutton rice</t>
  </si>
  <si>
    <t>Daane Nawab's Mutton Curry</t>
  </si>
  <si>
    <t>chicken masa | deviceId=DID-2F83F36B</t>
  </si>
  <si>
    <t>mutton masala</t>
  </si>
  <si>
    <t>chicken masala | deviceId=DID-2F83F36B</t>
  </si>
  <si>
    <t>Daane Nawab's Haleem</t>
  </si>
  <si>
    <t>product | deviceId=DID-2F83F36B</t>
  </si>
  <si>
    <t>Daane Nawab's Kadahi Chicken</t>
  </si>
  <si>
    <t>Daane Nawab's Fish Fry</t>
  </si>
  <si>
    <t>product name | deviceId=DID-2F83F36B</t>
  </si>
  <si>
    <t>Daane Nawab's Fry Masala</t>
  </si>
  <si>
    <t>Daane Nawab's Chicken Lollipops</t>
  </si>
  <si>
    <t>Daane Nawab's Pan ka Chicken</t>
  </si>
  <si>
    <t>Daane Nawab's Chicken Bhuna</t>
  </si>
  <si>
    <t>Daane Nawab's Chicken Qorma</t>
  </si>
  <si>
    <t>SWAD Mustard</t>
  </si>
  <si>
    <t>SWAD Kadi Masala</t>
  </si>
  <si>
    <t>boondi masala</t>
  </si>
  <si>
    <t>Laxmi Mustard Seeds</t>
  </si>
  <si>
    <t>Laxmi Cumin (Jeera) Whole</t>
  </si>
  <si>
    <t>jilakarra|cumin seeds</t>
  </si>
  <si>
    <t>Laxmi Fenugreek Leaves (Methi)</t>
  </si>
  <si>
    <t>Deep Paneer Raw</t>
  </si>
  <si>
    <t>deep-paneer-raw</t>
  </si>
  <si>
    <t>COUNTA of Timestamp</t>
  </si>
  <si>
    <t>Deep Parval</t>
  </si>
  <si>
    <t>deep-parval</t>
  </si>
  <si>
    <t>Chrome</t>
  </si>
  <si>
    <t>Safari</t>
  </si>
  <si>
    <t>Grand Total</t>
  </si>
  <si>
    <t>Desktop</t>
  </si>
  <si>
    <t>Deep Peanut Chikki</t>
  </si>
  <si>
    <t>Patel's Ginger Whole</t>
  </si>
  <si>
    <t>deep-peanut-chikki</t>
  </si>
  <si>
    <t>Mobile</t>
  </si>
  <si>
    <t>adrak|allam|adarak</t>
  </si>
  <si>
    <t>Patel's Ginger Powder</t>
  </si>
  <si>
    <t>SWAD Methi Dana</t>
  </si>
  <si>
    <t>LAXMI Coriander Powder</t>
  </si>
  <si>
    <t>SWAD Premium Quality Flax Seeds</t>
  </si>
  <si>
    <t>Dry Fruits &amp; Nuts</t>
  </si>
  <si>
    <t>LAXMI Flaxseeds</t>
  </si>
  <si>
    <t>SWAD Cumin Powder</t>
  </si>
  <si>
    <t>LAXMI Anise Seeds / Saunf</t>
  </si>
  <si>
    <t>LAXMI Cumin Whole</t>
  </si>
  <si>
    <t>Deep Peas Carrot</t>
  </si>
  <si>
    <t>deep-peas-carrot</t>
  </si>
  <si>
    <t>LAXMI Dried Dill Leaves</t>
  </si>
  <si>
    <t>LAXMI Cardamom Green</t>
  </si>
  <si>
    <t>elaichi seeds|elaichi powder</t>
  </si>
  <si>
    <t>Maggi Masala Noodles</t>
  </si>
  <si>
    <t>Soya Chunks</t>
  </si>
  <si>
    <t>Aachi Egg Curry Masala</t>
  </si>
  <si>
    <t>Aachi Dhall Rice Powder</t>
  </si>
  <si>
    <t>Aachi Curry Masala</t>
  </si>
  <si>
    <t>Daana Nawab's Try Masala</t>
  </si>
  <si>
    <t>Daana Nawab's Chicken Lollipop</t>
  </si>
  <si>
    <t>Daana Nawab's Dum Ki Chicken</t>
  </si>
  <si>
    <t>Daana Nawab's Shahi Mutton Biryani</t>
  </si>
  <si>
    <t>Daana Nawab's Chicken Qorma</t>
  </si>
  <si>
    <t>Daana Nawab's Bombay Mutton Biryani</t>
  </si>
  <si>
    <t>Daana Nawab's Chicken Masala</t>
  </si>
  <si>
    <t>Daana Nawab's BBQ Masala</t>
  </si>
  <si>
    <t>biryani|spice</t>
  </si>
  <si>
    <t>Daana Nawab's Butter Chicken</t>
  </si>
  <si>
    <t>Deep Plain Boongi</t>
  </si>
  <si>
    <t>SWAD Mustard Seeds</t>
  </si>
  <si>
    <t>deep-plain-boongi</t>
  </si>
  <si>
    <t>Deep Potato Peas Samosas</t>
  </si>
  <si>
    <t>deep-potato-peas-samosas</t>
  </si>
  <si>
    <t>Deep Potato Samosas</t>
  </si>
  <si>
    <t>SWAD Methi Seeds</t>
  </si>
  <si>
    <t>deep-potato-samosas</t>
  </si>
  <si>
    <t>Deep Pudina Paratha</t>
  </si>
  <si>
    <t>deep-pudina-paratha</t>
  </si>
  <si>
    <t>Deep Punjabi Tinda</t>
  </si>
  <si>
    <t>Mustard Seeds</t>
  </si>
  <si>
    <t>deep-punjabi-tinda</t>
  </si>
  <si>
    <t>mustard|rai|aavalu</t>
  </si>
  <si>
    <t>Methi Seeds</t>
  </si>
  <si>
    <t>Deep Puran Poli</t>
  </si>
  <si>
    <t>LAXMI Premium Quality Flax Seeds</t>
  </si>
  <si>
    <t>deep-puran-poli</t>
  </si>
  <si>
    <t>Deep Ragi Flour</t>
  </si>
  <si>
    <t>pri | deviceId=DID-37BBF33C</t>
  </si>
  <si>
    <t>deep-ragi-flour</t>
  </si>
  <si>
    <t>Deep Rajgaro Chikki</t>
  </si>
  <si>
    <t>deep-rajgaro-chikki</t>
  </si>
  <si>
    <t>Deep Rasmalai</t>
  </si>
  <si>
    <t>deep-rasmalai</t>
  </si>
  <si>
    <t>Deep Ratalu</t>
  </si>
  <si>
    <t>pr | deviceId=DID-37BBF33C</t>
  </si>
  <si>
    <t>deep-ratalu</t>
  </si>
  <si>
    <t>Deep Ratlami Sev</t>
  </si>
  <si>
    <t>deep-ratlami-sev</t>
  </si>
  <si>
    <t>Deep Rava Dosa Mix</t>
  </si>
  <si>
    <t>biru | deviceId=DID-37BBF33C</t>
  </si>
  <si>
    <t>deep-rava-dosa-mix</t>
  </si>
  <si>
    <t>Deep Rava Idli Mix</t>
  </si>
  <si>
    <t>deep-rava-idli-mix</t>
  </si>
  <si>
    <t>bi | deviceId=DID-37BBF33C</t>
  </si>
  <si>
    <t>Deep Red Chilli 1</t>
  </si>
  <si>
    <t>deep-red-chilli-1</t>
  </si>
  <si>
    <t>Deep Red Chilli Powder 7oz</t>
  </si>
  <si>
    <t>deep-red-chilli-powder-7oz</t>
  </si>
  <si>
    <t>bir | deviceId=DID-37BBF33C</t>
  </si>
  <si>
    <t>masala | deviceId=DID-37BBF33C</t>
  </si>
  <si>
    <t>Deep Red Chilli Powder Extra Hot 1</t>
  </si>
  <si>
    <t>deep-red-chilli-powder-extra-hot-1</t>
  </si>
  <si>
    <t>Deep Red Powder</t>
  </si>
  <si>
    <t>chawan | deviceId=DID-37BBF33C</t>
  </si>
  <si>
    <t>deep-red-powder</t>
  </si>
  <si>
    <t>wheat | deviceId=DID-37BBF33C</t>
  </si>
  <si>
    <t>SWAD Fenugreek Seeds</t>
  </si>
  <si>
    <t>dabur | deviceId=DID-37BBF33C</t>
  </si>
  <si>
    <t>grass | deviceId=DID-37BBF33C</t>
  </si>
  <si>
    <t>dates | deviceId=DID-37BBF33C</t>
  </si>
  <si>
    <t>date | deviceId=DID-37BBF33C</t>
  </si>
  <si>
    <t>panip | deviceId=DID-37BBF33C</t>
  </si>
  <si>
    <t>pani | deviceId=DID-37BBF33C</t>
  </si>
  <si>
    <t>Deep Roghani Naan</t>
  </si>
  <si>
    <t>డీప్ రోఘనీ నాన్</t>
  </si>
  <si>
    <t>डीप रोगनी नान</t>
  </si>
  <si>
    <t>gara | deviceId=DID-1BB66925</t>
  </si>
  <si>
    <t>['roghani naan', 'deep naan']</t>
  </si>
  <si>
    <t>Deep Salted Butter</t>
  </si>
  <si>
    <t>deep-salted-butter</t>
  </si>
  <si>
    <t>Deep Samosa</t>
  </si>
  <si>
    <t>deep-samosa</t>
  </si>
  <si>
    <t>garam | deviceId=DID-1BB66925</t>
  </si>
  <si>
    <t>Deep Sesame Chikki</t>
  </si>
  <si>
    <t>deep-sesame-chikki</t>
  </si>
  <si>
    <t>Deep Sesame Oil</t>
  </si>
  <si>
    <t>deep-sesame-oil</t>
  </si>
  <si>
    <t>garam ma | deviceId=DID-1BB66925</t>
  </si>
  <si>
    <t>Deep Sharbati Atta 20 Lb</t>
  </si>
  <si>
    <t>deep-sharbati-atta-20-lb</t>
  </si>
  <si>
    <t>Deep Soan Papdi</t>
  </si>
  <si>
    <t>deep-soan-papdi</t>
  </si>
  <si>
    <t>garam masala | deviceId=DID-1BB66925</t>
  </si>
  <si>
    <t>Deep Soan Papdi 1</t>
  </si>
  <si>
    <t>deep-soan-papdi-1</t>
  </si>
  <si>
    <t>Deep Soan Papdi 500 Gm</t>
  </si>
  <si>
    <t>deep-soan-papdi-500-gm</t>
  </si>
  <si>
    <t>paneer | deviceId=DID-1BB66925</t>
  </si>
  <si>
    <t>Deep Sooji</t>
  </si>
  <si>
    <t>డీప్ సూజీ</t>
  </si>
  <si>
    <t>डीप सूजी</t>
  </si>
  <si>
    <t>['sooji', 'rava', 'semolina']</t>
  </si>
  <si>
    <t>Deep Spicy Cashews Blk Pepper</t>
  </si>
  <si>
    <t>deep-spicy-cashews-blk-pepper</t>
  </si>
  <si>
    <t>Deep Spicy Cashews Red Pepper</t>
  </si>
  <si>
    <t>haldi | deviceId=DID-1BB66925</t>
  </si>
  <si>
    <t>deep-spicy-cashews-red-pepper</t>
  </si>
  <si>
    <t>Deep Spicy Peanuts</t>
  </si>
  <si>
    <t>deep-spicy-peanuts</t>
  </si>
  <si>
    <t>Deep Spinach Paneer Samosa Value Pa</t>
  </si>
  <si>
    <t>1235 | deviceId=DID-1BB66925</t>
  </si>
  <si>
    <t>deep-spinach-paneer-samosa-value-pa</t>
  </si>
  <si>
    <t>Deep Suran</t>
  </si>
  <si>
    <t>deep-suran</t>
  </si>
  <si>
    <t>Deep Surti Papdi Lilva</t>
  </si>
  <si>
    <t>deep-surti-papdi-lilva</t>
  </si>
  <si>
    <t>anm | deviceId=DID-1BB66925</t>
  </si>
  <si>
    <t>Deep Surti Undhiu Mix</t>
  </si>
  <si>
    <t>deep-surti-undhiu-mix</t>
  </si>
  <si>
    <t>Deep Sweet Corn</t>
  </si>
  <si>
    <t>deep-sweet-corn</t>
  </si>
  <si>
    <t>anm9 | deviceId=DID-1BB66925</t>
  </si>
  <si>
    <t>Deep Tandaljo</t>
  </si>
  <si>
    <t>biscuit | deviceId=DID-37BBF33C</t>
  </si>
  <si>
    <t>biscuit kara | deviceId=DID-37BBF33C</t>
  </si>
  <si>
    <t>bisc | deviceId=DID-37BBF33C</t>
  </si>
  <si>
    <t>ras | deviceId=DID-37BBF33C</t>
  </si>
  <si>
    <t>rasma | deviceId=DID-37BBF33C</t>
  </si>
  <si>
    <t>rasm | deviceId=DID-37BBF33C</t>
  </si>
  <si>
    <t>telugu | deviceId=DID-37BBF33C</t>
  </si>
  <si>
    <t>telugu che | deviceId=DID-37BBF33C</t>
  </si>
  <si>
    <t>lakshmi | deviceId=DID-2F83F36B</t>
  </si>
  <si>
    <t>la | deviceId=DID-2F83F36B</t>
  </si>
  <si>
    <t>laxmi | deviceId=DID-2F83F36B</t>
  </si>
  <si>
    <t>laxmi a, | deviceId=DID-2F83F36B</t>
  </si>
  <si>
    <t>laxmi am | deviceId=DID-2F83F36B</t>
  </si>
  <si>
    <t>laxmi amla | deviceId=DID-2F83F36B</t>
  </si>
  <si>
    <t>lax | deviceId=DID-2F83F36B</t>
  </si>
  <si>
    <t>deep-tandaljo</t>
  </si>
  <si>
    <t>Deep Tandoori Naan</t>
  </si>
  <si>
    <t>laxmi a | deviceId=DID-2F83F36B</t>
  </si>
  <si>
    <t>deep-tandoori-naan</t>
  </si>
  <si>
    <t>Deep Tandoori Roti</t>
  </si>
  <si>
    <t>deep-tandoori-roti</t>
  </si>
  <si>
    <t>Deep Tea Of Assam</t>
  </si>
  <si>
    <t>deep-tea-of-assam</t>
  </si>
  <si>
    <t>Deep Tindora</t>
  </si>
  <si>
    <t>deep-tindora</t>
  </si>
  <si>
    <t>laxmi aml | deviceId=DID-2F83F36B</t>
  </si>
  <si>
    <t>Deep Turmeric Powder 2</t>
  </si>
  <si>
    <t>deep-turmeric-powder-2</t>
  </si>
  <si>
    <t>Deep Turmeric Powder 7oz</t>
  </si>
  <si>
    <t>deep-turmeric-powder-7oz</t>
  </si>
  <si>
    <t>lz | deviceId=DID-2F83F36B</t>
  </si>
  <si>
    <t>too | deviceId=DID-37BBF33C</t>
  </si>
  <si>
    <t>www | deviceId=DID-37BBF33C</t>
  </si>
  <si>
    <t>lauk | deviceId=DID-62C7C93E</t>
  </si>
  <si>
    <t>paan | deviceId=DID-62C7C93E</t>
  </si>
  <si>
    <t>paan | deviceId=DID-37BBF33C</t>
  </si>
  <si>
    <t>pauk | deviceId=DID-37BBF33C</t>
  </si>
  <si>
    <t>lauk | deviceId=DID-37BBF33C</t>
  </si>
  <si>
    <t>la | deviceId=DID-37BBF33C</t>
  </si>
  <si>
    <t>lak | deviceId=DID-37BBF33C</t>
  </si>
  <si>
    <t>chai | deviceId=DID-7D2E43DC</t>
  </si>
  <si>
    <t>ladoo | deviceId=DID-5A1F235D</t>
  </si>
  <si>
    <t>karoo | deviceId=DID-5A1F235D</t>
  </si>
  <si>
    <t>Deep Tuvar Peas</t>
  </si>
  <si>
    <t>deep-tuvar-peas</t>
  </si>
  <si>
    <t>Deep Twisted Khari Original</t>
  </si>
  <si>
    <t>deep-twisted-khari-original</t>
  </si>
  <si>
    <t>Deep Udad Flour</t>
  </si>
  <si>
    <t>deep-udad-flour</t>
  </si>
  <si>
    <t>Deep Val Papdi</t>
  </si>
  <si>
    <t>deep-val-papdi</t>
  </si>
  <si>
    <t>Deep Veg Pilaf</t>
  </si>
  <si>
    <t>deep-veg-pilaf</t>
  </si>
  <si>
    <t>Deep Whole Ginger</t>
  </si>
  <si>
    <t>deep-whole-ginger</t>
  </si>
  <si>
    <t>Deep Whole Red Chilli</t>
  </si>
  <si>
    <t>deep-whole-red-chilli</t>
  </si>
  <si>
    <t>Deer Basil Seed Drink With Cocktail Flavored</t>
  </si>
  <si>
    <t>deer-basil-seed-drink-with-cocktail-flavored</t>
  </si>
  <si>
    <t>Dehraduni Basmathi Rice</t>
  </si>
  <si>
    <t>dehraduni-basmathi-rice</t>
  </si>
  <si>
    <t>dehraduni-basmati-rice</t>
  </si>
  <si>
    <t>Dehraduni Basmati Rice 10 Lb</t>
  </si>
  <si>
    <t>dehraduni-basmati-rice-10-lb</t>
  </si>
  <si>
    <t>Dermi Cool</t>
  </si>
  <si>
    <t>dermi-cool</t>
  </si>
  <si>
    <t>Desi Coriander Chutney</t>
  </si>
  <si>
    <t>desi-coriander-chutney</t>
  </si>
  <si>
    <t>LAXMI Fenugreek Seeds</t>
  </si>
  <si>
    <t>Desi Natural Low Fat Yogurt</t>
  </si>
  <si>
    <t>desi-natural-low-fat-yogurt</t>
  </si>
  <si>
    <t>Desi Natural Lowfat Yogurt</t>
  </si>
  <si>
    <t>desi-natural-lowfat-yogurt</t>
  </si>
  <si>
    <t>Desi Natural Whole Milk Yogurt</t>
  </si>
  <si>
    <t>desi-natural-whole-milk-yogurt</t>
  </si>
  <si>
    <t>Desi Panipuri Chutney</t>
  </si>
  <si>
    <t>desi-panipuri-chutney</t>
  </si>
  <si>
    <t>Dettol Anti Bacterial Herbal Soap</t>
  </si>
  <si>
    <t>dettol-anti-bacterial-herbal-soap</t>
  </si>
  <si>
    <t>Dettol Cool Soap</t>
  </si>
  <si>
    <t>dettol-cool-soap</t>
  </si>
  <si>
    <t>Dettol Fresh Soap</t>
  </si>
  <si>
    <t>dettol-fresh-soap</t>
  </si>
  <si>
    <t>Dettol Original</t>
  </si>
  <si>
    <t>dettol-original</t>
  </si>
  <si>
    <t>Dettol Original Soap</t>
  </si>
  <si>
    <t>dettol-original-soap</t>
  </si>
  <si>
    <t>Dettol Skincare Soap</t>
  </si>
  <si>
    <t>dettol-skincare-soap</t>
  </si>
  <si>
    <t>Dettol Soap 1</t>
  </si>
  <si>
    <t>dettol-soap-1</t>
  </si>
  <si>
    <t>Dettol Soap 2</t>
  </si>
  <si>
    <t>dettol-soap-2</t>
  </si>
  <si>
    <t>Devdas Pure Brass Small Diya</t>
  </si>
  <si>
    <t>devdas-pure-brass-small-diya</t>
  </si>
  <si>
    <t>Dhokla</t>
  </si>
  <si>
    <t>dhokla</t>
  </si>
  <si>
    <t>Dial Hand Soap</t>
  </si>
  <si>
    <t>dial-hand-soap</t>
  </si>
  <si>
    <t>Dial Soap</t>
  </si>
  <si>
    <t>dial-soap</t>
  </si>
  <si>
    <t>Diet Bhel</t>
  </si>
  <si>
    <t>diet-bhel</t>
  </si>
  <si>
    <t>Diet Chiwda</t>
  </si>
  <si>
    <t>diet-chiwda</t>
  </si>
  <si>
    <t>Digestives 1</t>
  </si>
  <si>
    <t>digestives-1</t>
  </si>
  <si>
    <t>Dill Seads</t>
  </si>
  <si>
    <t>dill-seads</t>
  </si>
  <si>
    <t>Dill Seeds</t>
  </si>
  <si>
    <t>సోయాబీన్ బీజాలు</t>
  </si>
  <si>
    <t>सोयाबीन बीज</t>
  </si>
  <si>
    <t>['dill seeds', 'సోయాబీన్ బీజాలు', 'सोयाबीन बीज']</t>
  </si>
  <si>
    <t>Divya Manjan Tooth Powder</t>
  </si>
  <si>
    <t>divya-manjan-tooth-powder</t>
  </si>
  <si>
    <t>Diya Big</t>
  </si>
  <si>
    <t>diya-big</t>
  </si>
  <si>
    <t>Diyas 6 Pcs</t>
  </si>
  <si>
    <t>diyas-6-pcs</t>
  </si>
  <si>
    <t>Dolly</t>
  </si>
  <si>
    <t>dolly</t>
  </si>
  <si>
    <t>Dosa Batter</t>
  </si>
  <si>
    <t>dosa-batter</t>
  </si>
  <si>
    <t>Dosa Rice 10 Lb</t>
  </si>
  <si>
    <t>dosa-rice-10-lb</t>
  </si>
  <si>
    <t>Double Cake</t>
  </si>
  <si>
    <t>double-cake</t>
  </si>
  <si>
    <t>Double Hourse Matta Rice</t>
  </si>
  <si>
    <t>double-hourse-matta-rice</t>
  </si>
  <si>
    <t>Drumstick</t>
  </si>
  <si>
    <t>drumstick</t>
  </si>
  <si>
    <t>Dry Amla</t>
  </si>
  <si>
    <t>dry-amla</t>
  </si>
  <si>
    <t>Dry Mix</t>
  </si>
  <si>
    <t>dry-mix</t>
  </si>
  <si>
    <t>Dum Ka Masala</t>
  </si>
  <si>
    <t>dum-ka-masala</t>
  </si>
  <si>
    <t>Dunar Ritz Basmati 10 Lb</t>
  </si>
  <si>
    <t>dunar-ritz-basmati-10-lb</t>
  </si>
  <si>
    <t>Eastern Chettinad Chicken Masala</t>
  </si>
  <si>
    <t>eastern-chettinad-chicken-masala</t>
  </si>
  <si>
    <t>Eastern Meat Masala</t>
  </si>
  <si>
    <t>eastern-meat-masala</t>
  </si>
  <si>
    <t>Eastern Meat Masala 1</t>
  </si>
  <si>
    <t>eastern-meat-masala-1</t>
  </si>
  <si>
    <t>Eastern Mutton Masala</t>
  </si>
  <si>
    <t>eastern-mutton-masala</t>
  </si>
  <si>
    <t>Eastern Pav Bhaji Masala</t>
  </si>
  <si>
    <t>eastern-pav-bhaji-masala</t>
  </si>
  <si>
    <t>Easy Butter Chicken Ready Gravy Mix</t>
  </si>
  <si>
    <t>easy-butter-chicken-ready-gravy-mix</t>
  </si>
  <si>
    <t>Easy Mutton Mughlai Ready Gravy Mix</t>
  </si>
  <si>
    <t>easy-mutton-mughlai-ready-gravy-mix</t>
  </si>
  <si>
    <t>Easy Paneer Tikka Ready Gravy Mix</t>
  </si>
  <si>
    <t>easy-paneer-tikka-ready-gravy-mix</t>
  </si>
  <si>
    <t>Easy Zz Chicken Curry</t>
  </si>
  <si>
    <t>easy-zz-chicken-curry</t>
  </si>
  <si>
    <t>Easy Zz Paneer Tikka</t>
  </si>
  <si>
    <t>easy-zz-paneer-tikka</t>
  </si>
  <si>
    <t>Ebm Gluco</t>
  </si>
  <si>
    <t>ebm-gluco</t>
  </si>
  <si>
    <t>Eclaire</t>
  </si>
  <si>
    <t>eclaire</t>
  </si>
  <si>
    <t>Edible Gum</t>
  </si>
  <si>
    <t>edible-gum</t>
  </si>
  <si>
    <t>Eegplant</t>
  </si>
  <si>
    <t>eegplant</t>
  </si>
  <si>
    <t>Egg Curry</t>
  </si>
  <si>
    <t>egg-curry</t>
  </si>
  <si>
    <t>Egg Yellow Powder</t>
  </si>
  <si>
    <t>egg-yellow-powder</t>
  </si>
  <si>
    <t>Eggless Fruit Cake</t>
  </si>
  <si>
    <t>eggless-fruit-cake</t>
  </si>
  <si>
    <t>Elachi Paan</t>
  </si>
  <si>
    <t>elachi-paan</t>
  </si>
  <si>
    <t>Elaichi</t>
  </si>
  <si>
    <t>elaichi</t>
  </si>
  <si>
    <t>Elaihi Shrikhand</t>
  </si>
  <si>
    <t>elaihi-shrikhand</t>
  </si>
  <si>
    <t>Elayada</t>
  </si>
  <si>
    <t>elayada</t>
  </si>
  <si>
    <t>Elonga Extra Basmati Rice 10 Lb</t>
  </si>
  <si>
    <t>elonga-extra-basmati-rice-10-lb</t>
  </si>
  <si>
    <t>Energy Portal Bloom 6 Pcs</t>
  </si>
  <si>
    <t>energy-portal-bloom-6-pcs</t>
  </si>
  <si>
    <t>ladoo flour | deviceId=DID-5A1F235D</t>
  </si>
  <si>
    <t>Eno Lemon Flavour</t>
  </si>
  <si>
    <t>eno-lemon-flavour</t>
  </si>
  <si>
    <t>Eno Regular</t>
  </si>
  <si>
    <t>eno-regular</t>
  </si>
  <si>
    <t>Eve Chicken Masala</t>
  </si>
  <si>
    <t>eve-chicken-masala</t>
  </si>
  <si>
    <t>Everest Chat Masala</t>
  </si>
  <si>
    <t>everest-chat-masala</t>
  </si>
  <si>
    <t>LAXMI Fennel Seeds</t>
  </si>
  <si>
    <t>Everest Chhole Masala</t>
  </si>
  <si>
    <t>everest-chhole-masala</t>
  </si>
  <si>
    <t>Everest Dry Mango Powder</t>
  </si>
  <si>
    <t>everest-dry-mango-powder</t>
  </si>
  <si>
    <t>Everest Jaljira</t>
  </si>
  <si>
    <t>everest-jaljira</t>
  </si>
  <si>
    <t>Everest Kashmirilal</t>
  </si>
  <si>
    <t>everest-kashmirilal</t>
  </si>
  <si>
    <t>Everest Pani Puri Masala 1</t>
  </si>
  <si>
    <t>everest-pani-puri-masala-1</t>
  </si>
  <si>
    <t>Everest Pav Bhaji Masala</t>
  </si>
  <si>
    <t>Asia Fennel Seeds Lucknow</t>
  </si>
  <si>
    <t>everest-pav-bhaji-masala</t>
  </si>
  <si>
    <t>Everest Royal Garam Masala</t>
  </si>
  <si>
    <t>everest-royal-garam-masala</t>
  </si>
  <si>
    <t>Everest Shahi Biryani Masala</t>
  </si>
  <si>
    <t>everest-shahi-biryani-masala</t>
  </si>
  <si>
    <t>Everest Tea Masala</t>
  </si>
  <si>
    <t>JIYAS Dagad Phool</t>
  </si>
  <si>
    <t>everest-tea-masala</t>
  </si>
  <si>
    <t>Everyday</t>
  </si>
  <si>
    <t>everyday</t>
  </si>
  <si>
    <t>JIYAS Cumin Seeds 200gm</t>
  </si>
  <si>
    <t>Extra Long Basmati Rice 10 Lb</t>
  </si>
  <si>
    <t>extra-long-basmati-rice-10-lb</t>
  </si>
  <si>
    <t>Extra Long Grain Rice</t>
  </si>
  <si>
    <t>extra-long-grain-rice</t>
  </si>
  <si>
    <t>Fafda</t>
  </si>
  <si>
    <t>fafda</t>
  </si>
  <si>
    <t>Falafels Ready To Eat</t>
  </si>
  <si>
    <t>falafels-ready-to-eat</t>
  </si>
  <si>
    <t>Falooda</t>
  </si>
  <si>
    <t>falooda</t>
  </si>
  <si>
    <t>Falooda Kulfi 1</t>
  </si>
  <si>
    <t>falooda-kulfi-1</t>
  </si>
  <si>
    <t>Falsa</t>
  </si>
  <si>
    <t>falsa</t>
  </si>
  <si>
    <t>Famous Beater</t>
  </si>
  <si>
    <t>famous-beater</t>
  </si>
  <si>
    <t>Famous Premium Vegetable Fruit Cutter</t>
  </si>
  <si>
    <t>famous-premium-vegetable-fruit-cutter</t>
  </si>
  <si>
    <t>Fancy Mug</t>
  </si>
  <si>
    <t>fancy-mug</t>
  </si>
  <si>
    <t>Fanta Can</t>
  </si>
  <si>
    <t>fanta-can</t>
  </si>
  <si>
    <t>Feb</t>
  </si>
  <si>
    <t>feb</t>
  </si>
  <si>
    <t>Felza Oil</t>
  </si>
  <si>
    <t>felza-oil</t>
  </si>
  <si>
    <t>Felza Pure Sunflower Oil</t>
  </si>
  <si>
    <t>felza-pure-sunflower-oil</t>
  </si>
  <si>
    <t>Feni Lacha</t>
  </si>
  <si>
    <t>feni-lacha</t>
  </si>
  <si>
    <t>Fennel Powder</t>
  </si>
  <si>
    <t>fennel-powder</t>
  </si>
  <si>
    <t>jeera|jilakarra</t>
  </si>
  <si>
    <t>Fig Roll</t>
  </si>
  <si>
    <t>fig-roll</t>
  </si>
  <si>
    <t>Filza</t>
  </si>
  <si>
    <t>filza</t>
  </si>
  <si>
    <t>Fine Sev</t>
  </si>
  <si>
    <t>fine-sev</t>
  </si>
  <si>
    <t>Fish Cutlet</t>
  </si>
  <si>
    <t>fish-cutlet</t>
  </si>
  <si>
    <t>Fize</t>
  </si>
  <si>
    <t>fize</t>
  </si>
  <si>
    <t>Floor Spinners 8 Pcs</t>
  </si>
  <si>
    <t>floor-spinners-8-pcs</t>
  </si>
  <si>
    <t>Flower Pot 6 Pcs</t>
  </si>
  <si>
    <t>flower-pot-6-pcs</t>
  </si>
  <si>
    <t>Food Colour Orange</t>
  </si>
  <si>
    <t>food-colour-orange</t>
  </si>
  <si>
    <t>Food Colour Red</t>
  </si>
  <si>
    <t>food-colour-red</t>
  </si>
  <si>
    <t>Fppd Color</t>
  </si>
  <si>
    <t>fppd-color</t>
  </si>
  <si>
    <t>Fresh Garlic</t>
  </si>
  <si>
    <t>fresh-garlic</t>
  </si>
  <si>
    <t>Fresh Lychee</t>
  </si>
  <si>
    <t>fresh-lychee</t>
  </si>
  <si>
    <t>Fresh Peanut</t>
  </si>
  <si>
    <t>fresh-peanut</t>
  </si>
  <si>
    <t>Fresh Samosa</t>
  </si>
  <si>
    <t>fresh-samosa</t>
  </si>
  <si>
    <t>Maggi 2-Minute Masala Noodles</t>
  </si>
  <si>
    <t>Fresh Vada Pav</t>
  </si>
  <si>
    <t>fresh-vada-pav</t>
  </si>
  <si>
    <t>Fried Chops Tooba</t>
  </si>
  <si>
    <t>fried-chops-tooba</t>
  </si>
  <si>
    <t>Fried Onion 1</t>
  </si>
  <si>
    <t>fried-onion-1</t>
  </si>
  <si>
    <t>Fries</t>
  </si>
  <si>
    <t>fries</t>
  </si>
  <si>
    <t>Frooti</t>
  </si>
  <si>
    <t>Cheetos</t>
  </si>
  <si>
    <t>frooti</t>
  </si>
  <si>
    <t>Frooti Pack</t>
  </si>
  <si>
    <t>frooti-pack</t>
  </si>
  <si>
    <t>Frozen Samber</t>
  </si>
  <si>
    <t>frozen-samber</t>
  </si>
  <si>
    <t>Banne Nawab's Chicken Korma</t>
  </si>
  <si>
    <t>Frozen Veg Masala Patties</t>
  </si>
  <si>
    <t>frozen-veg-masala-patties</t>
  </si>
  <si>
    <t>indian curries|indian spices</t>
  </si>
  <si>
    <t>Fruit Cake</t>
  </si>
  <si>
    <t>fruit-cake</t>
  </si>
  <si>
    <t>Banne Nawab's Bombay Chicken Biryani</t>
  </si>
  <si>
    <t>Frying Pan 20cm</t>
  </si>
  <si>
    <t>frying-pan-20cm</t>
  </si>
  <si>
    <t>Fun Nuggets</t>
  </si>
  <si>
    <t>indian food|indian spices|masala|spice</t>
  </si>
  <si>
    <t>fun-nuggets</t>
  </si>
  <si>
    <t>Banne Nawab's Chicken Masala</t>
  </si>
  <si>
    <t>Gachak</t>
  </si>
  <si>
    <t>gachak</t>
  </si>
  <si>
    <t>chicken curry|spice</t>
  </si>
  <si>
    <t>Garam Masala</t>
  </si>
  <si>
    <t>గరమ్ మసాలా</t>
  </si>
  <si>
    <t>गरम मसाला</t>
  </si>
  <si>
    <t>['garam masala', 'గరమ్ మసాలా', 'गरम मसाला']</t>
  </si>
  <si>
    <t>Banne Nawab's BBQ Masala</t>
  </si>
  <si>
    <t>garam-masala</t>
  </si>
  <si>
    <t>Garam Masala 1</t>
  </si>
  <si>
    <t>spice|indian spice mix</t>
  </si>
  <si>
    <t>garam-masala-1</t>
  </si>
  <si>
    <t>Banne Nawab's Butter Chicken</t>
  </si>
  <si>
    <t>Garlic</t>
  </si>
  <si>
    <t>Vellulli (వెల్లుల్లి)</t>
  </si>
  <si>
    <t>Lahsun (पहसुन / लहसुन)</t>
  </si>
  <si>
    <t>garlic|lahsun|vellulli</t>
  </si>
  <si>
    <t>chicken curry|indian spices|indian food</t>
  </si>
  <si>
    <t>Garlic Naan</t>
  </si>
  <si>
    <t>garlic-naan</t>
  </si>
  <si>
    <t>Banne Nawab's Apollo Fish</t>
  </si>
  <si>
    <t>Garlic Powder</t>
  </si>
  <si>
    <t>garlic-powder</t>
  </si>
  <si>
    <t>Garvi Gujarat 3 In One Puri</t>
  </si>
  <si>
    <t>Badshah UNDHIA MASALA</t>
  </si>
  <si>
    <t>garvi-gujarat-3-in-one-puri</t>
  </si>
  <si>
    <t>Garvi Gujarat 3 In One Puri 1</t>
  </si>
  <si>
    <t>garvi-gujarat-3-in-one-puri-1</t>
  </si>
  <si>
    <t>Garvi Gujarat Bhakarwadi</t>
  </si>
  <si>
    <t>LAXMI METHI SEEDS</t>
  </si>
  <si>
    <t>garvi-gujarat-bhakarwadi</t>
  </si>
  <si>
    <t>Garvi Gujarat Bhavnagri Ganthia</t>
  </si>
  <si>
    <t>గర్వి గుజరాత్ భావనగరి గంతియా</t>
  </si>
  <si>
    <t>गर्वी गुजरात भावनगरी गन्थिया</t>
  </si>
  <si>
    <t>gujarati sweets, bhavnagri ganthia</t>
  </si>
  <si>
    <t>Garvi Gujarat Bhel Mix</t>
  </si>
  <si>
    <t>garvi-gujarat-bhel-mix</t>
  </si>
  <si>
    <t>Garvi Gujarat Bhel Sev</t>
  </si>
  <si>
    <t>garvi-gujarat-bhel-sev</t>
  </si>
  <si>
    <t>Garvi Gujarat Bikaneri Sev</t>
  </si>
  <si>
    <t>garvi-gujarat-bikaneri-sev</t>
  </si>
  <si>
    <t>Garvi Gujarat Dry Kachori</t>
  </si>
  <si>
    <t>garvi-gujarat-dry-kachori</t>
  </si>
  <si>
    <t>Garvi Gujarat Dry Samosa</t>
  </si>
  <si>
    <t>garvi-gujarat-dry-samosa</t>
  </si>
  <si>
    <t>Garvi Gujarat Farari Chevda Red 1</t>
  </si>
  <si>
    <t>garvi-gujarat-farari-chevda-red-1</t>
  </si>
  <si>
    <t>Garvi Gujarat Jamnagari Gathiya</t>
  </si>
  <si>
    <t>garvi-gujarat-jamnagari-gathiya</t>
  </si>
  <si>
    <t>Garvi Gujarat Jamnagri Ganthia</t>
  </si>
  <si>
    <t>garvi-gujarat-jamnagri-ganthia</t>
  </si>
  <si>
    <t>Garvi Gujarat Nadiadi Mix</t>
  </si>
  <si>
    <t>garvi-gujarat-nadiadi-mix</t>
  </si>
  <si>
    <t>Garvi Gujarat Ratlami Sev</t>
  </si>
  <si>
    <t>garvi-gujarat-ratlami-sev</t>
  </si>
  <si>
    <t>SWAD MADRAS</t>
  </si>
  <si>
    <t>Garvi Gujarat Roasted Poha Chevda</t>
  </si>
  <si>
    <t>wheat | deviceId=DID-5A1F235D</t>
  </si>
  <si>
    <t>wheat flo | deviceId=DID-5A1F235D</t>
  </si>
  <si>
    <t>garvi-gujarat-roasted-poha-chevda</t>
  </si>
  <si>
    <t>Garvi Gujarat Sing Bhujiya</t>
  </si>
  <si>
    <t>garvi-gujarat-sing-bhujiya</t>
  </si>
  <si>
    <t>Garvi Gujrat Fafda Gathia</t>
  </si>
  <si>
    <t>garvi-gujrat-fafda-gathia</t>
  </si>
  <si>
    <t>Gashar Churna</t>
  </si>
  <si>
    <t>gashar-churna</t>
  </si>
  <si>
    <t>Gathering Of Saffron</t>
  </si>
  <si>
    <t>gathering-of-saffron</t>
  </si>
  <si>
    <t>Gharana Chakri</t>
  </si>
  <si>
    <t>wheat lad | deviceId=DID-5A1F235D</t>
  </si>
  <si>
    <t>gharana-chakri</t>
  </si>
  <si>
    <t>Gharana Jalapeno Chakri</t>
  </si>
  <si>
    <t>gharana-jalapeno-chakri</t>
  </si>
  <si>
    <t>Gharana Sweet Shakkar Para</t>
  </si>
  <si>
    <t>gharana-sweet-shakkar-para</t>
  </si>
  <si>
    <t>wheat ladoo | deviceId=DID-5A1F235D</t>
  </si>
  <si>
    <t>Ghasitarams Chum Chum</t>
  </si>
  <si>
    <t>ghasitarams-chum-chum</t>
  </si>
  <si>
    <t>Ginger</t>
  </si>
  <si>
    <t>Allam (అల్లం)</t>
  </si>
  <si>
    <t>Adrak (अदरक)</t>
  </si>
  <si>
    <t>ginger|adrak|allam</t>
  </si>
  <si>
    <t>Ginger 1</t>
  </si>
  <si>
    <t>wheat ladino flour | deviceId=DID-5A1F235D</t>
  </si>
  <si>
    <t>ginger-1</t>
  </si>
  <si>
    <t>Ginger Chai</t>
  </si>
  <si>
    <t>ginger-chai</t>
  </si>
  <si>
    <t>Ginger Tea</t>
  </si>
  <si>
    <t>wheat l | deviceId=DID-37BBF33C</t>
  </si>
  <si>
    <t>ladoo | deviceId=DID-37BBF33C</t>
  </si>
  <si>
    <t>urad | deviceId=DID-60953E03</t>
  </si>
  <si>
    <t>urad da | deviceId=DID-60953E03</t>
  </si>
  <si>
    <t>urad dal | deviceId=DID-60953E03</t>
  </si>
  <si>
    <t>biry | deviceId=DID-60953E03</t>
  </si>
  <si>
    <t>biryani | deviceId=DID-60953E03</t>
  </si>
  <si>
    <t>buriy | deviceId=DID-37BBF33C</t>
  </si>
  <si>
    <t>biri | deviceId=DID-37BBF33C</t>
  </si>
  <si>
    <t>biriyani | deviceId=DID-37BBF33C</t>
  </si>
  <si>
    <t>urad | deviceId=DID-37BBF33C</t>
  </si>
  <si>
    <t>urad da | deviceId=DID-37BBF33C</t>
  </si>
  <si>
    <t>urad dal | deviceId=DID-37BBF33C</t>
  </si>
  <si>
    <t>poha | deviceId=DID-668959DA</t>
  </si>
  <si>
    <t>naveat | deviceId=DID-668959DA</t>
  </si>
  <si>
    <t>nav | deviceId=DID-668959DA</t>
  </si>
  <si>
    <t>navratan | deviceId=DID-668959DA</t>
  </si>
  <si>
    <t>chana | deviceId=DID-668959DA</t>
  </si>
  <si>
    <t>chana jor | deviceId=DID-668959DA</t>
  </si>
  <si>
    <t>frozen peas | deviceId=DID-668959DA</t>
  </si>
  <si>
    <t>peas | deviceId=DID-668959DA</t>
  </si>
  <si>
    <t>ja | deviceId=DID-2551BD8A</t>
  </si>
  <si>
    <t>jagger | deviceId=DID-2551BD8A</t>
  </si>
  <si>
    <t>telugu swet | deviceId=DID-2551BD8A</t>
  </si>
  <si>
    <t>telugu seer | deviceId=DID-2551BD8A</t>
  </si>
  <si>
    <t>ginger-tea</t>
  </si>
  <si>
    <t>Gits Bombay Halwa Mix</t>
  </si>
  <si>
    <t>gits-bombay-halwa-mix</t>
  </si>
  <si>
    <t>pethe | deviceId=DID-22521A9B</t>
  </si>
  <si>
    <t>Gits Dhoka Mix</t>
  </si>
  <si>
    <t>gits-dhoka-mix</t>
  </si>
  <si>
    <t>Gits Dosai Mix</t>
  </si>
  <si>
    <t>gits-dosai-mix</t>
  </si>
  <si>
    <t>petha | deviceId=DID-22521A9B</t>
  </si>
  <si>
    <t>Gits Gulab Jamun Mix</t>
  </si>
  <si>
    <t>gits-gulab-jamun-mix</t>
  </si>
  <si>
    <t>Gits Jilebi Mix</t>
  </si>
  <si>
    <t>gits-jilebi-mix</t>
  </si>
  <si>
    <t>Gits Kalakand Mix</t>
  </si>
  <si>
    <t>gits-kalakand-mix</t>
  </si>
  <si>
    <t>man | deviceId=DID-22521A9B</t>
  </si>
  <si>
    <t>Gits Medu Wada Mix</t>
  </si>
  <si>
    <t>gits-medu-wada-mix</t>
  </si>
  <si>
    <t>Gits Nylon Khaman Dhokla Mix</t>
  </si>
  <si>
    <t>gits-nylon-khaman-dhokla-mix</t>
  </si>
  <si>
    <t>manj | deviceId=DID-22521A9B</t>
  </si>
  <si>
    <t>Gits Pakora Mix</t>
  </si>
  <si>
    <t>gits-pakora-mix</t>
  </si>
  <si>
    <t>Gits Phirni Mix</t>
  </si>
  <si>
    <t>gits-phirni-mix</t>
  </si>
  <si>
    <t>Gits Rava Dosa Mix</t>
  </si>
  <si>
    <t>toothpas | deviceId=DID-22521A9B</t>
  </si>
  <si>
    <t>gits-rava-dosa-mix</t>
  </si>
  <si>
    <t>Gits Rava Idli Mix</t>
  </si>
  <si>
    <t>gits-rava-idli-mix</t>
  </si>
  <si>
    <t>Gits Uttappam Mix</t>
  </si>
  <si>
    <t>gits-uttappam-mix</t>
  </si>
  <si>
    <t>Gits Vermicelli Kheer Mix</t>
  </si>
  <si>
    <t>జీట్స్ వర్మిసెలీ ఖీర్ మిక్స్</t>
  </si>
  <si>
    <t>gol | deviceId=DID-22521A9B</t>
  </si>
  <si>
    <t>जिट्स वर्मिसेली खीर मिक्स</t>
  </si>
  <si>
    <t>['gits', 'vermicelli', 'kheer mix']</t>
  </si>
  <si>
    <t>Glucose</t>
  </si>
  <si>
    <t>glucose</t>
  </si>
  <si>
    <t>Gobhi Paratha</t>
  </si>
  <si>
    <t>gobhi-paratha</t>
  </si>
  <si>
    <t>golg | deviceId=DID-22521A9B</t>
  </si>
  <si>
    <t>Gobi Paaaratha</t>
  </si>
  <si>
    <t>gobi-paaaratha</t>
  </si>
  <si>
    <t>Godhvari Sona Masoori Rice</t>
  </si>
  <si>
    <t>godhvari-sona-masoori-rice</t>
  </si>
  <si>
    <t>Godrej Anoop Hair Oil</t>
  </si>
  <si>
    <t>godrej-anoop-hair-oil</t>
  </si>
  <si>
    <t>rusk | deviceId=DID-1B44AE25</t>
  </si>
  <si>
    <t>Godrej Hand Wash</t>
  </si>
  <si>
    <t>godrej-hand-wash</t>
  </si>
  <si>
    <t>Godrej No 1 Soap</t>
  </si>
  <si>
    <t>godrej-no-1-soap</t>
  </si>
  <si>
    <t>Gola Gola Bar</t>
  </si>
  <si>
    <t>tamato pickle | deviceId=DID-1B44AE25</t>
  </si>
  <si>
    <t>gola-gola-bar</t>
  </si>
  <si>
    <t>Gold Seal Basmati Rice</t>
  </si>
  <si>
    <t>gold-seal-basmati-rice</t>
  </si>
  <si>
    <t>Gold Sparklers 10 12 Boxes Each 8 Pcs</t>
  </si>
  <si>
    <t>gold-sparklers-10-12-boxes-each-8-pcs</t>
  </si>
  <si>
    <t>tamato pickles | deviceId=DID-1B44AE25</t>
  </si>
  <si>
    <t>Gold Sparklers 14 6 Boxes Each 8 Pcs</t>
  </si>
  <si>
    <t>gold-sparklers-14-6-boxes-each-8-pcs</t>
  </si>
  <si>
    <t>Golden Mix</t>
  </si>
  <si>
    <t>golden-mix</t>
  </si>
  <si>
    <t>Golden Raisins</t>
  </si>
  <si>
    <t>tom pickles | deviceId=DID-1B44AE25</t>
  </si>
  <si>
    <t>golden-raisins</t>
  </si>
  <si>
    <t>Golden Raisins 2</t>
  </si>
  <si>
    <t>golden-raisins-2</t>
  </si>
  <si>
    <t>Gongura Pickle Without Garlic</t>
  </si>
  <si>
    <t>gongura-pickle-without-garlic</t>
  </si>
  <si>
    <t>tomato pickles | deviceId=DID-1B44AE25</t>
  </si>
  <si>
    <t>Good Day Pista Almond</t>
  </si>
  <si>
    <t>good-day-pista-almond</t>
  </si>
  <si>
    <t>Gooday</t>
  </si>
  <si>
    <t>gooday</t>
  </si>
  <si>
    <t>Goya</t>
  </si>
  <si>
    <t>goya</t>
  </si>
  <si>
    <t>Goya Chick Peas</t>
  </si>
  <si>
    <t>goya-chick-peas</t>
  </si>
  <si>
    <t>Grab Bag</t>
  </si>
  <si>
    <t>grab-bag</t>
  </si>
  <si>
    <t>Gram Flour</t>
  </si>
  <si>
    <t>gram-flour</t>
  </si>
  <si>
    <t>Gram Flour 1</t>
  </si>
  <si>
    <t>gram-flour-1</t>
  </si>
  <si>
    <t>Grand Extra Long Basmati Rice 10 Lb</t>
  </si>
  <si>
    <t>grand-extra-long-basmati-rice-10-lb</t>
  </si>
  <si>
    <t>Grater Multi Purpose</t>
  </si>
  <si>
    <t>grater-multi-purpose</t>
  </si>
  <si>
    <t>Green Beans</t>
  </si>
  <si>
    <t>green-beans</t>
  </si>
  <si>
    <t>Green Chilli</t>
  </si>
  <si>
    <t>green-chilli</t>
  </si>
  <si>
    <t>Green Chilli Pickle</t>
  </si>
  <si>
    <t>green-chilli-pickle</t>
  </si>
  <si>
    <t>Green Garlic</t>
  </si>
  <si>
    <t>green-garlic</t>
  </si>
  <si>
    <t>Green Mango 1</t>
  </si>
  <si>
    <t>green-mango-1</t>
  </si>
  <si>
    <t>Green Papaya</t>
  </si>
  <si>
    <t>green-papaya</t>
  </si>
  <si>
    <t>Green Peas</t>
  </si>
  <si>
    <t>green-peas</t>
  </si>
  <si>
    <t>Green Pista 1</t>
  </si>
  <si>
    <t>green-pista-1</t>
  </si>
  <si>
    <t>Green Squash</t>
  </si>
  <si>
    <t>green-squash</t>
  </si>
  <si>
    <t>Groceries</t>
  </si>
  <si>
    <t>groceries</t>
  </si>
  <si>
    <t>Ground Flower Bloom 20 Pcs</t>
  </si>
  <si>
    <t>ground-flower-bloom-20-pcs</t>
  </si>
  <si>
    <t>Gud Jlabi</t>
  </si>
  <si>
    <t>LAXMI WHOLE NUTMEG</t>
  </si>
  <si>
    <t>gud-jlabi</t>
  </si>
  <si>
    <t>Gulab Jammun 1</t>
  </si>
  <si>
    <t>gulab-jammun-1</t>
  </si>
  <si>
    <t>nut</t>
  </si>
  <si>
    <t>Gulab Jammun 500g</t>
  </si>
  <si>
    <t>gulab-jammun-500g</t>
  </si>
  <si>
    <t>LAXMI FENNEL SEEDS</t>
  </si>
  <si>
    <t>Gulab Jamun Mix</t>
  </si>
  <si>
    <t>గులాబ్ జామున్ మిక్స్</t>
  </si>
  <si>
    <t>गुलाब जामुन मिक्स</t>
  </si>
  <si>
    <t>['gulab jamun mix', 'గులాబ్ జామున్ మిక్స్', 'गुलाब जामुन मिक्स']</t>
  </si>
  <si>
    <t>JIYA'S DAGAD PHOOL STONE FLOWER</t>
  </si>
  <si>
    <t>BANSI Roasted Dhana Dal</t>
  </si>
  <si>
    <t>split black gram</t>
  </si>
  <si>
    <t>SWAHA DHANA</t>
  </si>
  <si>
    <t>SWAD DILL SEEDS</t>
  </si>
  <si>
    <t>jeera|rai|chiya beeja|carom seeds</t>
  </si>
  <si>
    <t>LAXMI BLACK CARDAMOM</t>
  </si>
  <si>
    <t>MAGGI SOYA CHUNKS 100% Vegetarian</t>
  </si>
  <si>
    <t>MAGGI 2 MINUTE NOODLES</t>
  </si>
  <si>
    <t>MANCHURIAN</t>
  </si>
  <si>
    <t>Banu Nawab's Mutton Chicken Biryani</t>
  </si>
  <si>
    <t>Banu Nawab's Apollo Fish</t>
  </si>
  <si>
    <t>Badshah Undhia Masala</t>
  </si>
  <si>
    <t>Badshah Mutton Biryani Masala</t>
  </si>
  <si>
    <t>mutton rice|mutton curry masala</t>
  </si>
  <si>
    <t>Badshah MOMO Masala</t>
  </si>
  <si>
    <t>Badshah</t>
  </si>
  <si>
    <t>SWAD</t>
  </si>
  <si>
    <t>Laxmi Whole Nutmeg</t>
  </si>
  <si>
    <t>Laxmi Nutmeg Powder</t>
  </si>
  <si>
    <t>pasupu</t>
  </si>
  <si>
    <t>tomoto pickles | deviceId=DID-1B44AE25</t>
  </si>
  <si>
    <t>tomato pickle | deviceId=DID-1B44AE25</t>
  </si>
  <si>
    <t>24 mantra kitchen king masala | deviceId=DID-1308E0BA | results=103 | status=OK</t>
  </si>
  <si>
    <t>24 mantra kitchen king | deviceId=DID-1308E0BA | results=103 | status=OK</t>
  </si>
  <si>
    <t>milk | deviceId=DID-1308E0BA | results=23 | status=OK</t>
  </si>
  <si>
    <t>24 mantra kitchen kin | deviceId=DID-1F296274 | results=103 | status=OK</t>
  </si>
  <si>
    <t>24 mantra kitchen | deviceId=DID-1F296274 | results=103 | status=OK</t>
  </si>
  <si>
    <t>milk | deviceId=DID-1F296274 | results=23 | status=OK</t>
  </si>
  <si>
    <t>Gulab Premium Dhoop Sticks</t>
  </si>
  <si>
    <t>ego | deviceId=DID-1F296274 | results=0 | status=NO_RESULTS</t>
  </si>
  <si>
    <t>gulab-premium-dhoop-sticks</t>
  </si>
  <si>
    <t>Ziyad Onion Powder</t>
  </si>
  <si>
    <t>Laxmi</t>
  </si>
  <si>
    <t>tuvar dal</t>
  </si>
  <si>
    <t>pe | deviceId=DID-72AC3733</t>
  </si>
  <si>
    <t>Jiya's Dagad Phool Stone Flower</t>
  </si>
  <si>
    <t>Bansi Roasted Dhana Dal</t>
  </si>
  <si>
    <t>Guru Whole Curd</t>
  </si>
  <si>
    <t>pean | deviceId=DID-72AC3733</t>
  </si>
  <si>
    <t>Aala Dhana</t>
  </si>
  <si>
    <t>peanu | deviceId=DID-72AC3733</t>
  </si>
  <si>
    <t>Swad Dill Seeds</t>
  </si>
  <si>
    <t>Laxmi Black Cardamom</t>
  </si>
  <si>
    <t>peanut | deviceId=DID-72AC3733</t>
  </si>
  <si>
    <t>Cardamom Black</t>
  </si>
  <si>
    <t>peanut o | deviceId=DID-72AC3733</t>
  </si>
  <si>
    <t>elaichi powder</t>
  </si>
  <si>
    <t>Laxmi Cardamom Powder</t>
  </si>
  <si>
    <t>milk | deviceId=DID-535415B3 | results=208 | status=OK</t>
  </si>
  <si>
    <t>gat | deviceId=DID-14E20A91</t>
  </si>
  <si>
    <t>Maggi 2-Minute Noodles</t>
  </si>
  <si>
    <t>Manchurian</t>
  </si>
  <si>
    <t>gath | deviceId=DID-14E20A91</t>
  </si>
  <si>
    <t>Veeba Hakka Noodles</t>
  </si>
  <si>
    <t>Badshah Ginger Powder</t>
  </si>
  <si>
    <t>Badshah Chicken Masala</t>
  </si>
  <si>
    <t>Badshah Swad Sugaron Ka Raja</t>
  </si>
  <si>
    <t>tuvar dal|pigeon pea</t>
  </si>
  <si>
    <t>Mr Bengali Mix Pie</t>
  </si>
  <si>
    <t>indian sweets</t>
  </si>
  <si>
    <t>Sweets &amp; Mithai</t>
  </si>
  <si>
    <t>Brahmin's Kashmiri Chilli Powder</t>
  </si>
  <si>
    <t>Swetha Telugu Velluri Karam Podi</t>
  </si>
  <si>
    <t>Everest</t>
  </si>
  <si>
    <t>guru-whole-curd</t>
  </si>
  <si>
    <t>Ziyad Premium Onion Powder</t>
  </si>
  <si>
    <t>Guvar Bean</t>
  </si>
  <si>
    <t>pyaz|ullipaya|erragaddalu</t>
  </si>
  <si>
    <t>guvar-bean</t>
  </si>
  <si>
    <t>Hal Cornflakes Mix</t>
  </si>
  <si>
    <t>hal-cornflakes-mix</t>
  </si>
  <si>
    <t>Haldiram Cheese Naan</t>
  </si>
  <si>
    <t>haldiram-cheese-naan</t>
  </si>
  <si>
    <t>Haldiram Dhoda Burfi</t>
  </si>
  <si>
    <t>haldiram-dhoda-burfi</t>
  </si>
  <si>
    <t>Haldiram Gobi Paratha</t>
  </si>
  <si>
    <t>haldiram-gobi-paratha</t>
  </si>
  <si>
    <t>Haldiram Gol Mathri</t>
  </si>
  <si>
    <t>haldiram-gol-mathri</t>
  </si>
  <si>
    <t>Haldiram Methi Puri</t>
  </si>
  <si>
    <t>haldiram-methi-puri</t>
  </si>
  <si>
    <t>Haldiram Moti Chor Ladoo</t>
  </si>
  <si>
    <t>haldiram-moti-chor-ladoo</t>
  </si>
  <si>
    <t>Laxmi Poppy</t>
  </si>
  <si>
    <t>Haldiram Nut Cracker</t>
  </si>
  <si>
    <t>haldiram-nut-cracker</t>
  </si>
  <si>
    <t>Haldiram Panner Paratha</t>
  </si>
  <si>
    <t>haldiram-panner-paratha</t>
  </si>
  <si>
    <t>Best Taste Swad In India</t>
  </si>
  <si>
    <t>Haldiram Pudina Paratha</t>
  </si>
  <si>
    <t>haldiram-pudina-paratha</t>
  </si>
  <si>
    <t>Haldiram S Lemon Bhel</t>
  </si>
  <si>
    <t>haldiram-s-lemon-bhel</t>
  </si>
  <si>
    <t>Paprika</t>
  </si>
  <si>
    <t>Haldiram S Rajma Raseela</t>
  </si>
  <si>
    <t>haldiram-s-rajma-raseela</t>
  </si>
  <si>
    <t>Haldiram S Sugar Rewari</t>
  </si>
  <si>
    <t>haldiram-s-sugar-rewari</t>
  </si>
  <si>
    <t>Swad Premium</t>
  </si>
  <si>
    <t>Haldiram Tikoni Mathi</t>
  </si>
  <si>
    <t>haldiram-tikoni-mathi</t>
  </si>
  <si>
    <t>Haldiram Wrap</t>
  </si>
  <si>
    <t>Deer Deep</t>
  </si>
  <si>
    <t>haldiram-wrap</t>
  </si>
  <si>
    <t>Haldiram's Aloo Tikki</t>
  </si>
  <si>
    <t>హల్దీరాం ఆలూ టిక్కి</t>
  </si>
  <si>
    <t>sooji|rava|semolina</t>
  </si>
  <si>
    <t>हल्दीराम की आलू टिक्की</t>
  </si>
  <si>
    <t>Daiv</t>
  </si>
  <si>
    <t>['aloo tikki', "haldiram's", 'snack']</t>
  </si>
  <si>
    <t>Haldirams Ajwain Paratha</t>
  </si>
  <si>
    <t>haldirams-ajwain-paratha</t>
  </si>
  <si>
    <t>Salad Cardamom Black</t>
  </si>
  <si>
    <t>Haldirams All In One</t>
  </si>
  <si>
    <t>haldirams-all-in-one</t>
  </si>
  <si>
    <t>Haldirams Allo Mutter</t>
  </si>
  <si>
    <t>haldirams-allo-mutter</t>
  </si>
  <si>
    <t>Haldirams Aloo Bhujia</t>
  </si>
  <si>
    <t>haldirams-aloo-bhujia</t>
  </si>
  <si>
    <t>Haldirams Aloo Paratha</t>
  </si>
  <si>
    <t>haldirams-aloo-paratha</t>
  </si>
  <si>
    <t>Haldirams Amritsari Kulcha</t>
  </si>
  <si>
    <t>haldirams-amritsari-kulcha</t>
  </si>
  <si>
    <t>Haldirams Bajra Roti</t>
  </si>
  <si>
    <t>haldirams-bajra-roti</t>
  </si>
  <si>
    <t>Haldirams Bhel Mix</t>
  </si>
  <si>
    <t>haldirams-bhel-mix</t>
  </si>
  <si>
    <t>Haldirams Bhelpuri</t>
  </si>
  <si>
    <t>haldirams-bhelpuri</t>
  </si>
  <si>
    <t>Haldirams Bhujia</t>
  </si>
  <si>
    <t>haldirams-bhujia</t>
  </si>
  <si>
    <t>Haldirams Bombay Mix</t>
  </si>
  <si>
    <t>haldirams-bombay-mix</t>
  </si>
  <si>
    <t>Haldirams Chai Puri</t>
  </si>
  <si>
    <t>haldirams-chai-puri</t>
  </si>
  <si>
    <t>Haldirams Chana Dal</t>
  </si>
  <si>
    <t>haldirams-chana-dal</t>
  </si>
  <si>
    <t>Haldirams Chana Jor Garam</t>
  </si>
  <si>
    <t>haldirams-chana-jor-garam</t>
  </si>
  <si>
    <t>Haldirams Cheese Naan Frozen</t>
  </si>
  <si>
    <t>haldirams-cheese-naan-frozen</t>
  </si>
  <si>
    <t>Aashirvaad Green Cardamom</t>
  </si>
  <si>
    <t>Haldirams Chilli Chatak Lachha</t>
  </si>
  <si>
    <t>haldirams-chilli-chatak-lachha</t>
  </si>
  <si>
    <t>Deep Green Cardamom</t>
  </si>
  <si>
    <t>Haldirams Chilli Pattaka</t>
  </si>
  <si>
    <t>haldirams-chilli-pattaka</t>
  </si>
  <si>
    <t>Haldirams Cornflakes Mixture</t>
  </si>
  <si>
    <t>haldirams-cornflakes-mixture</t>
  </si>
  <si>
    <t>Haldirams Dahi Bhalla</t>
  </si>
  <si>
    <t>haldirams-dahi-bhalla</t>
  </si>
  <si>
    <t>Haldirams Dal Biji</t>
  </si>
  <si>
    <t>Ching's Veg Hakka Noodles</t>
  </si>
  <si>
    <t>haldirams-dal-biji</t>
  </si>
  <si>
    <t>Haldirams Dal Makhani</t>
  </si>
  <si>
    <t>haldirams-dal-makhani</t>
  </si>
  <si>
    <t>hakka noodles|veg noodles</t>
  </si>
  <si>
    <t>Haldirams Dilli Style Chhole</t>
  </si>
  <si>
    <t>haldirams-dilli-style-chhole</t>
  </si>
  <si>
    <t>Haldirams Falahari Mixture</t>
  </si>
  <si>
    <t>Anand Masala</t>
  </si>
  <si>
    <t>haldirams-falahari-mixture</t>
  </si>
  <si>
    <t>Haldirams Hara Chiwda</t>
  </si>
  <si>
    <t>haldirams-hara-chiwda</t>
  </si>
  <si>
    <t>Haldirams Homestyle Paratha</t>
  </si>
  <si>
    <t>haldirams-homestyle-paratha</t>
  </si>
  <si>
    <t>Haldirams Hyderabadi Biryani</t>
  </si>
  <si>
    <t>Swetha Telugu Vellulli Karam Podi</t>
  </si>
  <si>
    <t>haldirams-hyderabadi-biryani</t>
  </si>
  <si>
    <t>Haldirams Kadhi Pakoda</t>
  </si>
  <si>
    <t>haldirams-kadhi-pakoda</t>
  </si>
  <si>
    <t>Haldirams Kaju Mixture</t>
  </si>
  <si>
    <t>Swetha Telugu Sambar Powder</t>
  </si>
  <si>
    <t>haldirams-kaju-mixture</t>
  </si>
  <si>
    <t>Haldirams Kashmiri Mixture</t>
  </si>
  <si>
    <t>haldirams-kashmiri-mixture</t>
  </si>
  <si>
    <t>Haldirams Khatta Meetha</t>
  </si>
  <si>
    <t>haldirams-khatta-meetha</t>
  </si>
  <si>
    <t>Swetha Telugu Rasam Powder</t>
  </si>
  <si>
    <t>Haldirams Lachcha Paratha</t>
  </si>
  <si>
    <t>haldirams-lachcha-paratha</t>
  </si>
  <si>
    <t>Haldirams Mathri</t>
  </si>
  <si>
    <t>haldirams-mathri</t>
  </si>
  <si>
    <t>Swetha Telugu Putnala Karam Podi Roasted Chickpea &amp; Mix Powder</t>
  </si>
  <si>
    <t>Haldirams Methi Sev</t>
  </si>
  <si>
    <t>haldirams-methi-sev</t>
  </si>
  <si>
    <t>Haldirams Mint Lachha</t>
  </si>
  <si>
    <t>haldirams-mint-lachha</t>
  </si>
  <si>
    <t>Haldirams Mix Veg Paratha</t>
  </si>
  <si>
    <t>Swetha Telugu Kothimeera Karam Podi Coriander Leaf Spice Mix Powder</t>
  </si>
  <si>
    <t>haldirams-mix-veg-paratha</t>
  </si>
  <si>
    <t>Haldirams Moong Dal</t>
  </si>
  <si>
    <t>haldirams-moong-dal</t>
  </si>
  <si>
    <t>Haldirams Moong Dal Masala</t>
  </si>
  <si>
    <t>Swetha Telugu Madras Sambar</t>
  </si>
  <si>
    <t>haldirams-moong-dal-masala</t>
  </si>
  <si>
    <t>Haldirams Muli Paratha</t>
  </si>
  <si>
    <t>haldirams-muli-paratha</t>
  </si>
  <si>
    <t>Swetha Telugu Pali Karam Podi Red Chili Mix Powder</t>
  </si>
  <si>
    <t>Haldirams Mutter Kachori</t>
  </si>
  <si>
    <t>haldirams-mutter-kachori</t>
  </si>
  <si>
    <t>Haldirams Navrattan</t>
  </si>
  <si>
    <t>haldirams-navrattan</t>
  </si>
  <si>
    <t>Swetha Telugu Munagaku Karam Podi Moringa Leaf Spice Mix Powder</t>
  </si>
  <si>
    <t>Haldirams Nimbu Masala</t>
  </si>
  <si>
    <t>haldirams-nimbu-masala</t>
  </si>
  <si>
    <t>Dalvi Sesame Seeds</t>
  </si>
  <si>
    <t>Dalvi White Sesame Seeds</t>
  </si>
  <si>
    <t>Laxmi Brown Sesame Seeds</t>
  </si>
  <si>
    <t>Sesame Seeds Brown</t>
  </si>
  <si>
    <t>Green Cardamom Elaichi</t>
  </si>
  <si>
    <t>Laxmi Cardamom Seeds</t>
  </si>
  <si>
    <t>elaichi seeds|elaichi powder|chiya bij|chiya beeja</t>
  </si>
  <si>
    <t>Swad Cinnamon Sticks (Flat)</t>
  </si>
  <si>
    <t>Laxmi Cinnamon Sticks (Flat) Net Wt 7oz (200g)</t>
  </si>
  <si>
    <t>Cinnamon Stick Flat</t>
  </si>
  <si>
    <t>Laxmi Cinnamon Sticks (Round) Net Wt 3.5oz (100g)</t>
  </si>
  <si>
    <t>Swad Roli Cinnamon Sticks</t>
  </si>
  <si>
    <t>Swad Whole Cloves</t>
  </si>
  <si>
    <t>Haldirams Nut Cracker</t>
  </si>
  <si>
    <t>haldirams-nut-cracker</t>
  </si>
  <si>
    <t>Haldirams Nut Crackers</t>
  </si>
  <si>
    <t>haldirams-nut-crackers</t>
  </si>
  <si>
    <t>Haldirams Palak Paneer</t>
  </si>
  <si>
    <t>haldirams-palak-paneer</t>
  </si>
  <si>
    <t>Haldirams Panchrattan</t>
  </si>
  <si>
    <t>haldirams-panchrattan</t>
  </si>
  <si>
    <t>Haldirams Paneer Makhani</t>
  </si>
  <si>
    <t>haldirams-paneer-makhani</t>
  </si>
  <si>
    <t>Haldirams Paneer Paratha</t>
  </si>
  <si>
    <t>haldirams-paneer-paratha</t>
  </si>
  <si>
    <t>Haldirams Paneer Tikka</t>
  </si>
  <si>
    <t>haldirams-paneer-tikka</t>
  </si>
  <si>
    <t>Haldirams Panipuri</t>
  </si>
  <si>
    <t>haldirams-panipuri</t>
  </si>
  <si>
    <t>Haldirams Pao Bhaji</t>
  </si>
  <si>
    <t>haldirams-pao-bhaji</t>
  </si>
  <si>
    <t>Haldirams Pav Bhaji</t>
  </si>
  <si>
    <t>haldirams-pav-bhaji</t>
  </si>
  <si>
    <t>Haldirams Plain Bhujia</t>
  </si>
  <si>
    <t>haldirams-plain-bhujia</t>
  </si>
  <si>
    <t>Haldirams Punjabi Choley</t>
  </si>
  <si>
    <t>haldirams-punjabi-choley</t>
  </si>
  <si>
    <t>Haldirams Punjabi Tadka</t>
  </si>
  <si>
    <t>haldirams-punjabi-tadka</t>
  </si>
  <si>
    <t>Haldirams Rajma Raseela</t>
  </si>
  <si>
    <t>haldirams-rajma-raseela</t>
  </si>
  <si>
    <t>Haldirams Rajma Wt Jeera Rice</t>
  </si>
  <si>
    <t>haldirams-rajma-wt-jeera-rice</t>
  </si>
  <si>
    <t>Haldirams Sambar</t>
  </si>
  <si>
    <t>haldirams-sambar</t>
  </si>
  <si>
    <t>Haldirams Samosa</t>
  </si>
  <si>
    <t>haldirams-samosa</t>
  </si>
  <si>
    <t>Haldirams Yellow Dal Tadka</t>
  </si>
  <si>
    <t>haldirams-yellow-dal-tadka</t>
  </si>
  <si>
    <t>Haleem Masala</t>
  </si>
  <si>
    <t>హలీం మసాలా</t>
  </si>
  <si>
    <t>हलीम मसाला</t>
  </si>
  <si>
    <t>['haleem masala', 'slow-cooked stew']</t>
  </si>
  <si>
    <t>Haleem Whole</t>
  </si>
  <si>
    <t>haleem-whole</t>
  </si>
  <si>
    <t>Hands Mango Flavored Coconut Milk</t>
  </si>
  <si>
    <t>hands-mango-flavored-coconut-milk</t>
  </si>
  <si>
    <t>Hands Strawberry Flavored Coconut Milk</t>
  </si>
  <si>
    <t>hands-strawberry-flavored-coconut-milk</t>
  </si>
  <si>
    <t>Handva</t>
  </si>
  <si>
    <t>handva</t>
  </si>
  <si>
    <t>Happy Boom Top Gun</t>
  </si>
  <si>
    <t>happy-boom-top-gun</t>
  </si>
  <si>
    <t>Happy Diwali 10 Pcs</t>
  </si>
  <si>
    <t>happy-diwali-10-pcs</t>
  </si>
  <si>
    <t>Har Rooz Basmati Rice 10 Lb</t>
  </si>
  <si>
    <t>har-rooz-basmati-rice-10-lb</t>
  </si>
  <si>
    <t>Babco Foods International LLC. Anand Masala</t>
  </si>
  <si>
    <t>Health Mix</t>
  </si>
  <si>
    <t>health-mix</t>
  </si>
  <si>
    <t>Hearty Oats</t>
  </si>
  <si>
    <t>hearty-oats</t>
  </si>
  <si>
    <t>Hearty Oats 1</t>
  </si>
  <si>
    <t>hearty-oats-1</t>
  </si>
  <si>
    <t>Heavy Cream 1</t>
  </si>
  <si>
    <t>heavy-cream-1</t>
  </si>
  <si>
    <t>Heavy Starch</t>
  </si>
  <si>
    <t>heavy-starch</t>
  </si>
  <si>
    <t>Hem</t>
  </si>
  <si>
    <t>hem</t>
  </si>
  <si>
    <t>Hem Dhoop Sticks</t>
  </si>
  <si>
    <t>hem-dhoop-sticks</t>
  </si>
  <si>
    <t>Hem Vanilla Incense Sticks</t>
  </si>
  <si>
    <t>hem-vanilla-incense-sticks</t>
  </si>
  <si>
    <t>Herbi Arjunarishta Dietary Supplement 450 Ml</t>
  </si>
  <si>
    <t>herbi-arjunarishta-dietary-supplement-450-ml</t>
  </si>
  <si>
    <t>Herbi Nagkesar</t>
  </si>
  <si>
    <t>herbi-nagkesar</t>
  </si>
  <si>
    <t>Herbi Shampoo 355 Ml</t>
  </si>
  <si>
    <t>EVEREST</t>
  </si>
  <si>
    <t>herbi-shampoo-355-ml</t>
  </si>
  <si>
    <t>Herbicare Neem Powder</t>
  </si>
  <si>
    <t>herbicare-neem-powder</t>
  </si>
  <si>
    <t>Hesh Aritha Powder</t>
  </si>
  <si>
    <t>హెష్ అరితా పావుర</t>
  </si>
  <si>
    <t>हेश अरिथा पाउडर</t>
  </si>
  <si>
    <t>['arista powder', 'hesh aritha powder']</t>
  </si>
  <si>
    <t>Hesh Mehendi Powder</t>
  </si>
  <si>
    <t>హెష్ మెహెండీ పావుర</t>
  </si>
  <si>
    <t>Swetha Telugu</t>
  </si>
  <si>
    <t>हेश मेहेंदी पाउडर</t>
  </si>
  <si>
    <t>['henna powder', 'mehendi powder']</t>
  </si>
  <si>
    <t>Swetha Telugu PUTNALA KARAM PODI</t>
  </si>
  <si>
    <t>Hesh Sandal Face Pack</t>
  </si>
  <si>
    <t>Swetha Telugu CHAT MASALA</t>
  </si>
  <si>
    <t>hesh-sandal-face-pack</t>
  </si>
  <si>
    <t>Hesh Tulsi Powder</t>
  </si>
  <si>
    <t>hesh-tulsi-powder</t>
  </si>
  <si>
    <t>Hide Seek 1</t>
  </si>
  <si>
    <t>hide-seek-1</t>
  </si>
  <si>
    <t>Himalaya Besan Ladoo</t>
  </si>
  <si>
    <t>himalaya-besan-ladoo</t>
  </si>
  <si>
    <t>Himalaya Kaju Katli</t>
  </si>
  <si>
    <t>himalaya-kaju-katli</t>
  </si>
  <si>
    <t>Himalaya Milk Cake</t>
  </si>
  <si>
    <t>himalaya-milk-cake</t>
  </si>
  <si>
    <t>Himalaya Motichur Ladoo</t>
  </si>
  <si>
    <t>himalaya-motichur-ladoo</t>
  </si>
  <si>
    <t>Himalaya Tulasi Respiratory Wellness</t>
  </si>
  <si>
    <t>himalaya-tulasi-respiratory-wellness</t>
  </si>
  <si>
    <t>Himalayan Salt Mantra</t>
  </si>
  <si>
    <t>himalayan-salt-mantra</t>
  </si>
  <si>
    <t>Himalya Coctal Samosa</t>
  </si>
  <si>
    <t>himalya-coctal-samosa</t>
  </si>
  <si>
    <t>Holi Clr</t>
  </si>
  <si>
    <t>holi-clr</t>
  </si>
  <si>
    <t>Home Style</t>
  </si>
  <si>
    <t>home-style</t>
  </si>
  <si>
    <t>Horas Gram</t>
  </si>
  <si>
    <t>horas-gram</t>
  </si>
  <si>
    <t>Horlicks 1</t>
  </si>
  <si>
    <t>horlicks-1</t>
  </si>
  <si>
    <t>Hot Hot</t>
  </si>
  <si>
    <t>hot-hot</t>
  </si>
  <si>
    <t>Hot Wex</t>
  </si>
  <si>
    <t>hot-wex</t>
  </si>
  <si>
    <t>Hyd Mixture</t>
  </si>
  <si>
    <t>హైదరాబాద్ మిశ్రమం</t>
  </si>
  <si>
    <t>हैदराबाद मिश्रण</t>
  </si>
  <si>
    <t>['Hyd Mixture']</t>
  </si>
  <si>
    <t>Hyderabad Mix</t>
  </si>
  <si>
    <t>hyderabad-mix</t>
  </si>
  <si>
    <t>Hyderabadi Mixed Pickle</t>
  </si>
  <si>
    <t>hyderabadi-mixed-pickle</t>
  </si>
  <si>
    <t>Ice Cream</t>
  </si>
  <si>
    <t>ice-cream</t>
  </si>
  <si>
    <t>Idhayam</t>
  </si>
  <si>
    <t>idhayam</t>
  </si>
  <si>
    <t>Idhayam 1</t>
  </si>
  <si>
    <t>idhayam-1</t>
  </si>
  <si>
    <t>Idhayam 5 Ltr</t>
  </si>
  <si>
    <t>idhayam-5-ltr</t>
  </si>
  <si>
    <t>Idhayam Authentic Kerala Mixture 12oz</t>
  </si>
  <si>
    <t>idhayam-authentic-kerala-mixture-12oz</t>
  </si>
  <si>
    <t>Idhayam Madras Mixture Snacks 340 Gms</t>
  </si>
  <si>
    <t>idhayam-madras-mixture-snacks-340-gms</t>
  </si>
  <si>
    <t>Idhayam Plain Boondhi 340g</t>
  </si>
  <si>
    <t>idhayam-plain-boondhi-340g</t>
  </si>
  <si>
    <t>Idhayam Sunflower Oil 2 Liter</t>
  </si>
  <si>
    <t>idhayam-sunflower-oil-2-liter</t>
  </si>
  <si>
    <t>Idli Rava 1</t>
  </si>
  <si>
    <t>idli-rava-1</t>
  </si>
  <si>
    <t>Idli Rice</t>
  </si>
  <si>
    <t>idli-rice</t>
  </si>
  <si>
    <t>Idli Rice 10 Lb</t>
  </si>
  <si>
    <t>idli-rice-10-lb</t>
  </si>
  <si>
    <t>Idli Rice 20 Lb</t>
  </si>
  <si>
    <t>Swetha Telugu CHICKEN MASALA</t>
  </si>
  <si>
    <t>idli-rice-20-lb</t>
  </si>
  <si>
    <t>Idly Rava</t>
  </si>
  <si>
    <t>idly-rava</t>
  </si>
  <si>
    <t>Idly Value Pack</t>
  </si>
  <si>
    <t>idly-value-pack</t>
  </si>
  <si>
    <t>Ilk Rusk</t>
  </si>
  <si>
    <t>ilk-rusk</t>
  </si>
  <si>
    <t>India Gate Basmati Excel Rice 10 Lb</t>
  </si>
  <si>
    <t>india-gate-basmati-excel-rice-10-lb</t>
  </si>
  <si>
    <t>india-gate-basmati-rice</t>
  </si>
  <si>
    <t>India Gate Classic</t>
  </si>
  <si>
    <t>india-gate-classic</t>
  </si>
  <si>
    <t>India S Nature Extra Long Basmati Rice 10 Lb</t>
  </si>
  <si>
    <t>Swetha Telugu CHICKEN 65 MASALA</t>
  </si>
  <si>
    <t>india-s-nature-extra-long-basmati-rice-10-lb</t>
  </si>
  <si>
    <t>India S Nature Sona Masoori 20 Lb</t>
  </si>
  <si>
    <t>india-s-nature-sona-masoori-20-lb</t>
  </si>
  <si>
    <t>Indian Squash</t>
  </si>
  <si>
    <t>indian-squash</t>
  </si>
  <si>
    <t>Indigo</t>
  </si>
  <si>
    <t>indigo</t>
  </si>
  <si>
    <t>Swetha Telugu HYDERABADI</t>
  </si>
  <si>
    <t>Insta Strong</t>
  </si>
  <si>
    <t>insta-strong</t>
  </si>
  <si>
    <t>Iodex</t>
  </si>
  <si>
    <t>iodex</t>
  </si>
  <si>
    <t>Isabol</t>
  </si>
  <si>
    <t>isabol</t>
  </si>
  <si>
    <t>Iyengar Hot Bisi Bele Bath Mix</t>
  </si>
  <si>
    <t>iyengar-hot-bisi-bele-bath-mix</t>
  </si>
  <si>
    <t>Telugu Aviriginjala Karam Podi</t>
  </si>
  <si>
    <t>Iyengar Hot Hot Vangibath Mix 200 Gms</t>
  </si>
  <si>
    <t>iyengar-hot-hot-vangibath-mix-200-gms</t>
  </si>
  <si>
    <t>Iyengar Hot Puliyogare Gujju</t>
  </si>
  <si>
    <t>iyengar-hot-puliyogare-gujju</t>
  </si>
  <si>
    <t>Eastern Fish Masala</t>
  </si>
  <si>
    <t>Iyengar Hot Rasam Powder</t>
  </si>
  <si>
    <t>iyengar-hot-rasam-powder</t>
  </si>
  <si>
    <t>Iyengar Hot Vangibath Mix</t>
  </si>
  <si>
    <t>iyengar-hot-vangibath-mix</t>
  </si>
  <si>
    <t>Jabsons Gajak 1</t>
  </si>
  <si>
    <t>jabsons-gajak-1</t>
  </si>
  <si>
    <t>Jabsons Peanut Spicy Mas</t>
  </si>
  <si>
    <t>jabsons-peanut-spicy-mas</t>
  </si>
  <si>
    <t>Jabsons R Chana</t>
  </si>
  <si>
    <t>jabsons-r-chana</t>
  </si>
  <si>
    <t>Jabsons Roasted Chana</t>
  </si>
  <si>
    <t>jabsons-roasted-chana</t>
  </si>
  <si>
    <t>Jabsons Roasted Chana 200 Gms</t>
  </si>
  <si>
    <t>jabsons-roasted-chana-200-gms</t>
  </si>
  <si>
    <t>Jabsons Roasted Chana 400 Gms</t>
  </si>
  <si>
    <t>jabsons-roasted-chana-400-gms</t>
  </si>
  <si>
    <t>Jack Furit</t>
  </si>
  <si>
    <t>jack-furit</t>
  </si>
  <si>
    <t>Jackfruit Seeds</t>
  </si>
  <si>
    <t>jackfruit-seeds</t>
  </si>
  <si>
    <t>Jaggery</t>
  </si>
  <si>
    <t>Bellam</t>
  </si>
  <si>
    <t>Gud</t>
  </si>
  <si>
    <t>jaggery|bellam|gud</t>
  </si>
  <si>
    <t>jaggery|gud|bellam</t>
  </si>
  <si>
    <t>Bellam (బెల్లం)</t>
  </si>
  <si>
    <t>Gud (गुड़)</t>
  </si>
  <si>
    <t>Eastern Chicken</t>
  </si>
  <si>
    <t>Jaggery Ball 1</t>
  </si>
  <si>
    <t>jaggery-ball-1</t>
  </si>
  <si>
    <t>Jaggry</t>
  </si>
  <si>
    <t>jaggry</t>
  </si>
  <si>
    <t>Jai Hanuman Havan Samagri</t>
  </si>
  <si>
    <t>Eastern</t>
  </si>
  <si>
    <t>jai-hanuman-havan-samagri</t>
  </si>
  <si>
    <t>Jain Food Chocolate Burfi Frozen</t>
  </si>
  <si>
    <t>jain-food-chocolate-burfi-frozen</t>
  </si>
  <si>
    <t>Jain Foods Cashews Mild Spiced</t>
  </si>
  <si>
    <t>SWAD WHITE SESAME SEEDS</t>
  </si>
  <si>
    <t>jain-foods-cashews-mild-spiced</t>
  </si>
  <si>
    <t>Jain Foods Delhi Mix</t>
  </si>
  <si>
    <t>jain-foods-delhi-mix</t>
  </si>
  <si>
    <t>Jain Foods Masala Kachori</t>
  </si>
  <si>
    <t>jain-foods-masala-kachori</t>
  </si>
  <si>
    <t>Jalani Jaljira</t>
  </si>
  <si>
    <t>jalani-jaljira</t>
  </si>
  <si>
    <t>LAXMI ORGANIC SESAME SEEDS</t>
  </si>
  <si>
    <t>Jalapeno Samosa</t>
  </si>
  <si>
    <t>jalapeno-samosa</t>
  </si>
  <si>
    <t>Jamun</t>
  </si>
  <si>
    <t>jamun</t>
  </si>
  <si>
    <t>Janthikalu</t>
  </si>
  <si>
    <t>SWAD SESAME SEEDS (WHITE)</t>
  </si>
  <si>
    <t>janthikalu</t>
  </si>
  <si>
    <t>Jasmine Oil For Puja</t>
  </si>
  <si>
    <t>jasmine-oil-for-puja</t>
  </si>
  <si>
    <t>SWAD SESAME SEEDS</t>
  </si>
  <si>
    <t>Jeera Cookie</t>
  </si>
  <si>
    <t>jeera-cookie</t>
  </si>
  <si>
    <t>Jeera Puri</t>
  </si>
  <si>
    <t>jeera-puri</t>
  </si>
  <si>
    <t>BLACK SESAME SEEDS</t>
  </si>
  <si>
    <t>Jhalmuri</t>
  </si>
  <si>
    <t>jhalmuri</t>
  </si>
  <si>
    <t>Jin Jan Britannia</t>
  </si>
  <si>
    <t>jin-jan-britannia</t>
  </si>
  <si>
    <t>Jintan</t>
  </si>
  <si>
    <t>Aala SESAME SEEDS</t>
  </si>
  <si>
    <t>jintan</t>
  </si>
  <si>
    <t>Johnsons Baby Shampoo</t>
  </si>
  <si>
    <t>johnsons-baby-shampoo</t>
  </si>
  <si>
    <t>Rachav SESAME SEEDS (BLACK)</t>
  </si>
  <si>
    <t>SWAD CHANA DAL</t>
  </si>
  <si>
    <t>chickpeas|chickpea</t>
  </si>
  <si>
    <t>SWAD CINNAMON STICKS (FLAT)</t>
  </si>
  <si>
    <t>Jowar Dhani Big</t>
  </si>
  <si>
    <t>SWAD CINNAMON STICKS</t>
  </si>
  <si>
    <t>jowar-dhani-big</t>
  </si>
  <si>
    <t>Joy Tamarind Concentrate</t>
  </si>
  <si>
    <t>joy-tamarind-concentrate</t>
  </si>
  <si>
    <t>ROUND CHILLIES</t>
  </si>
  <si>
    <t>Jug</t>
  </si>
  <si>
    <t>jug</t>
  </si>
  <si>
    <t>Jumbo Peanuts</t>
  </si>
  <si>
    <t>chili|chilli|mirchi</t>
  </si>
  <si>
    <t>jumbo-peanuts</t>
  </si>
  <si>
    <t>SWAD WHOLE CLOVES</t>
  </si>
  <si>
    <t>Jwar Flour</t>
  </si>
  <si>
    <t>jwar-flour</t>
  </si>
  <si>
    <t>Kabab Naan</t>
  </si>
  <si>
    <t>kabab-naan</t>
  </si>
  <si>
    <t>WHOLE CLOVES</t>
  </si>
  <si>
    <t>Kabab Rolls</t>
  </si>
  <si>
    <t>kabab-rolls</t>
  </si>
  <si>
    <t>Kabasura Kudineer Powder</t>
  </si>
  <si>
    <t>kabasura-kudineer-powder</t>
  </si>
  <si>
    <t>SWAD CLOVE POWDER</t>
  </si>
  <si>
    <t>Kabuli Chana</t>
  </si>
  <si>
    <t>kabuli-chana</t>
  </si>
  <si>
    <t>Kabuli Chana 7lb</t>
  </si>
  <si>
    <t>kabuli-chana-7lb</t>
  </si>
  <si>
    <t>SWAD CORIANDER SEEDS</t>
  </si>
  <si>
    <t>Kadhi</t>
  </si>
  <si>
    <t>kadhi</t>
  </si>
  <si>
    <t>Kadhi Chawal</t>
  </si>
  <si>
    <t>kadhi-chawal</t>
  </si>
  <si>
    <t>Kailash Jeevan</t>
  </si>
  <si>
    <t>kailash-jeevan</t>
  </si>
  <si>
    <t>Kaju Draksh</t>
  </si>
  <si>
    <t>kaju-draksh</t>
  </si>
  <si>
    <t>CORIANDER SEEDS</t>
  </si>
  <si>
    <t>Kaju Draksh Icecream</t>
  </si>
  <si>
    <t>kaju-draksh-icecream</t>
  </si>
  <si>
    <t>Kaju Gunjiya</t>
  </si>
  <si>
    <t>coriander|seeds</t>
  </si>
  <si>
    <t>kaju-gunjiya</t>
  </si>
  <si>
    <t>Kaju Katli</t>
  </si>
  <si>
    <t>NISSIN VEG NOODLES</t>
  </si>
  <si>
    <t>kaju-katli</t>
  </si>
  <si>
    <t>Kaju Pista</t>
  </si>
  <si>
    <t>kaju-pista</t>
  </si>
  <si>
    <t>Kala Chana</t>
  </si>
  <si>
    <t>DELICIOUS INSTANT NOODLES</t>
  </si>
  <si>
    <t>kala-chana</t>
  </si>
  <si>
    <t>Kala Chana 1</t>
  </si>
  <si>
    <t>kala-chana-1</t>
  </si>
  <si>
    <t>Kalijeera 9lb</t>
  </si>
  <si>
    <t>kalijeera-9lb</t>
  </si>
  <si>
    <t>Kalijiri</t>
  </si>
  <si>
    <t>Tea Time</t>
  </si>
  <si>
    <t>kalijiri</t>
  </si>
  <si>
    <t>Kanha Copper Bottle</t>
  </si>
  <si>
    <t>kanha-copper-bottle</t>
  </si>
  <si>
    <t>Kanthil 1</t>
  </si>
  <si>
    <t>kanthil-1</t>
  </si>
  <si>
    <t>Kappalandi Masala</t>
  </si>
  <si>
    <t>kappalandi-masala</t>
  </si>
  <si>
    <t>bags</t>
  </si>
  <si>
    <t>Karachi</t>
  </si>
  <si>
    <t>Tea &amp; Coffee</t>
  </si>
  <si>
    <t>karachi</t>
  </si>
  <si>
    <t>TOP RAMEN</t>
  </si>
  <si>
    <t>Karahi 2</t>
  </si>
  <si>
    <t>karahi-2</t>
  </si>
  <si>
    <t>Karahi 3</t>
  </si>
  <si>
    <t>karahi-3</t>
  </si>
  <si>
    <t>NISSIN TOP RAMEN</t>
  </si>
  <si>
    <t>Karaila</t>
  </si>
  <si>
    <t>karaila</t>
  </si>
  <si>
    <t>Karela</t>
  </si>
  <si>
    <t>Everest Black Pepper</t>
  </si>
  <si>
    <t>karela</t>
  </si>
  <si>
    <t>Karela Mathi</t>
  </si>
  <si>
    <t>karela-mathi</t>
  </si>
  <si>
    <t>Karwa Chauth Pooja Samagri Kit</t>
  </si>
  <si>
    <t>karwa-chauth-pooja-samagri-kit</t>
  </si>
  <si>
    <t>Kashmiri Mix</t>
  </si>
  <si>
    <t>kashmiri-mix</t>
  </si>
  <si>
    <t>Kati Roll</t>
  </si>
  <si>
    <t>kati-roll</t>
  </si>
  <si>
    <t>Katora Bowl</t>
  </si>
  <si>
    <t>katora-bowl</t>
  </si>
  <si>
    <t>Kawan Chapatti</t>
  </si>
  <si>
    <t>kawan-chapatti</t>
  </si>
  <si>
    <t>Kawan Onion Bulk Paratha</t>
  </si>
  <si>
    <t>kawan-onion-bulk-paratha</t>
  </si>
  <si>
    <t>Kawan Plain Paratha</t>
  </si>
  <si>
    <t>kawan-plain-paratha</t>
  </si>
  <si>
    <t>Kawan Whole Wheat Chapathi</t>
  </si>
  <si>
    <t>kawan-whole-wheat-chapathi</t>
  </si>
  <si>
    <t>Kawan Whole Wheat Paratha</t>
  </si>
  <si>
    <t>kawan-whole-wheat-paratha</t>
  </si>
  <si>
    <t>Kayam Tablet</t>
  </si>
  <si>
    <t>kayam-tablet</t>
  </si>
  <si>
    <t>Kcb Badam Khatie</t>
  </si>
  <si>
    <t>kcb-badam-khatie</t>
  </si>
  <si>
    <t>Kcb Bakar Khani</t>
  </si>
  <si>
    <t>kcb-bakar-khani</t>
  </si>
  <si>
    <t>Kcb Cake Rusk No Egg</t>
  </si>
  <si>
    <t>kcb-cake-rusk-no-egg</t>
  </si>
  <si>
    <t>Kcb Cake Rusk With Fennel Seeds</t>
  </si>
  <si>
    <t>kcb-cake-rusk-with-fennel-seeds</t>
  </si>
  <si>
    <t>Kcb Cashew Khatie</t>
  </si>
  <si>
    <t>kcb-cashew-khatie</t>
  </si>
  <si>
    <t>Kcb Coconut Buiscuts</t>
  </si>
  <si>
    <t>kcb-coconut-buiscuts</t>
  </si>
  <si>
    <t>Kcb Crunchy Tea Rusk</t>
  </si>
  <si>
    <t>kcb-crunchy-tea-rusk</t>
  </si>
  <si>
    <t>Kcb Elaichi Khatie</t>
  </si>
  <si>
    <t>kcb-elaichi-khatie</t>
  </si>
  <si>
    <t>Kcb Jeera Cookies</t>
  </si>
  <si>
    <t>kcb-jeera-cookies</t>
  </si>
  <si>
    <t>Kcb Morning Tea Toast</t>
  </si>
  <si>
    <t>kcb-morning-tea-toast</t>
  </si>
  <si>
    <t>Kcb Mumbai Pav</t>
  </si>
  <si>
    <t>kcb-mumbai-pav</t>
  </si>
  <si>
    <t>Kcb Pakori</t>
  </si>
  <si>
    <t>kcb-pakori</t>
  </si>
  <si>
    <t>Kcb Peanut Pista Cookies</t>
  </si>
  <si>
    <t>kcb-peanut-pista-cookies</t>
  </si>
  <si>
    <t>Kcb Pista Khatie</t>
  </si>
  <si>
    <t>Red Chili Powder</t>
  </si>
  <si>
    <t>kcb-pista-khatie</t>
  </si>
  <si>
    <t>Kcb Special Cake Rusk</t>
  </si>
  <si>
    <t>kcb-special-cake-rusk</t>
  </si>
  <si>
    <t>Kerala Chicken Curry</t>
  </si>
  <si>
    <t>kerala-chicken-curry</t>
  </si>
  <si>
    <t>Kerala Kuthari Matta Rice 10 Lb</t>
  </si>
  <si>
    <t>powder chilli</t>
  </si>
  <si>
    <t>kerala-kuthari-matta-rice-10-lb</t>
  </si>
  <si>
    <t>Shan Zafraan Garam Masala Powder</t>
  </si>
  <si>
    <t>Kerala Kuthari Matta Rice 10 Lb 1</t>
  </si>
  <si>
    <t>kerala-kuthari-matta-rice-10-lb-1</t>
  </si>
  <si>
    <t>Kerala Mixture</t>
  </si>
  <si>
    <t>kerala-mixture</t>
  </si>
  <si>
    <t>Black Pepper Powder</t>
  </si>
  <si>
    <t>Shan</t>
  </si>
  <si>
    <t>Tikka Seekh Kabab</t>
  </si>
  <si>
    <t>chicken kabab|kebabs</t>
  </si>
  <si>
    <t>Eastern Chicken Biryani Masala</t>
  </si>
  <si>
    <t>Kerala Seeds Bittee Melon Seeds</t>
  </si>
  <si>
    <t>kerala-seeds-bittee-melon-seeds</t>
  </si>
  <si>
    <t>Eastern Chicken 65 Masala</t>
  </si>
  <si>
    <t>Kesar</t>
  </si>
  <si>
    <t>kesar</t>
  </si>
  <si>
    <t>Kesar Pista Kingcone</t>
  </si>
  <si>
    <t>kesar-pista-kingcone</t>
  </si>
  <si>
    <t>Kfi Achari Mango</t>
  </si>
  <si>
    <t>kfi-achari-mango</t>
  </si>
  <si>
    <t>Kfi Mint Chutney</t>
  </si>
  <si>
    <t>kfi-mint-chutney</t>
  </si>
  <si>
    <t>Priya Verusenaga podi</t>
  </si>
  <si>
    <t>Khari</t>
  </si>
  <si>
    <t>khari</t>
  </si>
  <si>
    <t>dosa podi</t>
  </si>
  <si>
    <t>Khari Sing</t>
  </si>
  <si>
    <t>khari-sing</t>
  </si>
  <si>
    <t>Priya Tandoori Masala</t>
  </si>
  <si>
    <t>Khasta Kachori</t>
  </si>
  <si>
    <t>khasta-kachori</t>
  </si>
  <si>
    <t>spices|spice</t>
  </si>
  <si>
    <t>Khatti Meethi Chutny</t>
  </si>
  <si>
    <t>Priya Rasam</t>
  </si>
  <si>
    <t>khatti-meethi-chutny</t>
  </si>
  <si>
    <t>Khazana 1</t>
  </si>
  <si>
    <t>khazana-1</t>
  </si>
  <si>
    <t>Priya Sambar</t>
  </si>
  <si>
    <t>Khazana Organic Brown Sona Masuri Rice 10 Lb</t>
  </si>
  <si>
    <t>khazana-organic-brown-sona-masuri-rice-10-lb</t>
  </si>
  <si>
    <t>Khazana Pani Puri Masala</t>
  </si>
  <si>
    <t>Priya Kura Karam</t>
  </si>
  <si>
    <t>khazana-pani-puri-masala</t>
  </si>
  <si>
    <t>Khazana Smoked Basmati Rice 10 Lb</t>
  </si>
  <si>
    <t>khazana-smoked-basmati-rice-10-lb</t>
  </si>
  <si>
    <t>Priya Kandi podi</t>
  </si>
  <si>
    <t>Khoya Burfi</t>
  </si>
  <si>
    <t>khoya-burfi</t>
  </si>
  <si>
    <t>Kidney Beans</t>
  </si>
  <si>
    <t>dosa podi|brahmins dosa powder</t>
  </si>
  <si>
    <t>kidney-beans</t>
  </si>
  <si>
    <t>Rachav Sesame Seeds (Black)</t>
  </si>
  <si>
    <t>Kidny Beans</t>
  </si>
  <si>
    <t>kidny-beans</t>
  </si>
  <si>
    <t>Kissan Mix Fruit Jam</t>
  </si>
  <si>
    <t>A. Plantain Chips</t>
  </si>
  <si>
    <t>kissan-mix-fruit-jam</t>
  </si>
  <si>
    <t>snacks</t>
  </si>
  <si>
    <t>Aara [Green Peas]</t>
  </si>
  <si>
    <t>Tukmaria</t>
  </si>
  <si>
    <t>S Tukmaria 7oz</t>
  </si>
  <si>
    <t>Kitchen King</t>
  </si>
  <si>
    <t>kitchen-king</t>
  </si>
  <si>
    <t>Patt's Turmeric</t>
  </si>
  <si>
    <t>kitchenware</t>
  </si>
  <si>
    <t>Knorr Thai</t>
  </si>
  <si>
    <t>haldi|pasupu|turmeric powder</t>
  </si>
  <si>
    <t>knorr-thai</t>
  </si>
  <si>
    <t>Kohinoor Basmati Rice 1</t>
  </si>
  <si>
    <t>kohinoor-basmati-rice-1</t>
  </si>
  <si>
    <t>Aara Turmeric Powder</t>
  </si>
  <si>
    <t>Kohinoor Basmati Rice 4 Lb</t>
  </si>
  <si>
    <t>kohinoor-basmati-rice-4-lb</t>
  </si>
  <si>
    <t>Kohinoor Everyday Basmati Rice 10 Lb</t>
  </si>
  <si>
    <t>kohinoor-everyday-basmati-rice-10-lb</t>
  </si>
  <si>
    <t>Turmeric Powder</t>
  </si>
  <si>
    <t>Kohinoor Extra Long Basmati Rice</t>
  </si>
  <si>
    <t>turmeric|haldi|pasupu</t>
  </si>
  <si>
    <t>kohinoor-extra-long-basmati-rice</t>
  </si>
  <si>
    <t>Swad Clove Powder</t>
  </si>
  <si>
    <t>Kohinoor Platinum Basmati Rce Jar</t>
  </si>
  <si>
    <t>kohinoor-platinum-basmati-rce-jar</t>
  </si>
  <si>
    <t>Kohinoor Super Basmati</t>
  </si>
  <si>
    <t>Laxmi Coriander Seeds</t>
  </si>
  <si>
    <t>kohinoor-super-basmati</t>
  </si>
  <si>
    <t>Kohinoor Super Basmati Rice Jar</t>
  </si>
  <si>
    <t>kohinoor-super-basmati-rice-jar</t>
  </si>
  <si>
    <t>Dalvi Coriander Powder</t>
  </si>
  <si>
    <t>Kohinoorauthentic Bas</t>
  </si>
  <si>
    <t>kohinoorauthentic-bas</t>
  </si>
  <si>
    <t>Kol Fish</t>
  </si>
  <si>
    <t>kol-fish</t>
  </si>
  <si>
    <t>Kolhapuri Jaggary Yellow</t>
  </si>
  <si>
    <t>kolhapuri-jaggary-yellow</t>
  </si>
  <si>
    <t>Kolhapuri Onion Garlic Masala</t>
  </si>
  <si>
    <t>Swad Coriander Powder 200gm</t>
  </si>
  <si>
    <t>kolhapuri-onion-garlic-masala</t>
  </si>
  <si>
    <t>Kontos Pocketless Pita Nan</t>
  </si>
  <si>
    <t>kontos-pocketless-pita-nan</t>
  </si>
  <si>
    <t>Kontos Roghani Nan</t>
  </si>
  <si>
    <t>kontos-roghani-nan</t>
  </si>
  <si>
    <t>Kontos Tandoori Nan</t>
  </si>
  <si>
    <t>britannia|marie gold|biscuits</t>
  </si>
  <si>
    <t>Biscuits &amp; Bakery</t>
  </si>
  <si>
    <t>kontos-tandoori-nan</t>
  </si>
  <si>
    <t>Top Ramen Noodles</t>
  </si>
  <si>
    <t>Kopra Pak</t>
  </si>
  <si>
    <t>kopra-pak</t>
  </si>
  <si>
    <t>Kozhukkatta</t>
  </si>
  <si>
    <t>Top Ramen Curry Noodles</t>
  </si>
  <si>
    <t>kozhukkatta</t>
  </si>
  <si>
    <t>Ksdhi Chawal</t>
  </si>
  <si>
    <t>ksdhi-chawal</t>
  </si>
  <si>
    <t>Kulfi</t>
  </si>
  <si>
    <t>Shan Tikka</t>
  </si>
  <si>
    <t>kulfi</t>
  </si>
  <si>
    <t>Kulfi B P K Vadilal</t>
  </si>
  <si>
    <t>kulfi-b-p-k-vadilal</t>
  </si>
  <si>
    <t>Mantra Sindhi Biryani</t>
  </si>
  <si>
    <t>Kulfi Mango Vadilal</t>
  </si>
  <si>
    <t>kulfi-mango-vadilal</t>
  </si>
  <si>
    <t>indian rice dish|mixed rice</t>
  </si>
  <si>
    <t>Kurkure 2</t>
  </si>
  <si>
    <t>Mantra Garam Masala</t>
  </si>
  <si>
    <t>kurkure-2</t>
  </si>
  <si>
    <t>Kurkure Chilli Chatka</t>
  </si>
  <si>
    <t>kurkure-chilli-chatka</t>
  </si>
  <si>
    <t>Mantra Pilau Biryani</t>
  </si>
  <si>
    <t>Kutu Flour</t>
  </si>
  <si>
    <t>kutu-flour</t>
  </si>
  <si>
    <t>Kvl Edible Camphor 100 Gms</t>
  </si>
  <si>
    <t>indian rice dish|mixed rice|rice rava</t>
  </si>
  <si>
    <t>kvl-edible-camphor-100-gms</t>
  </si>
  <si>
    <t>Mantra Punjabi Biryani</t>
  </si>
  <si>
    <t>Lacha Paratha</t>
  </si>
  <si>
    <t>lacha-paratha</t>
  </si>
  <si>
    <t>masala|spice|mixed rice|indian rice dish</t>
  </si>
  <si>
    <t>Lal Qilla Royal Basmati Rice 10 Lb</t>
  </si>
  <si>
    <t>lal-qilla-royal-basmati-rice-10-lb</t>
  </si>
  <si>
    <t>Lamb Korma</t>
  </si>
  <si>
    <t>lamb-korma</t>
  </si>
  <si>
    <t>Lamb Samosa</t>
  </si>
  <si>
    <t>lamb-samosa</t>
  </si>
  <si>
    <t>Priya Kandi Podi</t>
  </si>
  <si>
    <t>Lamb Vindalu</t>
  </si>
  <si>
    <t>lamb-vindalu</t>
  </si>
  <si>
    <t>Lasa Lamsa Mix Premium Blend Tea</t>
  </si>
  <si>
    <t>lasa-lamsa-mix-premium-blend-tea</t>
  </si>
  <si>
    <t>Priya Nuvvula Podi</t>
  </si>
  <si>
    <t>Latcha Paratha</t>
  </si>
  <si>
    <t>latcha-paratha</t>
  </si>
  <si>
    <t>Lax Dry Apricots</t>
  </si>
  <si>
    <t>lax-dry-apricots</t>
  </si>
  <si>
    <t>Priya Nalla Karam</t>
  </si>
  <si>
    <t>Laxmi 1</t>
  </si>
  <si>
    <t>laxmi-1</t>
  </si>
  <si>
    <t>Laxmi Ajwain Seeds 1</t>
  </si>
  <si>
    <t>laxmi-ajwain-seeds-1</t>
  </si>
  <si>
    <t>Priya Madras Curry Powder</t>
  </si>
  <si>
    <t>Laxmi Ajwain Seeds 350gr</t>
  </si>
  <si>
    <t>laxmi-ajwain-seeds-350gr</t>
  </si>
  <si>
    <t>Laxmi Besan</t>
  </si>
  <si>
    <t>laxmi-besan</t>
  </si>
  <si>
    <t>Laxmi Bhindi Cut</t>
  </si>
  <si>
    <t>laxmi-bhindi-cut</t>
  </si>
  <si>
    <t>Laxmi Black Whole Pepper 370gr</t>
  </si>
  <si>
    <t>laxmi-black-whole-pepper-370gr</t>
  </si>
  <si>
    <t>Laxmi Cassia Cinnamon Powder 350gr</t>
  </si>
  <si>
    <t>laxmi-cassia-cinnamon-powder-350gr</t>
  </si>
  <si>
    <t>Laxmi Castor Oil</t>
  </si>
  <si>
    <t>laxmi-castor-oil</t>
  </si>
  <si>
    <t>Laxmi Chana Dal</t>
  </si>
  <si>
    <t>laxmi-chana-dal</t>
  </si>
  <si>
    <t>Laxmi Chappati Flour</t>
  </si>
  <si>
    <t>లక్ష్మి చపాతి మిఠాయి</t>
  </si>
  <si>
    <t>लक्ष्मी चपाती आटा</t>
  </si>
  <si>
    <t>['laxmi', 'chappati', 'flour']</t>
  </si>
  <si>
    <t>Laxmi Char Magaz</t>
  </si>
  <si>
    <t>laxmi-char-magaz</t>
  </si>
  <si>
    <t>Laxmi Chilli Powder High Heat 350gr</t>
  </si>
  <si>
    <t>laxmi-chilli-powder-high-heat-350gr</t>
  </si>
  <si>
    <t>Laxmi Chilli Powder Kashmiri 350gr</t>
  </si>
  <si>
    <t>laxmi-chilli-powder-kashmiri-350gr</t>
  </si>
  <si>
    <t>Laxmi Chilli Powder Medium Hot 350gr</t>
  </si>
  <si>
    <t>laxmi-chilli-powder-medium-hot-350gr</t>
  </si>
  <si>
    <t>Laxmi Coconut Powder</t>
  </si>
  <si>
    <t>laxmi-coconut-powder</t>
  </si>
  <si>
    <t>Laxmi Coriander Powder 400gr</t>
  </si>
  <si>
    <t>laxmi-coriander-powder-400gr</t>
  </si>
  <si>
    <t>Laxmi Corn Oil</t>
  </si>
  <si>
    <t>laxmi-corn-oil</t>
  </si>
  <si>
    <t>Laxmi Corriander Powder</t>
  </si>
  <si>
    <t>laxmi-corriander-powder</t>
  </si>
  <si>
    <t>Laxmi Cow Ghee</t>
  </si>
  <si>
    <t>laxmi-cow-ghee</t>
  </si>
  <si>
    <t>Laxmi Crushed Chili Red 250gr</t>
  </si>
  <si>
    <t>laxmi-crushed-chili-red-250gr</t>
  </si>
  <si>
    <t>Laxmi Cumin Powder 400gr</t>
  </si>
  <si>
    <t>laxmi-cumin-powder-400gr</t>
  </si>
  <si>
    <t>Laxmi Cumin Whole 350 Gms Jar</t>
  </si>
  <si>
    <t>laxmi-cumin-whole-350-gms-jar</t>
  </si>
  <si>
    <t>Laxmi Cumin Whole 350gr</t>
  </si>
  <si>
    <t>laxmi-cumin-whole-350gr</t>
  </si>
  <si>
    <t>Laxmi Fennel Seeds 350</t>
  </si>
  <si>
    <t>laxmi-fennel-seeds-350</t>
  </si>
  <si>
    <t>Laxmi Fennel Seeds 350 Gms Jar</t>
  </si>
  <si>
    <t>laxmi-fennel-seeds-350-gms-jar</t>
  </si>
  <si>
    <t>Laxmi Fenugreek Seeds 580 Gr</t>
  </si>
  <si>
    <t>laxmi-fenugreek-seeds-580-gr</t>
  </si>
  <si>
    <t>Laxmi Garam Masala 350gr</t>
  </si>
  <si>
    <t>laxmi-garam-masala-350gr</t>
  </si>
  <si>
    <t>Laxmi Garlic Paste</t>
  </si>
  <si>
    <t>laxmi-garlic-paste</t>
  </si>
  <si>
    <t>Laxmi Garlic Powder 400gr</t>
  </si>
  <si>
    <t>laxmi-garlic-powder-400gr</t>
  </si>
  <si>
    <t>Laxmi Ginger Garlic Paste 1</t>
  </si>
  <si>
    <t>laxmi-ginger-garlic-paste-1</t>
  </si>
  <si>
    <t>Laxmi Ginger Paste</t>
  </si>
  <si>
    <t>లక్ష్మి ఇనుము పేస్ట్</t>
  </si>
  <si>
    <t>लक्ष्मी अदरक पेस्ट</t>
  </si>
  <si>
    <t>['ginger', 'adarak', 'paste']</t>
  </si>
  <si>
    <t>Laxmi Idly Rava</t>
  </si>
  <si>
    <t>laxmi-idly-rava</t>
  </si>
  <si>
    <t>Laxmi Kerala Kuthari Matta Rice 20 Lb</t>
  </si>
  <si>
    <t>laxmi-kerala-kuthari-matta-rice-20-lb</t>
  </si>
  <si>
    <t>Laxmi Mango Khatta Meetha Mouth Freshener 160 Gms</t>
  </si>
  <si>
    <t>laxmi-mango-khatta-meetha-mouth-freshener-160-gms</t>
  </si>
  <si>
    <t>Laxmi Moong Dal</t>
  </si>
  <si>
    <t>laxmi-moong-dal</t>
  </si>
  <si>
    <t>Laxmi Moong Dal 1</t>
  </si>
  <si>
    <t>laxmi-moong-dal-1</t>
  </si>
  <si>
    <t>Laxmi Mustard Seeds 450gr</t>
  </si>
  <si>
    <t>laxmi-mustard-seeds-450gr</t>
  </si>
  <si>
    <t>Laxmi Organic Idly Rice 10 Lb</t>
  </si>
  <si>
    <t>laxmi-organic-idly-rice-10-lb</t>
  </si>
  <si>
    <t>Laxmi Organic Ponni Boiled Rice 10 Lb</t>
  </si>
  <si>
    <t>laxmi-organic-ponni-boiled-rice-10-lb</t>
  </si>
  <si>
    <t>Laxmi Organic Ponni Raw Rice 10 Lb</t>
  </si>
  <si>
    <t>laxmi-organic-ponni-raw-rice-10-lb</t>
  </si>
  <si>
    <t>laxmi-ponni-raw-rice</t>
  </si>
  <si>
    <t>Laxmi Red Chili Powder</t>
  </si>
  <si>
    <t>laxmi-red-chili-powder</t>
  </si>
  <si>
    <t>Laxmi Sharbati Whole Wheat Atta</t>
  </si>
  <si>
    <t>laxmi-sharbati-whole-wheat-atta</t>
  </si>
  <si>
    <t>Laxmi Sooji</t>
  </si>
  <si>
    <t>laxmi-sooji</t>
  </si>
  <si>
    <t>Laxmi Takmaria</t>
  </si>
  <si>
    <t>laxmi-takmaria</t>
  </si>
  <si>
    <t>Laxmi Turmeric Powder</t>
  </si>
  <si>
    <t>లక్ష్మీ పసుపు పావుర్</t>
  </si>
  <si>
    <t>लक्ष्मी हल्दी पाउडर</t>
  </si>
  <si>
    <t>['turmeric powder', 'pasupu']</t>
  </si>
  <si>
    <t>Laxmi Urad Dal</t>
  </si>
  <si>
    <t>laxmi-urad-dal</t>
  </si>
  <si>
    <t>laxmi-white-pepper-powder</t>
  </si>
  <si>
    <t>Laxmi Whole Moong</t>
  </si>
  <si>
    <t>laxmi-whole-moong</t>
  </si>
  <si>
    <t>Lays Baked</t>
  </si>
  <si>
    <t>lays-baked</t>
  </si>
  <si>
    <t>Lays Chilli Limon</t>
  </si>
  <si>
    <t>lays-chilli-limon</t>
  </si>
  <si>
    <t>Lays Classic Salted</t>
  </si>
  <si>
    <t>lays-classic-salted</t>
  </si>
  <si>
    <t>Lays Spanish Tomato Tango</t>
  </si>
  <si>
    <t>lays-spanish-tomato-tango</t>
  </si>
  <si>
    <t>Lemongrass</t>
  </si>
  <si>
    <t>lemongrass</t>
  </si>
  <si>
    <t>Lemongrass Grass Chai</t>
  </si>
  <si>
    <t>lemongrass-grass-chai</t>
  </si>
  <si>
    <t>Lemons</t>
  </si>
  <si>
    <t>lemons</t>
  </si>
  <si>
    <t>Lifebuoy Lemon Soap</t>
  </si>
  <si>
    <t>lifebuoy-lemon-soap</t>
  </si>
  <si>
    <t>Lifebuoy Neem And Aloe Veera Soap</t>
  </si>
  <si>
    <t>lifebuoy-neem-and-aloe-veera-soap</t>
  </si>
  <si>
    <t>Lighter</t>
  </si>
  <si>
    <t>lighter</t>
  </si>
  <si>
    <t>Lijjat Papad Punjabi Masala</t>
  </si>
  <si>
    <t>lijjat-papad-punjabi-masala</t>
  </si>
  <si>
    <t>Limca</t>
  </si>
  <si>
    <t>limca</t>
  </si>
  <si>
    <t>Lime</t>
  </si>
  <si>
    <t>lime</t>
  </si>
  <si>
    <t>Lipton Tea</t>
  </si>
  <si>
    <t>lipton-tea</t>
  </si>
  <si>
    <t>Lipton Yellow Label Tea</t>
  </si>
  <si>
    <t>lipton-yellow-label-tea</t>
  </si>
  <si>
    <t>Long Banana Chips</t>
  </si>
  <si>
    <t>long-banana-chips</t>
  </si>
  <si>
    <t>Long Beans</t>
  </si>
  <si>
    <t>long-beans</t>
  </si>
  <si>
    <t>Long Masala Banana</t>
  </si>
  <si>
    <t>long-masala-banana</t>
  </si>
  <si>
    <t>Long Sav</t>
  </si>
  <si>
    <t>long-sav</t>
  </si>
  <si>
    <t>Long Squash</t>
  </si>
  <si>
    <t>long-squash</t>
  </si>
  <si>
    <t>Lotus Incense</t>
  </si>
  <si>
    <t>lotus-incense</t>
  </si>
  <si>
    <t>Low Gi Basmati Rice 10 Lb</t>
  </si>
  <si>
    <t>low-gi-basmati-rice-10-lb</t>
  </si>
  <si>
    <t>Lucknowi Fennel Seed</t>
  </si>
  <si>
    <t>lucknowi-fennel-seed</t>
  </si>
  <si>
    <t>Lux</t>
  </si>
  <si>
    <t>lux</t>
  </si>
  <si>
    <t>lux-soap</t>
  </si>
  <si>
    <t>Luxmi Gingely Oil</t>
  </si>
  <si>
    <t>luxmi-gingely-oil</t>
  </si>
  <si>
    <t>Luxmi Moong Dal</t>
  </si>
  <si>
    <t>luxmi-moong-dal</t>
  </si>
  <si>
    <t>Luxmi Rajma</t>
  </si>
  <si>
    <t>లక్ష్మీ రాజ్మా</t>
  </si>
  <si>
    <t>लक्ष्मी राजमा</t>
  </si>
  <si>
    <t>['rajma', 'kidney beans']</t>
  </si>
  <si>
    <t>Luxmi Sesame Oil</t>
  </si>
  <si>
    <t>luxmi-sesame-oil</t>
  </si>
  <si>
    <t>Luxmi Seseme Oil</t>
  </si>
  <si>
    <t>luxmi-seseme-oil</t>
  </si>
  <si>
    <t>Luxmi Urad Dal</t>
  </si>
  <si>
    <t>luxmi-urad-dal</t>
  </si>
  <si>
    <t>Luxmi Whole Urad Gota</t>
  </si>
  <si>
    <t>luxmi-whole-urad-gota</t>
  </si>
  <si>
    <t>Lxmi Urad Daal</t>
  </si>
  <si>
    <t>lxmi-urad-daal</t>
  </si>
  <si>
    <t>M D H Sambar Masala</t>
  </si>
  <si>
    <t>m-d-h-sambar-masala</t>
  </si>
  <si>
    <t>Maaza Guava Drink Tetra Pack</t>
  </si>
  <si>
    <t>maaza-guava-drink-tetra-pack</t>
  </si>
  <si>
    <t>Maaza Guava Glass Bottle</t>
  </si>
  <si>
    <t>మాజా పీచీ గ్లాస్ బాటిల్</t>
  </si>
  <si>
    <t>माजा पीच ग्लास बोतल</t>
  </si>
  <si>
    <t>['maaza guava juice', 'guava drink', 'peach juice']</t>
  </si>
  <si>
    <t>Maaza Mango Drink Tetra Pack</t>
  </si>
  <si>
    <t>maaza-mango-drink-tetra-pack</t>
  </si>
  <si>
    <t>Madras Coffe</t>
  </si>
  <si>
    <t>madras-coffe</t>
  </si>
  <si>
    <t>Madurai Snacks</t>
  </si>
  <si>
    <t>madurai-snacks</t>
  </si>
  <si>
    <t>Maduri Hand Murukku</t>
  </si>
  <si>
    <t>maduri-hand-murukku</t>
  </si>
  <si>
    <t>Maggi</t>
  </si>
  <si>
    <t>maggi</t>
  </si>
  <si>
    <t>Maggi 2 Minute Noodles 24 Pack 1 68 Kg</t>
  </si>
  <si>
    <t>maggi-2-minute-noodles-24-pack-1-68-kg</t>
  </si>
  <si>
    <t>Maggi 8 Pack</t>
  </si>
  <si>
    <t>maggi-8-pack</t>
  </si>
  <si>
    <t>Maggi Hot And Sweet</t>
  </si>
  <si>
    <t>maggi-hot-and-sweet</t>
  </si>
  <si>
    <t>Maggi Hot Sweet 1</t>
  </si>
  <si>
    <t>maggi-hot-sweet-1</t>
  </si>
  <si>
    <t>Maggi Tomato</t>
  </si>
  <si>
    <t>maggi-tomato</t>
  </si>
  <si>
    <t>Maggi Tomato Ketchup 2 2 Lb</t>
  </si>
  <si>
    <t>maggi-tomato-ketchup-2-2-lb</t>
  </si>
  <si>
    <t>Mah Idiyappam</t>
  </si>
  <si>
    <t>mah-idiyappam</t>
  </si>
  <si>
    <t>Maharani Palappam</t>
  </si>
  <si>
    <t>maharani-palappam</t>
  </si>
  <si>
    <t>Maharanis Malabar Porotta</t>
  </si>
  <si>
    <t>hot curry powder|madras mix|spice mix</t>
  </si>
  <si>
    <t>Priya Meat Masala Powder</t>
  </si>
  <si>
    <t>maharanis-malabar-porotta</t>
  </si>
  <si>
    <t>Makhana 1</t>
  </si>
  <si>
    <t>makhana-1</t>
  </si>
  <si>
    <t>Malabar Paratha</t>
  </si>
  <si>
    <t>Priya Idli Karam</t>
  </si>
  <si>
    <t>malabar-paratha</t>
  </si>
  <si>
    <t>Malia Tikka</t>
  </si>
  <si>
    <t>malia-tikka</t>
  </si>
  <si>
    <t>idli rava</t>
  </si>
  <si>
    <t>Mango 2</t>
  </si>
  <si>
    <t>Priya Garam Masala</t>
  </si>
  <si>
    <t>mango-2</t>
  </si>
  <si>
    <t>Mango Kulfi</t>
  </si>
  <si>
    <t>mango-kulfi</t>
  </si>
  <si>
    <t>Mango Lassi 1ltr</t>
  </si>
  <si>
    <t>mango-lassi-1ltr</t>
  </si>
  <si>
    <t>Priya Fish Masala Powder</t>
  </si>
  <si>
    <t>Mango Malai Vadilal</t>
  </si>
  <si>
    <t>mango-malai-vadilal</t>
  </si>
  <si>
    <t>Mango Rasmali</t>
  </si>
  <si>
    <t>mango-rasmali</t>
  </si>
  <si>
    <t>Priya Chicken Masala</t>
  </si>
  <si>
    <t>Mani Dates</t>
  </si>
  <si>
    <t>mani-dates</t>
  </si>
  <si>
    <t>Mani S Basmati Rice 10 Lb</t>
  </si>
  <si>
    <t>Swad Turmeric Powder 400g</t>
  </si>
  <si>
    <t>mani-s-basmati-rice-10-lb</t>
  </si>
  <si>
    <t>Manna Kodo Millet</t>
  </si>
  <si>
    <t>manna-kodo-millet</t>
  </si>
  <si>
    <t>Manna Millets</t>
  </si>
  <si>
    <t>Swad Turmeric Powder 200g</t>
  </si>
  <si>
    <t>manna-millets</t>
  </si>
  <si>
    <t>Manna Proso Millet</t>
  </si>
  <si>
    <t>manna-proso-millet</t>
  </si>
  <si>
    <t>Mantra Bajra Flour</t>
  </si>
  <si>
    <t>mantra-bajra-flour</t>
  </si>
  <si>
    <t>Marie Gold</t>
  </si>
  <si>
    <t>marie-gold</t>
  </si>
  <si>
    <t>Marinade Mix</t>
  </si>
  <si>
    <t>marinade-mix</t>
  </si>
  <si>
    <t>Tea Masala</t>
  </si>
  <si>
    <t>Marsh Malo</t>
  </si>
  <si>
    <t>marsh-malo</t>
  </si>
  <si>
    <t>tea spice</t>
  </si>
  <si>
    <t>Masala</t>
  </si>
  <si>
    <t>masala</t>
  </si>
  <si>
    <t>Swad Tea Masala</t>
  </si>
  <si>
    <t>Masala Banana Chips</t>
  </si>
  <si>
    <t>S. Amla Salted 7oz</t>
  </si>
  <si>
    <t>Sugar, Salt &amp; Jaggery</t>
  </si>
  <si>
    <t>Swad Coriander Powder 200g</t>
  </si>
  <si>
    <t>Swad Coriander Powder 14 oz</t>
  </si>
  <si>
    <t>Swad Premium Quality Chilli Powder Extra Hot 400g</t>
  </si>
  <si>
    <t>Swad Chilli Powder Extra Hot 14 oz (400g)</t>
  </si>
  <si>
    <t>Dana Red Chilli Powder 14 oz (400g)</t>
  </si>
  <si>
    <t>Dana Extra Hot Chilli Powder 14 oz (400g)</t>
  </si>
  <si>
    <t>Swad Extra Hot Chilli Powder 14 oz (400g)</t>
  </si>
  <si>
    <t>Top Ramen Masala 480g</t>
  </si>
  <si>
    <t>Top Ramen Masala 360g</t>
  </si>
  <si>
    <t>Top Ramen Masala</t>
  </si>
  <si>
    <t>Shan Pilau Biryani</t>
  </si>
  <si>
    <t>Rack 20</t>
  </si>
  <si>
    <t>Shan Punjabi Yakhni Pilau</t>
  </si>
  <si>
    <t>Shan Paya</t>
  </si>
  <si>
    <t>Shan Pani Puri Masala</t>
  </si>
  <si>
    <t>Shan Mutton Biryani</t>
  </si>
  <si>
    <t>Shan Meat Tenderizer</t>
  </si>
  <si>
    <t>marinade for chicken</t>
  </si>
  <si>
    <t>Shan Chicken Biryani</t>
  </si>
  <si>
    <t>masala-banana-chips</t>
  </si>
  <si>
    <t>Masala Chai</t>
  </si>
  <si>
    <t>masala-chai</t>
  </si>
  <si>
    <t>Masala Chai Quick Tea</t>
  </si>
  <si>
    <t>masala-chai-quick-tea</t>
  </si>
  <si>
    <t>Masala Dabba</t>
  </si>
  <si>
    <t>masala-dabba</t>
  </si>
  <si>
    <t>Rack 21</t>
  </si>
  <si>
    <t>Masala Idli</t>
  </si>
  <si>
    <t>masala-idli</t>
  </si>
  <si>
    <t>Priya Chicken Masala Powder</t>
  </si>
  <si>
    <t>Priya Curry Leaf Powder</t>
  </si>
  <si>
    <t>Priya Biryani Masala Powder</t>
  </si>
  <si>
    <t>24 Mantra Sambar Powder</t>
  </si>
  <si>
    <t>24 Mantra Prawn Masala</t>
  </si>
  <si>
    <t>24 Mantra Paneer Masala</t>
  </si>
  <si>
    <t>24 Mantra Meat Masala</t>
  </si>
  <si>
    <t>24 Mantra Kitchen King Masala</t>
  </si>
  <si>
    <t>24 Mantra Aram Masala</t>
  </si>
  <si>
    <t>Rack 22</t>
  </si>
  <si>
    <t>Himalayan Salted 7oz</t>
  </si>
  <si>
    <t>Shaals Le Camingos</t>
  </si>
  <si>
    <t>samosas|deep fried samosas</t>
  </si>
  <si>
    <t>Deep Sesame Seeds</t>
  </si>
  <si>
    <t>Deep Coriander</t>
  </si>
  <si>
    <t>Deep Cumin</t>
  </si>
  <si>
    <t>cumin seeds|jeera|jilakarra</t>
  </si>
  <si>
    <t>Swad Chilli Powder Jutka Hot</t>
  </si>
  <si>
    <t>Daivi Extra Hot Chilli Powder</t>
  </si>
  <si>
    <t>Laxmi Extra Hot Chili Powder 14oz (400g)</t>
  </si>
  <si>
    <t>powder chilli|hot curry powder</t>
  </si>
  <si>
    <t>Laxmi Extra Hot Chilli Powder 7oz (198g)</t>
  </si>
  <si>
    <t>chili|mirchi|hot curry powder</t>
  </si>
  <si>
    <t>Asira Chilli Powder Extra Hot</t>
  </si>
  <si>
    <t>chili|mirchi|hot curry powder|pasupu</t>
  </si>
  <si>
    <t>powder chilli|dalchini powder|pasupu</t>
  </si>
  <si>
    <t>Kashmiri Chili Powder 7oz (198g)</t>
  </si>
  <si>
    <t>Chilli Powder Kashmiri</t>
  </si>
  <si>
    <t>Buldak Spicy Chicken Ramen (Black)</t>
  </si>
  <si>
    <t>Buldak Carbonara Hot Chicken Flavor Ramen (Pink)</t>
  </si>
  <si>
    <t>Buldak 2X Spicy Hot Chicken Flavor Ramen (Red)</t>
  </si>
  <si>
    <t>Shan MUTTON BIRYANI</t>
  </si>
  <si>
    <t>Rack 14</t>
  </si>
  <si>
    <t>Shan MEAT TENDERIZER</t>
  </si>
  <si>
    <t>Shan MALAY CHICKEN BIRYANI 1KG</t>
  </si>
  <si>
    <t>masala|spice</t>
  </si>
  <si>
    <t>Shan LIVER MASALA</t>
  </si>
  <si>
    <t>Shan LAHORI CHARGA</t>
  </si>
  <si>
    <t>Shan KORMA</t>
  </si>
  <si>
    <t>Shan KOFTA</t>
  </si>
  <si>
    <t>Shan KITCHEN KING</t>
  </si>
  <si>
    <t>Shan KEEMA</t>
  </si>
  <si>
    <t>24 Mantra SAMBAR POWDER</t>
  </si>
  <si>
    <t>Rack 15</t>
  </si>
  <si>
    <t>24 Mantra PANEER MASAL</t>
  </si>
  <si>
    <t>Masala Jeera</t>
  </si>
  <si>
    <t>masala-jeera</t>
  </si>
  <si>
    <t>Masala Oats Saffola</t>
  </si>
  <si>
    <t>masala-oats-saffola</t>
  </si>
  <si>
    <t>Masala Paneer Nuggets</t>
  </si>
  <si>
    <t>masala-paneer-nuggets</t>
  </si>
  <si>
    <t>Masala Para Deep</t>
  </si>
  <si>
    <t>masala-para-deep</t>
  </si>
  <si>
    <t>Masala Peanut</t>
  </si>
  <si>
    <t>masala-peanut</t>
  </si>
  <si>
    <t>Masala Puri</t>
  </si>
  <si>
    <t>masala-puri</t>
  </si>
  <si>
    <t>Masala Rice</t>
  </si>
  <si>
    <t>masala-rice</t>
  </si>
  <si>
    <t>Masala Spiccy Chilly</t>
  </si>
  <si>
    <t>masala-spiccy-chilly</t>
  </si>
  <si>
    <t>Masala Tea 1</t>
  </si>
  <si>
    <t>masala-tea-1</t>
  </si>
  <si>
    <t>Masala Upma</t>
  </si>
  <si>
    <t>masala-upma</t>
  </si>
  <si>
    <t>Maska Chaska</t>
  </si>
  <si>
    <t>maska-chaska</t>
  </si>
  <si>
    <t>Masoor Dal</t>
  </si>
  <si>
    <t>masoor-dal</t>
  </si>
  <si>
    <t>Masoor Dal Lakshmi</t>
  </si>
  <si>
    <t>masoor-dal-lakshmi</t>
  </si>
  <si>
    <t>24 Mantra MEAT MASALA</t>
  </si>
  <si>
    <t>24 Mantra KITCHEN KING MASALA</t>
  </si>
  <si>
    <t>24 Mantra GARAM MASALA</t>
  </si>
  <si>
    <t>24 Mantra FISH MASALA</t>
  </si>
  <si>
    <t>24 Mantra EGG MASALA</t>
  </si>
  <si>
    <t>24 Mantra CHOLE MASALA</t>
  </si>
  <si>
    <t>MDH T.PLUS MASALA</t>
  </si>
  <si>
    <t>MDH TAVAH BIRYANI MASALA</t>
  </si>
  <si>
    <t>Masoor Dasl</t>
  </si>
  <si>
    <t>masoor-dasl</t>
  </si>
  <si>
    <t>Masoor Whole</t>
  </si>
  <si>
    <t>masoor-whole</t>
  </si>
  <si>
    <t>Match Box</t>
  </si>
  <si>
    <t>match-box</t>
  </si>
  <si>
    <t>Matches</t>
  </si>
  <si>
    <t>matches</t>
  </si>
  <si>
    <t>Mathis</t>
  </si>
  <si>
    <t>mathis</t>
  </si>
  <si>
    <t>Mathura Peda</t>
  </si>
  <si>
    <t>mathura-peda</t>
  </si>
  <si>
    <t>Matri</t>
  </si>
  <si>
    <t>matri</t>
  </si>
  <si>
    <t>Mauli</t>
  </si>
  <si>
    <t>mauli</t>
  </si>
  <si>
    <t>Maza Lychee</t>
  </si>
  <si>
    <t>maza-lychee</t>
  </si>
  <si>
    <t>Mazza Lychee Juice</t>
  </si>
  <si>
    <t>mazza-lychee-juice</t>
  </si>
  <si>
    <t>Md H Karahi Panner</t>
  </si>
  <si>
    <t>md-h-karahi-panner</t>
  </si>
  <si>
    <t>Mdh Arhar Dal Masala</t>
  </si>
  <si>
    <t>mdh-arhar-dal-masala</t>
  </si>
  <si>
    <t>Mdh Baibgan Bhartaa Masala</t>
  </si>
  <si>
    <t>mdh-baibgan-bhartaa-masala</t>
  </si>
  <si>
    <t>Mdh Bombay Biryani Masala</t>
  </si>
  <si>
    <t>mdh-bombay-biryani-masala</t>
  </si>
  <si>
    <t>Mdh Butter Chicken Masala</t>
  </si>
  <si>
    <t>mdh-butter-chicken-masala</t>
  </si>
  <si>
    <t>Mdh Chana Dal Masala</t>
  </si>
  <si>
    <t>mdh-chana-dal-masala</t>
  </si>
  <si>
    <t>Mdh Dal Makhani Masala</t>
  </si>
  <si>
    <t>mdh-dal-makhani-masala</t>
  </si>
  <si>
    <t>MDH Garam Masala</t>
  </si>
  <si>
    <t>ఎండీహెచ్ గరమ్ మసాలా</t>
  </si>
  <si>
    <t>एमडीएच गरम मसाला</t>
  </si>
  <si>
    <t>['garam masala', 'mdh']</t>
  </si>
  <si>
    <t>Mdh Hyderabadi Biryani</t>
  </si>
  <si>
    <t>mdh-hyderabadi-biryani</t>
  </si>
  <si>
    <t>Mdh Jaljira Masala</t>
  </si>
  <si>
    <t>mdh-jaljira-masala</t>
  </si>
  <si>
    <t>Mdh Karahi Chicken</t>
  </si>
  <si>
    <t>mdh-karahi-chicken</t>
  </si>
  <si>
    <t>Mdh Karahi Ghost</t>
  </si>
  <si>
    <t>mdh-karahi-ghost</t>
  </si>
  <si>
    <t>Mdh Kitchen King Msl</t>
  </si>
  <si>
    <t>mdh-kitchen-king-msl</t>
  </si>
  <si>
    <t>Mdh Pakora Masala</t>
  </si>
  <si>
    <t>mdh-pakora-masala</t>
  </si>
  <si>
    <t>Mdh Pani Puri Masala</t>
  </si>
  <si>
    <t>mdh-pani-puri-masala</t>
  </si>
  <si>
    <t>Mdh Pav Bhaji</t>
  </si>
  <si>
    <t>mdh-pav-bhaji</t>
  </si>
  <si>
    <t>Mdh Shahi Paneer Masala</t>
  </si>
  <si>
    <t>mdh-shahi-paneer-masala</t>
  </si>
  <si>
    <t>Mdh Shahi Paneer Msl</t>
  </si>
  <si>
    <t>mdh-shahi-paneer-msl</t>
  </si>
  <si>
    <t>Mdh Stuffed Paratha Masala</t>
  </si>
  <si>
    <t>mdh-stuffed-paratha-masala</t>
  </si>
  <si>
    <t>Mdh Subji Masala</t>
  </si>
  <si>
    <t>mdh-subji-masala</t>
  </si>
  <si>
    <t>Mdh T Plus Masala</t>
  </si>
  <si>
    <t>mdh-t-plus-masala</t>
  </si>
  <si>
    <t>Mdh Tava Fry Masala</t>
  </si>
  <si>
    <t>mdh-tava-fry-masala</t>
  </si>
  <si>
    <t>Meat Mallet</t>
  </si>
  <si>
    <t>meat-mallet</t>
  </si>
  <si>
    <t>Medu Vada</t>
  </si>
  <si>
    <t>medu-vada</t>
  </si>
  <si>
    <t>Meeta Paan</t>
  </si>
  <si>
    <t>meeta-paan</t>
  </si>
  <si>
    <t>Meharban Aromatic Kalijeera Rice 10 Lb</t>
  </si>
  <si>
    <t>meharban-aromatic-kalijeera-rice-10-lb</t>
  </si>
  <si>
    <t>Mehran Chicken Mutton Masala</t>
  </si>
  <si>
    <t>mehran-chicken-mutton-masala</t>
  </si>
  <si>
    <t>Mehran Masala</t>
  </si>
  <si>
    <t>mehran-masala</t>
  </si>
  <si>
    <t>Mehran Masala 1</t>
  </si>
  <si>
    <t>mehran-masala-1</t>
  </si>
  <si>
    <t>Mehran Tandoori Masala</t>
  </si>
  <si>
    <t>mehran-tandoori-masala</t>
  </si>
  <si>
    <t>Mesuring Spoon</t>
  </si>
  <si>
    <t>mesuring-spoon</t>
  </si>
  <si>
    <t>Methi</t>
  </si>
  <si>
    <t>methi</t>
  </si>
  <si>
    <t>Methi Khakra</t>
  </si>
  <si>
    <t>methi-khakra</t>
  </si>
  <si>
    <t>Methi Puri</t>
  </si>
  <si>
    <t>methi-puri</t>
  </si>
  <si>
    <t>methi-seeds</t>
  </si>
  <si>
    <t>Methi Sev</t>
  </si>
  <si>
    <t>methi-sev</t>
  </si>
  <si>
    <t>Metkut</t>
  </si>
  <si>
    <t>metkut</t>
  </si>
  <si>
    <t>Micriwave Egg Boiler</t>
  </si>
  <si>
    <t>micriwave-egg-boiler</t>
  </si>
  <si>
    <t>Mighty Sealer 15 Oz</t>
  </si>
  <si>
    <t>mighty-sealer-15-oz</t>
  </si>
  <si>
    <t>Milk &amp; Dairy</t>
  </si>
  <si>
    <t>Palu / Perugu</t>
  </si>
  <si>
    <t>Doodh / Dahi</t>
  </si>
  <si>
    <t>milk|dahi|perugu|doodh|dairy|paneer</t>
  </si>
  <si>
    <t>Milk Bikis</t>
  </si>
  <si>
    <t>milk-bikis</t>
  </si>
  <si>
    <t>Milk Cake</t>
  </si>
  <si>
    <t>milk-cake</t>
  </si>
  <si>
    <t>Milk Cake Vadilal</t>
  </si>
  <si>
    <t>milk-cake-vadilal</t>
  </si>
  <si>
    <t>Milk Caramel Flavoured</t>
  </si>
  <si>
    <t>milk-caramel-flavoured</t>
  </si>
  <si>
    <t>Milton Full Meal Combo 4</t>
  </si>
  <si>
    <t>milton-full-meal-combo-4</t>
  </si>
  <si>
    <t>Mint</t>
  </si>
  <si>
    <t>mint</t>
  </si>
  <si>
    <t>Mirch Masala Aloo Bhujia</t>
  </si>
  <si>
    <t>mirch-masala-aloo-bhujia</t>
  </si>
  <si>
    <t>Mirch Masala Aloo Paratha</t>
  </si>
  <si>
    <t>mirch-masala-aloo-paratha</t>
  </si>
  <si>
    <t>Mirch Masala Aloo Puri</t>
  </si>
  <si>
    <t>mirch-masala-aloo-puri</t>
  </si>
  <si>
    <t>Mirch Masala Bom Bhel Puri</t>
  </si>
  <si>
    <t>mirch-masala-bom-bhel-puri</t>
  </si>
  <si>
    <t>Mirch Masala Boondi</t>
  </si>
  <si>
    <t>mirch-masala-boondi</t>
  </si>
  <si>
    <t>Mirch Masala Channa</t>
  </si>
  <si>
    <t>mirch-masala-channa</t>
  </si>
  <si>
    <t>Mirch Masala Channa Dal</t>
  </si>
  <si>
    <t>mirch-masala-channa-dal</t>
  </si>
  <si>
    <t>Mirch Masala Chevda Mix</t>
  </si>
  <si>
    <t>mirch-masala-chevda-mix</t>
  </si>
  <si>
    <t>Mirch Masala Chukry Sticks</t>
  </si>
  <si>
    <t>mirch-masala-chukry-sticks</t>
  </si>
  <si>
    <t>Mirch Masala Corn Chevda</t>
  </si>
  <si>
    <t>mirch-masala-corn-chevda</t>
  </si>
  <si>
    <t>Mirch Masala Dal Muth</t>
  </si>
  <si>
    <t>mirch-masala-dal-muth</t>
  </si>
  <si>
    <t>Mirch Masala Dal Puri</t>
  </si>
  <si>
    <t>mirch-masala-dal-puri</t>
  </si>
  <si>
    <t>Mirch Masala Dal Rajastani</t>
  </si>
  <si>
    <t>mirch-masala-dal-rajastani</t>
  </si>
  <si>
    <t>Mirch Masala Dum Aloo</t>
  </si>
  <si>
    <t>mirch-masala-dum-aloo</t>
  </si>
  <si>
    <t>Mirch Masala Ganthia</t>
  </si>
  <si>
    <t>mirch-masala-ganthia</t>
  </si>
  <si>
    <t>Mirch Masala Gobi Paratha</t>
  </si>
  <si>
    <t>mirch-masala-gobi-paratha</t>
  </si>
  <si>
    <t>Mirch Masala Green Vatana</t>
  </si>
  <si>
    <t>mirch-masala-green-vatana</t>
  </si>
  <si>
    <t>Mirch Masala Indori Bhujia</t>
  </si>
  <si>
    <t>mirch-masala-indori-bhujia</t>
  </si>
  <si>
    <t>Mirch Masala Madras Mix</t>
  </si>
  <si>
    <t>mirch-masala-madras-mix</t>
  </si>
  <si>
    <t>Mirch Masala Mooli Paratha</t>
  </si>
  <si>
    <t>mirch-masala-mooli-paratha</t>
  </si>
  <si>
    <t>Mirch Masala Moong Dal</t>
  </si>
  <si>
    <t>mirch-masala-moong-dal</t>
  </si>
  <si>
    <t>Mirch Masala Mumbai Mix</t>
  </si>
  <si>
    <t>mirch-masala-mumbai-mix</t>
  </si>
  <si>
    <t>Mirch Masala Paneer Hariali</t>
  </si>
  <si>
    <t>mirch-masala-paneer-hariali</t>
  </si>
  <si>
    <t>Mirch Masala Peanut Bhujia</t>
  </si>
  <si>
    <t>mirch-masala-peanut-bhujia</t>
  </si>
  <si>
    <t>Mirch Masala Plain Paratha</t>
  </si>
  <si>
    <t>mirch-masala-plain-paratha</t>
  </si>
  <si>
    <t>Mirch Masala Puff Onion Paratha</t>
  </si>
  <si>
    <t>mirch-masala-puff-onion-paratha</t>
  </si>
  <si>
    <t>Mirch Masala Thick Sev Ht</t>
  </si>
  <si>
    <t>mirch-masala-thick-sev-ht</t>
  </si>
  <si>
    <t>Mirch Masala Tikha Ganthia Hot</t>
  </si>
  <si>
    <t>MDH BBQ CHICKEN MASALA</t>
  </si>
  <si>
    <t>MDH PANEER MASALA</t>
  </si>
  <si>
    <t>MDH SHAHI PANEER MASALA</t>
  </si>
  <si>
    <t>MDH HYDERABADI BIRYANI MASALA</t>
  </si>
  <si>
    <t>MDH CHOLE MASALA</t>
  </si>
  <si>
    <t>DesiGhee SESAME seeds</t>
  </si>
  <si>
    <t>Rack 16</t>
  </si>
  <si>
    <t>DesiGhee CORIANDER seeds</t>
  </si>
  <si>
    <t>DesiGhee CUMIN seeds</t>
  </si>
  <si>
    <t>jeera|chiya bij|chiya beeja</t>
  </si>
  <si>
    <t>24 Mantra ORGANIC GARAM POWDER</t>
  </si>
  <si>
    <t>mirch-masala-tikha-ganthia-hot</t>
  </si>
  <si>
    <t>Mirch Masala Tum Tum</t>
  </si>
  <si>
    <t>mirch-masala-tum-tum</t>
  </si>
  <si>
    <t>Mirchi Ka Salan</t>
  </si>
  <si>
    <t>mirchi-ka-salan</t>
  </si>
  <si>
    <t>Mitha Mix</t>
  </si>
  <si>
    <t>mitha-mix</t>
  </si>
  <si>
    <t>Mix Veg</t>
  </si>
  <si>
    <t>mix-veg</t>
  </si>
  <si>
    <t>Mix Veg 1</t>
  </si>
  <si>
    <t>mix-veg-1</t>
  </si>
  <si>
    <t>Mix Veg Deep</t>
  </si>
  <si>
    <t>mix-veg-deep</t>
  </si>
  <si>
    <t>Mixed Pickle</t>
  </si>
  <si>
    <t>mixed-pickle</t>
  </si>
  <si>
    <t>Mogra 1</t>
  </si>
  <si>
    <t>mogra-1</t>
  </si>
  <si>
    <t>Moli Colour</t>
  </si>
  <si>
    <t>moli-colour</t>
  </si>
  <si>
    <t>Momo Masala</t>
  </si>
  <si>
    <t>momo-masala</t>
  </si>
  <si>
    <t>Monaco</t>
  </si>
  <si>
    <t>monaco</t>
  </si>
  <si>
    <t>Monster</t>
  </si>
  <si>
    <t>monster</t>
  </si>
  <si>
    <t>Moong Dal</t>
  </si>
  <si>
    <t>moong-dal</t>
  </si>
  <si>
    <t>Moong Dal 2</t>
  </si>
  <si>
    <t>moong-dal-2</t>
  </si>
  <si>
    <t>Moong Dal Kachori</t>
  </si>
  <si>
    <t>moong-dal-kachori</t>
  </si>
  <si>
    <t>Moong Dal Organic</t>
  </si>
  <si>
    <t>moong-dal-organic</t>
  </si>
  <si>
    <t>Moong Sproids</t>
  </si>
  <si>
    <t>moong-sproids</t>
  </si>
  <si>
    <t>Moov Spray</t>
  </si>
  <si>
    <t>moov-spray</t>
  </si>
  <si>
    <t>Moringa Powder Org</t>
  </si>
  <si>
    <t>moringa-powder-org</t>
  </si>
  <si>
    <t>Morning Glory 14 72 Pcs</t>
  </si>
  <si>
    <t>morning-glory-14-72-pcs</t>
  </si>
  <si>
    <t>Mother Paneer Butter Masala</t>
  </si>
  <si>
    <t>mother-paneer-butter-masala</t>
  </si>
  <si>
    <t>Mother Vegitable Biryani</t>
  </si>
  <si>
    <t>mother-vegitable-biryani</t>
  </si>
  <si>
    <t>Mothers Tangy Date</t>
  </si>
  <si>
    <t>mothers-tangy-date</t>
  </si>
  <si>
    <t>Motichoor Laddu</t>
  </si>
  <si>
    <t>motichoor-laddu</t>
  </si>
  <si>
    <t>Mr Garlic Paste</t>
  </si>
  <si>
    <t>mr-garlic-paste</t>
  </si>
  <si>
    <t>Mrthi Paratha</t>
  </si>
  <si>
    <t>mrthi-paratha</t>
  </si>
  <si>
    <t>Mtr Alu Mutter</t>
  </si>
  <si>
    <t>mtr-alu-mutter</t>
  </si>
  <si>
    <t>Mtr Badam Drink Turmeric 6 Cans 180 Ml</t>
  </si>
  <si>
    <t>mtr-badam-drink-turmeric-6-cans-180-ml</t>
  </si>
  <si>
    <t>Mtr Bisibele Bhath Paste</t>
  </si>
  <si>
    <t>mtr-bisibele-bhath-paste</t>
  </si>
  <si>
    <t>Mtr Chana Masala Powder</t>
  </si>
  <si>
    <t>mtr-chana-masala-powder</t>
  </si>
  <si>
    <t>Mtr Chutney Powder</t>
  </si>
  <si>
    <t>mtr-chutney-powder</t>
  </si>
  <si>
    <t>Mtr Dal Fry</t>
  </si>
  <si>
    <t>mtr-dal-fry</t>
  </si>
  <si>
    <t>Mtr Dosa Mix</t>
  </si>
  <si>
    <t>mtr-dosa-mix</t>
  </si>
  <si>
    <t>Mtr Garlic</t>
  </si>
  <si>
    <t>mtr-garlic</t>
  </si>
  <si>
    <t>Mtr Gulab Jamun</t>
  </si>
  <si>
    <t>mtr-gulab-jamun</t>
  </si>
  <si>
    <t>Mtr Hing</t>
  </si>
  <si>
    <t>mtr-hing</t>
  </si>
  <si>
    <t>Mtr Jeera Rice</t>
  </si>
  <si>
    <t>mtr-jeera-rice</t>
  </si>
  <si>
    <t>Mtr Mixed Veg Curry</t>
  </si>
  <si>
    <t>mtr-mixed-veg-curry</t>
  </si>
  <si>
    <t>Mtr Muttar Paneer</t>
  </si>
  <si>
    <t>mtr-muttar-paneer</t>
  </si>
  <si>
    <t>Mtr Palak Paneer</t>
  </si>
  <si>
    <t>mtr-palak-paneer</t>
  </si>
  <si>
    <t>Mtr Paneer Butter Masala</t>
  </si>
  <si>
    <t>mtr-paneer-butter-masala</t>
  </si>
  <si>
    <t>Mtr Paneer Makhani</t>
  </si>
  <si>
    <t>mtr-paneer-makhani</t>
  </si>
  <si>
    <t>Mtr Paneer Tikka Masala</t>
  </si>
  <si>
    <t>mtr-paneer-tikka-masala</t>
  </si>
  <si>
    <t>Mtr Peas And Mushroom Curry</t>
  </si>
  <si>
    <t>mtr-peas-and-mushroom-curry</t>
  </si>
  <si>
    <t>Mtr Pongal</t>
  </si>
  <si>
    <t>mtr-pongal</t>
  </si>
  <si>
    <t>Mtr Puliogare Paste</t>
  </si>
  <si>
    <t>mtr-puliogare-paste</t>
  </si>
  <si>
    <t>Mtr Puliogare Powder</t>
  </si>
  <si>
    <t>mtr-puliogare-powder</t>
  </si>
  <si>
    <t>Mtr Rava Idli Mix</t>
  </si>
  <si>
    <t>mtr-rava-idli-mix</t>
  </si>
  <si>
    <t>Mtr Rice Idli</t>
  </si>
  <si>
    <t>mtr-rice-idli</t>
  </si>
  <si>
    <t>Mtr Roasted Vermicelli</t>
  </si>
  <si>
    <t>mtr-roasted-vermicelli</t>
  </si>
  <si>
    <t>Mtr Rte Rasam Rice</t>
  </si>
  <si>
    <t>mtr-rte-rasam-rice</t>
  </si>
  <si>
    <t>Mtr Sambar Mix</t>
  </si>
  <si>
    <t>mtr-sambar-mix</t>
  </si>
  <si>
    <t>Mtr Sambar Paste</t>
  </si>
  <si>
    <t>mtr-sambar-paste</t>
  </si>
  <si>
    <t>Mtr Shahi Paneer</t>
  </si>
  <si>
    <t>mtr-shahi-paneer</t>
  </si>
  <si>
    <t>Mtr Tomato Rice</t>
  </si>
  <si>
    <t>mtr-tomato-rice</t>
  </si>
  <si>
    <t>Mtr Uttappam Mix</t>
  </si>
  <si>
    <t>mtr-uttappam-mix</t>
  </si>
  <si>
    <t>Mtr Vangi Bhath</t>
  </si>
  <si>
    <t>mtr-vangi-bhath</t>
  </si>
  <si>
    <t>Mtr Veg Pulao</t>
  </si>
  <si>
    <t>mtr-veg-pulao</t>
  </si>
  <si>
    <t>Mukharochak Masala Muri 200g</t>
  </si>
  <si>
    <t>mukharochak-masala-muri-200g</t>
  </si>
  <si>
    <t>Muli Paratha</t>
  </si>
  <si>
    <t>muli-paratha</t>
  </si>
  <si>
    <t>Muli Paratha 1</t>
  </si>
  <si>
    <t>muli-paratha-1</t>
  </si>
  <si>
    <t>Multigrain Chapathi</t>
  </si>
  <si>
    <t>multigrain-chapathi</t>
  </si>
  <si>
    <t>Mumbai Mix</t>
  </si>
  <si>
    <t>mumbai-mix</t>
  </si>
  <si>
    <t>Mumbai Mix 1</t>
  </si>
  <si>
    <t>mumbai-mix-1</t>
  </si>
  <si>
    <t>Muri</t>
  </si>
  <si>
    <t>muri</t>
  </si>
  <si>
    <t>Musk Incense Stick 1</t>
  </si>
  <si>
    <t>musk-incense-stick-1</t>
  </si>
  <si>
    <t>Mustard Oil</t>
  </si>
  <si>
    <t>mustard-oil</t>
  </si>
  <si>
    <t>Aavalu (ఆవాలు)</t>
  </si>
  <si>
    <t>Rai (राई)</t>
  </si>
  <si>
    <t>mustard-seeds</t>
  </si>
  <si>
    <t>Mustard Seeds Swad</t>
  </si>
  <si>
    <t>mustard-seeds-swad</t>
  </si>
  <si>
    <t>Musted Oil</t>
  </si>
  <si>
    <t>musted-oil</t>
  </si>
  <si>
    <t>Musted Oil 1</t>
  </si>
  <si>
    <t>musted-oil-1</t>
  </si>
  <si>
    <t>Musterd Powder</t>
  </si>
  <si>
    <t>musterd-powder</t>
  </si>
  <si>
    <t>Mutter Paneer</t>
  </si>
  <si>
    <t>mutter-paneer</t>
  </si>
  <si>
    <t>Mutter Paneer Pulao</t>
  </si>
  <si>
    <t>mutter-paneer-pulao</t>
  </si>
  <si>
    <t>Mutton Biryani Masala</t>
  </si>
  <si>
    <t>మేక బిర్యానీ మసాలా</t>
  </si>
  <si>
    <t>मटन बिरयानी मसाला</t>
  </si>
  <si>
    <t>['mutton biryani masala', 'mutton rice']</t>
  </si>
  <si>
    <t>Mutton Korma</t>
  </si>
  <si>
    <t>mutton-korma</t>
  </si>
  <si>
    <t>Naattu Mara Chekku Oil</t>
  </si>
  <si>
    <t>naattu-mara-chekku-oil</t>
  </si>
  <si>
    <t>Nanak Aloo Tikki</t>
  </si>
  <si>
    <t>నానక్ ఆలూ టిక్కీ</t>
  </si>
  <si>
    <t>नानक आलू टिक्की</t>
  </si>
  <si>
    <t>['nanak aloo tikki', 'potato tikki', 'aloo tikki']</t>
  </si>
  <si>
    <t>Nanak Gajar Halwa</t>
  </si>
  <si>
    <t>nanak-gajar-halwa</t>
  </si>
  <si>
    <t>Nanak Kesar Rasmalai</t>
  </si>
  <si>
    <t>nanak-kesar-rasmalai</t>
  </si>
  <si>
    <t>Nanak Malai Paneer 1</t>
  </si>
  <si>
    <t>nanak-malai-paneer-1</t>
  </si>
  <si>
    <t>Nanak Moong Dal Halwa</t>
  </si>
  <si>
    <t>nanak-moong-dal-halwa</t>
  </si>
  <si>
    <t>Nanak Pan Flav Rasmalai</t>
  </si>
  <si>
    <t>nanak-pan-flav-rasmalai</t>
  </si>
  <si>
    <t>Nanak Paneer 2</t>
  </si>
  <si>
    <t>nanak-paneer-2</t>
  </si>
  <si>
    <t>Nanak Rasmalai 1</t>
  </si>
  <si>
    <t>nanak-rasmalai-1</t>
  </si>
  <si>
    <t>Nanak Rasmalai 20 Pcs</t>
  </si>
  <si>
    <t>nanak-rasmalai-20-pcs</t>
  </si>
  <si>
    <t>Nanak Veggie Cutlets</t>
  </si>
  <si>
    <t>nanak-veggie-cutlets</t>
  </si>
  <si>
    <t>National Biryani Mix</t>
  </si>
  <si>
    <t>national-biryani-mix</t>
  </si>
  <si>
    <t>National Broast Mix</t>
  </si>
  <si>
    <t>national-broast-mix</t>
  </si>
  <si>
    <t>National Butter Chicken Mix</t>
  </si>
  <si>
    <t>national-butter-chicken-mix</t>
  </si>
  <si>
    <t>National Chicken Ginger Mix</t>
  </si>
  <si>
    <t>national-chicken-ginger-mix</t>
  </si>
  <si>
    <t>National Chicken Jalfrezi Mix</t>
  </si>
  <si>
    <t>national-chicken-jalfrezi-mix</t>
  </si>
  <si>
    <t>National Crustal Jelly</t>
  </si>
  <si>
    <t>national-crustal-jelly</t>
  </si>
  <si>
    <t>National Custard Mango</t>
  </si>
  <si>
    <t>national-custard-mango</t>
  </si>
  <si>
    <t>National Dahi Bara Powder</t>
  </si>
  <si>
    <t>national-dahi-bara-powder</t>
  </si>
  <si>
    <t>National Firni Mix</t>
  </si>
  <si>
    <t>national-firni-mix</t>
  </si>
  <si>
    <t>National Fish Mix</t>
  </si>
  <si>
    <t>national-fish-mix</t>
  </si>
  <si>
    <t>24 Mantra ORGANIC CUMIN POWDER</t>
  </si>
  <si>
    <t>National Fried Fish Mix</t>
  </si>
  <si>
    <t>national-fried-fish-mix</t>
  </si>
  <si>
    <t>National Gajar Kheer Mix</t>
  </si>
  <si>
    <t>national-gajar-kheer-mix</t>
  </si>
  <si>
    <t>National Haleem Danedar Mix</t>
  </si>
  <si>
    <t>national-haleem-danedar-mix</t>
  </si>
  <si>
    <t>National Jelly Banana</t>
  </si>
  <si>
    <t>national-jelly-banana</t>
  </si>
  <si>
    <t>jeera|cumin seeds</t>
  </si>
  <si>
    <t>National Jelly Mango</t>
  </si>
  <si>
    <t>national-jelly-mango</t>
  </si>
  <si>
    <t>National Kheer Mix</t>
  </si>
  <si>
    <t>national-kheer-mix</t>
  </si>
  <si>
    <t>24 Mantra ORGANIC CORIANDER POWDER</t>
  </si>
  <si>
    <t>National Kheer Mix Pistachio</t>
  </si>
  <si>
    <t>national-kheer-mix-pistachio</t>
  </si>
  <si>
    <t>National Malai Tikka Mix</t>
  </si>
  <si>
    <t>national-malai-tikka-mix</t>
  </si>
  <si>
    <t>National Mixed Fruit Jam</t>
  </si>
  <si>
    <t>national-mixed-fruit-jam</t>
  </si>
  <si>
    <t>National Murghi Mix</t>
  </si>
  <si>
    <t>national-murghi-mix</t>
  </si>
  <si>
    <t>National Nihari Mix</t>
  </si>
  <si>
    <t>national-nihari-mix</t>
  </si>
  <si>
    <t>National Paneer Tikka Mix</t>
  </si>
  <si>
    <t>Laxmi CHILLI POWDER</t>
  </si>
  <si>
    <t>Rack 17</t>
  </si>
  <si>
    <t>Swad EXTRA HOT CHILLI POWDER</t>
  </si>
  <si>
    <t>Laxmi KASHMIRI CHILLI POWDER</t>
  </si>
  <si>
    <t>Clio's CUMIN POWDER</t>
  </si>
  <si>
    <t>Aara CUMIN CORIANDER POWDER</t>
  </si>
  <si>
    <t>dhania|dhaniyalu|kotthimera|jeera|jilakarra</t>
  </si>
  <si>
    <t>Laxmi CUMIN POWDER</t>
  </si>
  <si>
    <t>Buldak Carbonara Hot Chicken Flavor Ramen</t>
  </si>
  <si>
    <t>snack</t>
  </si>
  <si>
    <t>Rack 18</t>
  </si>
  <si>
    <t>Buldak Spicy Chicken Roasted Noodles</t>
  </si>
  <si>
    <t>spicy mixture</t>
  </si>
  <si>
    <t>Buldak 2X Spicy Hot Chicken Flavor Ramen</t>
  </si>
  <si>
    <t>Buldak Curry Hot Chicken Flavor Ramen</t>
  </si>
  <si>
    <t>Bambino PEPPA PASTA</t>
  </si>
  <si>
    <t>Shan Rogan Josh Masala</t>
  </si>
  <si>
    <t>Shan Beef Biryani</t>
  </si>
  <si>
    <t>Shan Karahi</t>
  </si>
  <si>
    <t>non stick karahi</t>
  </si>
  <si>
    <t>Shan Kat-A-Kat</t>
  </si>
  <si>
    <t>Shan Ops/Steaks</t>
  </si>
  <si>
    <t>MDH T-Plus Masala</t>
  </si>
  <si>
    <t>MDH Stuffed Parantha</t>
  </si>
  <si>
    <t>aloo paratha|aloo paratha bulk|aloo pyaz paratha</t>
  </si>
  <si>
    <t>MDH Sabji Masala</t>
  </si>
  <si>
    <t>MDH Sambhar Masala</t>
  </si>
  <si>
    <t>MDH Rajmah Masala</t>
  </si>
  <si>
    <t>turmeric powder|pasupu</t>
  </si>
  <si>
    <t>Laxmi Coriander Powder</t>
  </si>
  <si>
    <t>Laxmi Cumin Powder</t>
  </si>
  <si>
    <t>Aala Cumin Powder</t>
  </si>
  <si>
    <t>Swad Cumin Seeds</t>
  </si>
  <si>
    <t>jeera</t>
  </si>
  <si>
    <t>Aala Pani Puri (Gol Gappe)</t>
  </si>
  <si>
    <t>national-paneer-tikka-mix</t>
  </si>
  <si>
    <t>National Pasanda Mix</t>
  </si>
  <si>
    <t>national-pasanda-mix</t>
  </si>
  <si>
    <t>National Peeled Mango Pickle</t>
  </si>
  <si>
    <t>national-peeled-mango-pickle</t>
  </si>
  <si>
    <t>National Pulao Spice Mix</t>
  </si>
  <si>
    <t>national-pulao-spice-mix</t>
  </si>
  <si>
    <t>National Punjabi Chana Mix</t>
  </si>
  <si>
    <t>national-punjabi-chana-mix</t>
  </si>
  <si>
    <t>National Qeema Mix</t>
  </si>
  <si>
    <t>national-qeema-mix</t>
  </si>
  <si>
    <t>National Quorma Mix</t>
  </si>
  <si>
    <t>national-quorma-mix</t>
  </si>
  <si>
    <t>National Reshmi Kabab Mix</t>
  </si>
  <si>
    <t>national-reshmi-kabab-mix</t>
  </si>
  <si>
    <t>National Seekh Kabab Big</t>
  </si>
  <si>
    <t>national-seekh-kabab-big</t>
  </si>
  <si>
    <t>National Shami Kabab Mix</t>
  </si>
  <si>
    <t>national-shami-kabab-mix</t>
  </si>
  <si>
    <t>National Sheer Khurma Mix</t>
  </si>
  <si>
    <t>national-sheer-khurma-mix</t>
  </si>
  <si>
    <t>National Tandoori Mix</t>
  </si>
  <si>
    <t>national-tandoori-mix</t>
  </si>
  <si>
    <t>National Veg Jalfrezi Mix</t>
  </si>
  <si>
    <t>national-veg-jalfrezi-mix</t>
  </si>
  <si>
    <t>National White Querma Mix</t>
  </si>
  <si>
    <t>national-white-querma-mix</t>
  </si>
  <si>
    <t>National White Roast Mix</t>
  </si>
  <si>
    <t>national-white-roast-mix</t>
  </si>
  <si>
    <t>Curry Powder</t>
  </si>
  <si>
    <t>Navratan Mix</t>
  </si>
  <si>
    <t>navratan-mix</t>
  </si>
  <si>
    <t>Navrattan</t>
  </si>
  <si>
    <t>navrattan</t>
  </si>
  <si>
    <t>Nawabi Mutton Biryani</t>
  </si>
  <si>
    <t>nawabi-mutton-biryani</t>
  </si>
  <si>
    <t>Neem Oil 1</t>
  </si>
  <si>
    <t>neem-oil-1</t>
  </si>
  <si>
    <t>MDH Meat Curry</t>
  </si>
  <si>
    <t>Nestle Cerelac Rice With Milk</t>
  </si>
  <si>
    <t>nestle-cerelac-rice-with-milk</t>
  </si>
  <si>
    <t>Nestle Milo 1</t>
  </si>
  <si>
    <t>nestle-milo-1</t>
  </si>
  <si>
    <t>Peacock Kasoori Methi</t>
  </si>
  <si>
    <t>Nestle Mixed Fruits Cerelac</t>
  </si>
  <si>
    <t>nestle-mixed-fruits-cerelac</t>
  </si>
  <si>
    <t>Nice Time Family Pack</t>
  </si>
  <si>
    <t>nice-time-family-pack</t>
  </si>
  <si>
    <t>MDH Dahivada Raita</t>
  </si>
  <si>
    <t>Night Flowes Jumbo Morning Glory 6 Pcs</t>
  </si>
  <si>
    <t>night-flowes-jumbo-morning-glory-6-pcs</t>
  </si>
  <si>
    <t>Nilavembu Kudineer Powder 100 Gms</t>
  </si>
  <si>
    <t>MDH Makhan Masala</t>
  </si>
  <si>
    <t>nilavembu-kudineer-powder-100-gms</t>
  </si>
  <si>
    <t>Nimbu Masala</t>
  </si>
  <si>
    <t>nimbu-masala</t>
  </si>
  <si>
    <t>Nirapara Matta Rice Flakes</t>
  </si>
  <si>
    <t>Organic Turmeric Powder</t>
  </si>
  <si>
    <t>nirapara-matta-rice-flakes</t>
  </si>
  <si>
    <t>Nirapara Palakkadan Matta Rice Long Grain 10 Kg</t>
  </si>
  <si>
    <t>nirapara-palakkadan-matta-rice-long-grain-10-kg</t>
  </si>
  <si>
    <t>Nirapara Puttu Pudi</t>
  </si>
  <si>
    <t>Organic Chilli Powder</t>
  </si>
  <si>
    <t>nirapara-puttu-pudi</t>
  </si>
  <si>
    <t>Nivea Cream</t>
  </si>
  <si>
    <t>Organic Ginger Powder</t>
  </si>
  <si>
    <t>nivea-cream</t>
  </si>
  <si>
    <t>No Skin Peanuts</t>
  </si>
  <si>
    <t>no-skin-peanuts</t>
  </si>
  <si>
    <t>Non Veg Specials</t>
  </si>
  <si>
    <t>Organic Mustard</t>
  </si>
  <si>
    <t>non-veg-specials</t>
  </si>
  <si>
    <t>Nongshim Bowl Noodles Soup Chicken 86 Gms</t>
  </si>
  <si>
    <t>nongshim-bowl-noodles-soup-chicken-86-gms</t>
  </si>
  <si>
    <t>Nongshim Bowl Noodles Soup Hot Spicy Cup 86 Gms</t>
  </si>
  <si>
    <t>Organic Red Chilli</t>
  </si>
  <si>
    <t>nongshim-bowl-noodles-soup-hot-spicy-cup-86-gms</t>
  </si>
  <si>
    <t>Nongshim Bowl Noodles Soup Kimchi 86 Gms</t>
  </si>
  <si>
    <t>nongshim-bowl-noodles-soup-kimchi-86-gms</t>
  </si>
  <si>
    <t>Nongshim Bowl Noodles Soup Shin 86 Gms</t>
  </si>
  <si>
    <t>Patel Brothers Spices</t>
  </si>
  <si>
    <t>nongshim-bowl-noodles-soup-shin-86-gms</t>
  </si>
  <si>
    <t>Nupur Henna 1</t>
  </si>
  <si>
    <t>nupur-henna-1</t>
  </si>
  <si>
    <t>Century Khichdi</t>
  </si>
  <si>
    <t>Nutmeg Powder</t>
  </si>
  <si>
    <t>nutmeg-powder</t>
  </si>
  <si>
    <t>Nutrela Soya Granules</t>
  </si>
  <si>
    <t>nutrela-soya-granules</t>
  </si>
  <si>
    <t>Nutrela Soya Mini Chunks</t>
  </si>
  <si>
    <t>nutrela-soya-mini-chunks</t>
  </si>
  <si>
    <t>Oats Noodles</t>
  </si>
  <si>
    <t>oats-noodles</t>
  </si>
  <si>
    <t>Oil</t>
  </si>
  <si>
    <t>oil</t>
  </si>
  <si>
    <t>Okra</t>
  </si>
  <si>
    <t>okra</t>
  </si>
  <si>
    <t>Oliv Oil</t>
  </si>
  <si>
    <t>oliv-oil</t>
  </si>
  <si>
    <t>Onion</t>
  </si>
  <si>
    <t>Ullipaya / Erragaddalu (ఉల్లిపాయ)</t>
  </si>
  <si>
    <t>Pyaz (प्याज)</t>
  </si>
  <si>
    <t>onion|pyaz|ullipaya|erragaddalu</t>
  </si>
  <si>
    <t>Onion Pakora</t>
  </si>
  <si>
    <t>onion-pakora</t>
  </si>
  <si>
    <t>Onion Samosa</t>
  </si>
  <si>
    <t>onion-samosa</t>
  </si>
  <si>
    <t>Opner</t>
  </si>
  <si>
    <t>opner</t>
  </si>
  <si>
    <t>Orchid Cumin Seeds 200 Gms</t>
  </si>
  <si>
    <t>orchid-cumin-seeds-200-gms</t>
  </si>
  <si>
    <t>Org Assam Tea</t>
  </si>
  <si>
    <t>org-assam-tea</t>
  </si>
  <si>
    <t>Org Basmti Rice</t>
  </si>
  <si>
    <t>org-basmti-rice</t>
  </si>
  <si>
    <t>Org Besan</t>
  </si>
  <si>
    <t>org-besan</t>
  </si>
  <si>
    <t>Org Chana Dal</t>
  </si>
  <si>
    <t>org-chana-dal</t>
  </si>
  <si>
    <t>Org Chickpeas</t>
  </si>
  <si>
    <t>org-chickpeas</t>
  </si>
  <si>
    <t>Org Coriander Pow</t>
  </si>
  <si>
    <t>org-coriander-pow</t>
  </si>
  <si>
    <t>Org Desi Curd</t>
  </si>
  <si>
    <t>org-desi-curd</t>
  </si>
  <si>
    <t>Org Fenugreek</t>
  </si>
  <si>
    <t>org-fenugreek</t>
  </si>
  <si>
    <t>Org Fenugreek 1</t>
  </si>
  <si>
    <t>org-fenugreek-1</t>
  </si>
  <si>
    <t>Org Grain Ragi</t>
  </si>
  <si>
    <t>org-grain-ragi</t>
  </si>
  <si>
    <t>Org Green Moong</t>
  </si>
  <si>
    <t>org-green-moong</t>
  </si>
  <si>
    <t>Org Green Moong Dal Split</t>
  </si>
  <si>
    <t>org-green-moong-dal-split</t>
  </si>
  <si>
    <t>Org Guava Drink</t>
  </si>
  <si>
    <t>org-guava-drink</t>
  </si>
  <si>
    <t>Org Idli Rava</t>
  </si>
  <si>
    <t>org-idli-rava</t>
  </si>
  <si>
    <t>Org Jaggery</t>
  </si>
  <si>
    <t>org-jaggery</t>
  </si>
  <si>
    <t>Org Ragi Varmicelli</t>
  </si>
  <si>
    <t>org-ragi-varmicelli</t>
  </si>
  <si>
    <t>Org Rice Basmati</t>
  </si>
  <si>
    <t>org-rice-basmati</t>
  </si>
  <si>
    <t>Org Sambar Powder</t>
  </si>
  <si>
    <t>org-sambar-powder</t>
  </si>
  <si>
    <t>Org Urad Dal</t>
  </si>
  <si>
    <t>org-urad-dal</t>
  </si>
  <si>
    <t>Organic Basmati Brown</t>
  </si>
  <si>
    <t>organic-basmati-brown</t>
  </si>
  <si>
    <t>Organic Basmati Rice</t>
  </si>
  <si>
    <t>ఆర్గెనిక్ బాస్మతి చారు</t>
  </si>
  <si>
    <t>ऑर्गेनिक बासमती चावल</t>
  </si>
  <si>
    <t>['organic basmati rice', 'basmati rice', 'organic rice']</t>
  </si>
  <si>
    <t>Organic Broken Rice 4lb</t>
  </si>
  <si>
    <t>organic-broken-rice-4lb</t>
  </si>
  <si>
    <t>Organic Brown Rice</t>
  </si>
  <si>
    <t>organic-brown-rice</t>
  </si>
  <si>
    <t>Organic Chillie Powder</t>
  </si>
  <si>
    <t>organic-chillie-powder</t>
  </si>
  <si>
    <t>Organic Coconut Powder</t>
  </si>
  <si>
    <t>ఆర్గెనిక్ కొబ్బరి పావురు</t>
  </si>
  <si>
    <t>ऑर्गेनिक नारियल पाउडर</t>
  </si>
  <si>
    <t>['organic coconut powder', 'narial powder']</t>
  </si>
  <si>
    <t>Organic Coriander Powder</t>
  </si>
  <si>
    <t>organic-coriander-powder</t>
  </si>
  <si>
    <t>Organic Ghee</t>
  </si>
  <si>
    <t>organic-ghee</t>
  </si>
  <si>
    <t>Organic Ginger Garlic</t>
  </si>
  <si>
    <t>organic-ginger-garlic</t>
  </si>
  <si>
    <t>Organic Mango Avakaya</t>
  </si>
  <si>
    <t>organic-mango-avakaya</t>
  </si>
  <si>
    <t>Daab Sabut Dhania Whole Coriander with Masala</t>
  </si>
  <si>
    <t>Vicinia Pani Puri</t>
  </si>
  <si>
    <t>MDH Dal Makhani Masala</t>
  </si>
  <si>
    <t>MDH Curry Masala For Chicken</t>
  </si>
  <si>
    <t>Sri Ganeshmill Tandoori Chicken Masala</t>
  </si>
  <si>
    <t>Sri Ganeshmill Madras Sambar Powder</t>
  </si>
  <si>
    <t>Sri Ganeshmill Madras Rasam Powder</t>
  </si>
  <si>
    <t>Sri Ganeshmill Instant Puliyodharai Mix</t>
  </si>
  <si>
    <t>Deep Black Pepper Powder</t>
  </si>
  <si>
    <t>Swad Black Pepper (Coarse)</t>
  </si>
  <si>
    <t>Aara White Pepper Powder</t>
  </si>
  <si>
    <t>Haldiram's Pani Puri</t>
  </si>
  <si>
    <t>Organic Masoor Dal</t>
  </si>
  <si>
    <t>organic-masoor-dal</t>
  </si>
  <si>
    <t>Organic Papadam Plain</t>
  </si>
  <si>
    <t>organic-papadam-plain</t>
  </si>
  <si>
    <t>MDH Chana Masala for Chicken</t>
  </si>
  <si>
    <t>Organic Rajma Chitra</t>
  </si>
  <si>
    <t>organic-rajma-chitra</t>
  </si>
  <si>
    <t>organic-red-chilli</t>
  </si>
  <si>
    <t>Organic Sona Masuri Rice 20 Lb</t>
  </si>
  <si>
    <t>organic-sona-masuri-rice-20-lb</t>
  </si>
  <si>
    <t>Organic Split Chickpeas</t>
  </si>
  <si>
    <t>ఆర్గెనిక్ చనా దాల్</t>
  </si>
  <si>
    <t>ऑर्गेनिक चना दाल</t>
  </si>
  <si>
    <t>MDH Bombaiya Biryani Masala</t>
  </si>
  <si>
    <t>['organic', 'chickpeas', 'split chickpeas', 'chana dal']</t>
  </si>
  <si>
    <t>Organic Sugar 1</t>
  </si>
  <si>
    <t>organic-sugar-1</t>
  </si>
  <si>
    <t>Organic Sugar 2</t>
  </si>
  <si>
    <t>Century Chatpat Masala</t>
  </si>
  <si>
    <t>organic-sugar-2</t>
  </si>
  <si>
    <t>Organic Whole Wheat Atta</t>
  </si>
  <si>
    <t>organic-whole-wheat-atta</t>
  </si>
  <si>
    <t>GFF Tandoori Chicken Masala</t>
  </si>
  <si>
    <t>Organic Whole Wheat Flour 20 Lb</t>
  </si>
  <si>
    <t>organic-whole-wheat-flour-20-lb</t>
  </si>
  <si>
    <t>Organuic Rice</t>
  </si>
  <si>
    <t>organuic-rice</t>
  </si>
  <si>
    <t>Orgatma Desi Jaggary Powder</t>
  </si>
  <si>
    <t>orgatma-desi-jaggary-powder</t>
  </si>
  <si>
    <t>GFF Madras Sambar Powder</t>
  </si>
  <si>
    <t>Osmania</t>
  </si>
  <si>
    <t>osmania</t>
  </si>
  <si>
    <t>madras mix</t>
  </si>
  <si>
    <t>Osmania Biscuits</t>
  </si>
  <si>
    <t>GFF Madras Rasam Powder</t>
  </si>
  <si>
    <t>osmania-biscuits</t>
  </si>
  <si>
    <t>Pajeeri Laddu</t>
  </si>
  <si>
    <t>pajeeri-laddu</t>
  </si>
  <si>
    <t>GFF Instant Puliyodharai Mix</t>
  </si>
  <si>
    <t>Pal Jaggery Small</t>
  </si>
  <si>
    <t>pal-jaggery-small</t>
  </si>
  <si>
    <t>Palak</t>
  </si>
  <si>
    <t>palak</t>
  </si>
  <si>
    <t>GFF Idly Chilly Chutney Powder</t>
  </si>
  <si>
    <t>Palak Chevda</t>
  </si>
  <si>
    <t>palak-chevda</t>
  </si>
  <si>
    <t>Palak Kofta</t>
  </si>
  <si>
    <t>palak-kofta</t>
  </si>
  <si>
    <t>GFF Special Egg Curry Masala</t>
  </si>
  <si>
    <t>Palak Panner</t>
  </si>
  <si>
    <t>palak-panner</t>
  </si>
  <si>
    <t>GFF Madras Chicken 65 Masala</t>
  </si>
  <si>
    <t>Palak Thepla</t>
  </si>
  <si>
    <t>palak-thepla</t>
  </si>
  <si>
    <t>Palm Jaggery</t>
  </si>
  <si>
    <t>GFF Biryani Pulao Masala</t>
  </si>
  <si>
    <t>palm-jaggery</t>
  </si>
  <si>
    <t>Pan Leaves</t>
  </si>
  <si>
    <t>pan-leaves</t>
  </si>
  <si>
    <t>Pan Parag</t>
  </si>
  <si>
    <t>pan-parag</t>
  </si>
  <si>
    <t>Paneer Makhni</t>
  </si>
  <si>
    <t>paneer-makhni</t>
  </si>
  <si>
    <t>Paneer Onion Paratha</t>
  </si>
  <si>
    <t>paneer-onion-paratha</t>
  </si>
  <si>
    <t>Paneer Onion Paratha Big</t>
  </si>
  <si>
    <t>paneer-onion-paratha-big</t>
  </si>
  <si>
    <t>Paneer Tikka</t>
  </si>
  <si>
    <t>paneer-tikka</t>
  </si>
  <si>
    <t>Paneer Tikka Mix</t>
  </si>
  <si>
    <t>paneer-tikka-mix</t>
  </si>
  <si>
    <t>Paneer Tikki</t>
  </si>
  <si>
    <t>paneer-tikki</t>
  </si>
  <si>
    <t>Pani Puri Crispy</t>
  </si>
  <si>
    <t>pani-puri-crispy</t>
  </si>
  <si>
    <t>pani puri masala</t>
  </si>
  <si>
    <t>పానీ పురి మసాలా</t>
  </si>
  <si>
    <t>पानी पुरी मसाला</t>
  </si>
  <si>
    <t>['puchka masala', 'golgappas spice']</t>
  </si>
  <si>
    <t>Pani Puri Non Fried</t>
  </si>
  <si>
    <t>pani-puri-non-fried</t>
  </si>
  <si>
    <t>Panner</t>
  </si>
  <si>
    <t>panner</t>
  </si>
  <si>
    <t>Panner Tikka Masala Archi</t>
  </si>
  <si>
    <t>panner-tikka-masala-archi</t>
  </si>
  <si>
    <t>Pao Bhaji</t>
  </si>
  <si>
    <t>pao-bhaji</t>
  </si>
  <si>
    <t>Papadi</t>
  </si>
  <si>
    <t>papadi</t>
  </si>
  <si>
    <t>Parat</t>
  </si>
  <si>
    <t>parat</t>
  </si>
  <si>
    <t>Parat 1</t>
  </si>
  <si>
    <t>parat-1</t>
  </si>
  <si>
    <t>LP Black Pepper Powder</t>
  </si>
  <si>
    <t>Parle Barly</t>
  </si>
  <si>
    <t>parle-barly</t>
  </si>
  <si>
    <t>Parle Fab</t>
  </si>
  <si>
    <t>parle-fab</t>
  </si>
  <si>
    <t>Parle G 1</t>
  </si>
  <si>
    <t>parle-g-1</t>
  </si>
  <si>
    <t>Parle Hide And Seek</t>
  </si>
  <si>
    <t>parle-hide-and-seek</t>
  </si>
  <si>
    <t>Parle Kream Vanilla</t>
  </si>
  <si>
    <t>parle-kream-vanilla</t>
  </si>
  <si>
    <t>Parle Maria Bisciuts</t>
  </si>
  <si>
    <t>parle-maria-bisciuts</t>
  </si>
  <si>
    <t>Parle Monaco</t>
  </si>
  <si>
    <t>parle-monaco</t>
  </si>
  <si>
    <t>Parliament Basmati Rice 10 Lb</t>
  </si>
  <si>
    <t>parliament-basmati-rice-10-lb</t>
  </si>
  <si>
    <t>Parliament Gold Basmati Rice 10 2 Lb</t>
  </si>
  <si>
    <t>parliament-gold-basmati-rice-10-2-lb</t>
  </si>
  <si>
    <t>Parliament Rozana Basmati Rice 8 Lb</t>
  </si>
  <si>
    <t>parliament-rozana-basmati-rice-8-lb</t>
  </si>
  <si>
    <t>Pataks Biryani Curry Paste</t>
  </si>
  <si>
    <t>pataks-biryani-curry-paste</t>
  </si>
  <si>
    <t>Pataks Brinjal Egg Plant Relish</t>
  </si>
  <si>
    <t>pataks-brinjal-egg-plant-relish</t>
  </si>
  <si>
    <t>Pataks Chilli Relish</t>
  </si>
  <si>
    <t>pataks-chilli-relish</t>
  </si>
  <si>
    <t>Pataks Lime Relish</t>
  </si>
  <si>
    <t>pataks-lime-relish</t>
  </si>
  <si>
    <t>Pataks Major Grey Chutney Mild</t>
  </si>
  <si>
    <t>pataks-major-grey-chutney-mild</t>
  </si>
  <si>
    <t>Pataks Sweet Mango Chutney Mild</t>
  </si>
  <si>
    <t>pataks-sweet-mango-chutney-mild</t>
  </si>
  <si>
    <t>Pataks Tikka Paste</t>
  </si>
  <si>
    <t>pataks-tikka-paste</t>
  </si>
  <si>
    <t>Patanjali Arogya Vati</t>
  </si>
  <si>
    <t>patanjali-arogya-vati</t>
  </si>
  <si>
    <t>Patanjali Ashwashila Capsule</t>
  </si>
  <si>
    <t>patanjali-ashwashila-capsule</t>
  </si>
  <si>
    <t>Patanjali Mint Tulsi Soap</t>
  </si>
  <si>
    <t>patanjali-mint-tulsi-soap</t>
  </si>
  <si>
    <t>Patanjali Mushli Churna 100 Gms</t>
  </si>
  <si>
    <t>patanjali-mushli-churna-100-gms</t>
  </si>
  <si>
    <t>Patanjali Oil</t>
  </si>
  <si>
    <t>patanjali-oil</t>
  </si>
  <si>
    <t>Patanjali Tulsi Ghanvati</t>
  </si>
  <si>
    <t>patanjali-tulsi-ghanvati</t>
  </si>
  <si>
    <t>Pav Bhaji</t>
  </si>
  <si>
    <t>pav-bhaji</t>
  </si>
  <si>
    <t>Pav Bhaji Mothers</t>
  </si>
  <si>
    <t>pav-bhaji-mothers</t>
  </si>
  <si>
    <t>Pbedekar Mango Chilli Pickle</t>
  </si>
  <si>
    <t>pbedekar-mango-chilli-pickle</t>
  </si>
  <si>
    <t>Deep Black Pepper</t>
  </si>
  <si>
    <t>Peanut Bhijia</t>
  </si>
  <si>
    <t>peanut-bhijia</t>
  </si>
  <si>
    <t>Peanut Oil</t>
  </si>
  <si>
    <t>peanut-oil</t>
  </si>
  <si>
    <t>Peanuts</t>
  </si>
  <si>
    <t>పెన్నుట్స్</t>
  </si>
  <si>
    <t>मूंगफली</t>
  </si>
  <si>
    <t>['peanuts', 'groundnuts']</t>
  </si>
  <si>
    <t>Pears Soap 3 Bars</t>
  </si>
  <si>
    <t>pears-soap-3-bars</t>
  </si>
  <si>
    <t>Pedda Rasaalu Mango Pulp</t>
  </si>
  <si>
    <t>pedda-rasaalu-mango-pulp</t>
  </si>
  <si>
    <t>Peeled Garlic 1</t>
  </si>
  <si>
    <t>peeled-garlic-1</t>
  </si>
  <si>
    <t>Pepper Kara Seva</t>
  </si>
  <si>
    <t>pepper-kara-seva</t>
  </si>
  <si>
    <t>Periyar Jaggery</t>
  </si>
  <si>
    <t>periyar-jaggery</t>
  </si>
  <si>
    <t>Periyar Lentil Pappadam</t>
  </si>
  <si>
    <t>periyar-lentil-pappadam</t>
  </si>
  <si>
    <t>Pg Tips 2</t>
  </si>
  <si>
    <t>pg-tips-2</t>
  </si>
  <si>
    <t>Phool Makhana</t>
  </si>
  <si>
    <t>phool-makhana</t>
  </si>
  <si>
    <t>Phulka Roti Bulk</t>
  </si>
  <si>
    <t>phulka-roti-bulk</t>
  </si>
  <si>
    <t>Pinapple</t>
  </si>
  <si>
    <t>pinapple</t>
  </si>
  <si>
    <t>Pineapple 2</t>
  </si>
  <si>
    <t>pineapple-2</t>
  </si>
  <si>
    <t>Pink Guava</t>
  </si>
  <si>
    <t>pink-guava</t>
  </si>
  <si>
    <t>Pista Almond</t>
  </si>
  <si>
    <t>పిస్తా ఆల్మండ్</t>
  </si>
  <si>
    <t>पिस्ता बादाम</t>
  </si>
  <si>
    <t>['pista', 'almond', 'nuts']</t>
  </si>
  <si>
    <t>Pizza</t>
  </si>
  <si>
    <t>pizza</t>
  </si>
  <si>
    <t>Plain Bhujiya</t>
  </si>
  <si>
    <t>సాధారణ భూజియా</t>
  </si>
  <si>
    <t>सादा भुजिया</t>
  </si>
  <si>
    <t>['plain bhujiya', 'snack', 'crunchy']</t>
  </si>
  <si>
    <t>Plain Burfi</t>
  </si>
  <si>
    <t>plain-burfi</t>
  </si>
  <si>
    <t>Plain Dosa</t>
  </si>
  <si>
    <t>plain-dosa</t>
  </si>
  <si>
    <t>Plain Khari</t>
  </si>
  <si>
    <t>plain-khari</t>
  </si>
  <si>
    <t>Plain Khichdi</t>
  </si>
  <si>
    <t>plain-khichdi</t>
  </si>
  <si>
    <t>Plantain Chips</t>
  </si>
  <si>
    <t>plantain-chips</t>
  </si>
  <si>
    <t>Plantain Chips 1</t>
  </si>
  <si>
    <t>plantain-chips-1</t>
  </si>
  <si>
    <t>Plate 2</t>
  </si>
  <si>
    <t>plate-2</t>
  </si>
  <si>
    <t>Pledge Lemon Clean</t>
  </si>
  <si>
    <t>pledge-lemon-clean</t>
  </si>
  <si>
    <t>Plm Jaggry</t>
  </si>
  <si>
    <t>plm-jaggry</t>
  </si>
  <si>
    <t>Plum Tomato</t>
  </si>
  <si>
    <t>plum-tomato</t>
  </si>
  <si>
    <t>Pomegranatereal</t>
  </si>
  <si>
    <t>pomegranatereal</t>
  </si>
  <si>
    <t>Ponk</t>
  </si>
  <si>
    <t>ponk</t>
  </si>
  <si>
    <t>Ponni Boiled Rice 10 Lb</t>
  </si>
  <si>
    <t>ponni-boiled-rice-10-lb</t>
  </si>
  <si>
    <t>Ponni Boiled Rice Laxmi</t>
  </si>
  <si>
    <t>ponni-boiled-rice-laxmi</t>
  </si>
  <si>
    <t>Ponni Raw Rice 10 Lb</t>
  </si>
  <si>
    <t>ponni-raw-rice-10-lb</t>
  </si>
  <si>
    <t>Porotta</t>
  </si>
  <si>
    <t>porotta</t>
  </si>
  <si>
    <t>Potato Cauliflower</t>
  </si>
  <si>
    <t>బఠాని కాల్ఫ్లవర్</t>
  </si>
  <si>
    <t>आलू कालफ्लावर</t>
  </si>
  <si>
    <t>['potato cauliflower', 'aloo bghujhi']</t>
  </si>
  <si>
    <t>Potato Gobhi</t>
  </si>
  <si>
    <t>బఠాని గోభి</t>
  </si>
  <si>
    <t>आलू गोबी</t>
  </si>
  <si>
    <t>['potato gobhi', 'aloo gobhi']</t>
  </si>
  <si>
    <t>Potato Katri</t>
  </si>
  <si>
    <t>potato-katri</t>
  </si>
  <si>
    <t>Potato Onion Paratha</t>
  </si>
  <si>
    <t>బఠాని ప్యాజ్ పరాతా</t>
  </si>
  <si>
    <t>आलू प्याज पराठा</t>
  </si>
  <si>
    <t>['potato onion paratha', 'aloo pyaz paratha']</t>
  </si>
  <si>
    <t>Potato Panner</t>
  </si>
  <si>
    <t>potato-panner</t>
  </si>
  <si>
    <t>Potato Paratha</t>
  </si>
  <si>
    <t>బఠాని పరాతా</t>
  </si>
  <si>
    <t>आलू पराठा</t>
  </si>
  <si>
    <t>['potato paratha', 'aloo paratha']</t>
  </si>
  <si>
    <t>Prawn Masala Mothers</t>
  </si>
  <si>
    <t>prawn-masala-mothers</t>
  </si>
  <si>
    <t>Preemas Green Food Color</t>
  </si>
  <si>
    <t>preemas-green-food-color</t>
  </si>
  <si>
    <t>Preemas Orange Food Color</t>
  </si>
  <si>
    <t>preemas-orange-food-color</t>
  </si>
  <si>
    <t>Preemas Red Food Colour</t>
  </si>
  <si>
    <t>preemas-red-food-colour</t>
  </si>
  <si>
    <t>Preemas Samosa</t>
  </si>
  <si>
    <t>preemas-samosa</t>
  </si>
  <si>
    <t>Preemas Yellow Food Color</t>
  </si>
  <si>
    <t>preemas-yellow-food-color</t>
  </si>
  <si>
    <t>Priya</t>
  </si>
  <si>
    <t>priya</t>
  </si>
  <si>
    <t>Priya Curry Chilli Powder</t>
  </si>
  <si>
    <t>SWAD Black Pepper (Coarse)</t>
  </si>
  <si>
    <t>AAAA White Pepper Powder</t>
  </si>
  <si>
    <t>Haldiram's Street Style Pani Puri</t>
  </si>
  <si>
    <t>Shana Pani Puri</t>
  </si>
  <si>
    <t>MDH Achari Gosht</t>
  </si>
  <si>
    <t>achari masala</t>
  </si>
  <si>
    <t>CEE Instant Pulyodharat Mix</t>
  </si>
  <si>
    <t>CEE Idly Chilly Chutney Powder</t>
  </si>
  <si>
    <t>CEE Special Egg Curry Masala</t>
  </si>
  <si>
    <t>CEE Madras Chicken 65 Masala</t>
  </si>
  <si>
    <t>CEE Biryani Pulav Masala</t>
  </si>
  <si>
    <t>National Mutton Biryani</t>
  </si>
  <si>
    <t>National Biryani</t>
  </si>
  <si>
    <t>Swad White Pepper Powder</t>
  </si>
  <si>
    <t>Aara White Pepper Powder 3.5oz</t>
  </si>
  <si>
    <t>Laxmi Ajwain Seeds 14oz</t>
  </si>
  <si>
    <t>Swad Anardana Powder (bag)</t>
  </si>
  <si>
    <t>Shana Chaat Puri</t>
  </si>
  <si>
    <t>golgappas spice|flatbread|indian bread</t>
  </si>
  <si>
    <t>What's your favourite Chaat Puri</t>
  </si>
  <si>
    <t>puchka masala|golgappas spice|flatbread|indian bread</t>
  </si>
  <si>
    <t>Ching's Secret Green Chili Sauce</t>
  </si>
  <si>
    <t>Rack 61</t>
  </si>
  <si>
    <t>Ching's Secret Dark Soy Sauce</t>
  </si>
  <si>
    <t>soya sauce</t>
  </si>
  <si>
    <t>Swad Tamarind Concentrate</t>
  </si>
  <si>
    <t>Rack 62</t>
  </si>
  <si>
    <t>Tamicon Tamarind Concentrate</t>
  </si>
  <si>
    <t>Swad Seedless Tamarind</t>
  </si>
  <si>
    <t>Rack 63</t>
  </si>
  <si>
    <t>Aeroplane Seedless Tamarind</t>
  </si>
  <si>
    <t>Nandhari's Sweet Tamarind</t>
  </si>
  <si>
    <t>Ching's Secret Manchow Soup</t>
  </si>
  <si>
    <t>Rack 64</t>
  </si>
  <si>
    <t>Ching's Secret Hot &amp; Sour Soup</t>
  </si>
  <si>
    <t>priya-curry-chilli-powder</t>
  </si>
  <si>
    <t>Ching's Secret Mix Veg Soup</t>
  </si>
  <si>
    <t>Priya Cut Mango Pickle Wog</t>
  </si>
  <si>
    <t>Knorr Mixed Vegetable Soup</t>
  </si>
  <si>
    <t>priya-cut-mango-pickle-wog</t>
  </si>
  <si>
    <t>Priya Garlic Pickle</t>
  </si>
  <si>
    <t>priya-garlic-pickle</t>
  </si>
  <si>
    <t>Knorr Hot &amp; Sour Vegetable Soup</t>
  </si>
  <si>
    <t>Priya Ginger Pickle Wog</t>
  </si>
  <si>
    <t>priya-ginger-pickle-wog</t>
  </si>
  <si>
    <t>Priya Gongura Pickle</t>
  </si>
  <si>
    <t>Rack 65</t>
  </si>
  <si>
    <t>priya-gongura-pickle</t>
  </si>
  <si>
    <t>Priya Green Chilli Pickle With Garl</t>
  </si>
  <si>
    <t>priya-green-chilli-pickle-with-garl</t>
  </si>
  <si>
    <t>Ching's Secret Green Chilli Sauce</t>
  </si>
  <si>
    <t>priya-madras-curry-powder</t>
  </si>
  <si>
    <t>Priya Mango Ginger Pickle</t>
  </si>
  <si>
    <t>priya-mango-ginger-pickle</t>
  </si>
  <si>
    <t>Priya Mango Thokku With Garlic</t>
  </si>
  <si>
    <t>priya-mango-thokku-with-garlic</t>
  </si>
  <si>
    <t>Wet Tamarind</t>
  </si>
  <si>
    <t>Priya Mango Thoku Pickle</t>
  </si>
  <si>
    <t>priya-mango-thoku-pickle</t>
  </si>
  <si>
    <t>Ching's Secret Tomato Soup</t>
  </si>
  <si>
    <t>priya-meat-masala-powder</t>
  </si>
  <si>
    <t>Priya Mix Veg Pickle With Garlic</t>
  </si>
  <si>
    <t>priya-mix-veg-pickle-with-garlic</t>
  </si>
  <si>
    <t>Priya Mushroom Masala</t>
  </si>
  <si>
    <t>Knorr Soup</t>
  </si>
  <si>
    <t>priya-mushroom-masala</t>
  </si>
  <si>
    <t>Priya Redgram Spice Mix Powder</t>
  </si>
  <si>
    <t>priya-redgram-spice-mix-powder</t>
  </si>
  <si>
    <t>Priya Seasme Spice Mix Powder</t>
  </si>
  <si>
    <t>priya-seasme-spice-mix-powder</t>
  </si>
  <si>
    <t>MTR Poha Express</t>
  </si>
  <si>
    <t>priya-tandoori-masala</t>
  </si>
  <si>
    <t>Priya Tikka Seekh</t>
  </si>
  <si>
    <t>priya-tikka-seekh</t>
  </si>
  <si>
    <t>Priya Verusenaga Podi</t>
  </si>
  <si>
    <t>MTR Upma Express</t>
  </si>
  <si>
    <t>priya-verusenaga-podi</t>
  </si>
  <si>
    <t>Priyagold Choco Checkers 400 Gms</t>
  </si>
  <si>
    <t>priyagold-choco-checkers-400-gms</t>
  </si>
  <si>
    <t>Priyems Dosa Better</t>
  </si>
  <si>
    <t>MTR Dal Chawal Express</t>
  </si>
  <si>
    <t>priyems-dosa-better</t>
  </si>
  <si>
    <t>Puff</t>
  </si>
  <si>
    <t>puff</t>
  </si>
  <si>
    <t>chickpea rice</t>
  </si>
  <si>
    <t>Puff Pastry 1</t>
  </si>
  <si>
    <t>puff-pastry-1</t>
  </si>
  <si>
    <t>Puff1003</t>
  </si>
  <si>
    <t>puff1003</t>
  </si>
  <si>
    <t>Ching's Secret Chilli Sauce</t>
  </si>
  <si>
    <t>Puffed Rice 1</t>
  </si>
  <si>
    <t>puffed-rice-1</t>
  </si>
  <si>
    <t>Pulao</t>
  </si>
  <si>
    <t>pulao</t>
  </si>
  <si>
    <t>Punjabi Choole</t>
  </si>
  <si>
    <t>punjabi-choole</t>
  </si>
  <si>
    <t>Punjabi Dilli Samosa</t>
  </si>
  <si>
    <t>punjabi-dilli-samosa</t>
  </si>
  <si>
    <t>Punjabi Masala Gud</t>
  </si>
  <si>
    <t>punjabi-masala-gud</t>
  </si>
  <si>
    <t>Punjabi Mix</t>
  </si>
  <si>
    <t>punjabi-mix</t>
  </si>
  <si>
    <t>Punjabi Samosa</t>
  </si>
  <si>
    <t>punjabi-samosa</t>
  </si>
  <si>
    <t>Punjabi Tadka</t>
  </si>
  <si>
    <t>punjabi-tadka</t>
  </si>
  <si>
    <t>Pure Basmati Rice 20 Lb</t>
  </si>
  <si>
    <t>pure-basmati-rice-20-lb</t>
  </si>
  <si>
    <t>Pure Instant Narasu</t>
  </si>
  <si>
    <t>pure-instant-narasu</t>
  </si>
  <si>
    <t>Puttu White</t>
  </si>
  <si>
    <t>puttu-white</t>
  </si>
  <si>
    <t>Putul Fish</t>
  </si>
  <si>
    <t>putul-fish</t>
  </si>
  <si>
    <t>Putul Tilapia Frozen</t>
  </si>
  <si>
    <t>putul-tilapia-frozen</t>
  </si>
  <si>
    <t>Quick Cardamom Tea</t>
  </si>
  <si>
    <t>quick-cardamom-tea</t>
  </si>
  <si>
    <t>Quick Masala Chai</t>
  </si>
  <si>
    <t>quick-masala-chai</t>
  </si>
  <si>
    <t>Quick Tea</t>
  </si>
  <si>
    <t>క్విక్ టీ</t>
  </si>
  <si>
    <t>क्विक टी</t>
  </si>
  <si>
    <t>['Quick Tea']</t>
  </si>
  <si>
    <t>Quik Tea Masala Unsweetened</t>
  </si>
  <si>
    <t>quik-tea-masala-unsweetened</t>
  </si>
  <si>
    <t>Quinoa</t>
  </si>
  <si>
    <t>quinoa</t>
  </si>
  <si>
    <t>Rafhan Corn Flour</t>
  </si>
  <si>
    <t>రఫాన్ కార్న్ ఫ్లౌర్</t>
  </si>
  <si>
    <t>रफ़ान कॉर्न फ्लौर</t>
  </si>
  <si>
    <t>['corn flour', 'rafhan']</t>
  </si>
  <si>
    <t>Ragi</t>
  </si>
  <si>
    <t>ragi</t>
  </si>
  <si>
    <t>Ragi Batter</t>
  </si>
  <si>
    <t>ragi-batter</t>
  </si>
  <si>
    <t>Ragi Flour</t>
  </si>
  <si>
    <t>ragi-flour</t>
  </si>
  <si>
    <t>Ragi Flour 1</t>
  </si>
  <si>
    <t>ragi-flour-1</t>
  </si>
  <si>
    <t>Ragi Flour 400 G</t>
  </si>
  <si>
    <t>ragi-flour-400-g</t>
  </si>
  <si>
    <t>Ragi Malt</t>
  </si>
  <si>
    <t>ragi-malt</t>
  </si>
  <si>
    <t>Ragi Puttu Powder</t>
  </si>
  <si>
    <t>ragi-puttu-powder</t>
  </si>
  <si>
    <t>Ragi Roti Mix</t>
  </si>
  <si>
    <t>ragi-roti-mix</t>
  </si>
  <si>
    <t>Raj Masala Green Chilli</t>
  </si>
  <si>
    <t>raj-masala-green-chilli</t>
  </si>
  <si>
    <t>Raj Masala Mango Chilli Sauce</t>
  </si>
  <si>
    <t>raj-masala-mango-chilli-sauce</t>
  </si>
  <si>
    <t>Raja Chuna</t>
  </si>
  <si>
    <t>raja-chuna</t>
  </si>
  <si>
    <t>Rajah Garam Masala 1</t>
  </si>
  <si>
    <t>rajah-garam-masala-1</t>
  </si>
  <si>
    <t>Rajbhog Paneer</t>
  </si>
  <si>
    <t>rajbhog-paneer</t>
  </si>
  <si>
    <t>Rajbhog Peanut Chikki</t>
  </si>
  <si>
    <t>రాజ్‌భోగ్ పెన్నుతోట చిక్కీ</t>
  </si>
  <si>
    <t>राजभोग पेड़ा चिक्की</t>
  </si>
  <si>
    <t>peanut chikki, rajbhog sweets</t>
  </si>
  <si>
    <t>Rajbhog Sweet Almond Chikki</t>
  </si>
  <si>
    <t>రాజ్‌భోగ్ మిఠాయి బదామీ చిక్కీ</t>
  </si>
  <si>
    <t>राजभोग मीठा बादाम चिक्की</t>
  </si>
  <si>
    <t>almond chikki, sweet almond chikki</t>
  </si>
  <si>
    <t>Rajbhog Sweet Cashew Chikki</t>
  </si>
  <si>
    <t>రాజ్‌భోగ్ మిఠాయి కాజు చిక్కీ</t>
  </si>
  <si>
    <t>राजभोग मीठा काजू चिक्की</t>
  </si>
  <si>
    <t>cashew chikki, sweet cashew chikki</t>
  </si>
  <si>
    <t>Rajbhog Sweets Sesame Chikki</t>
  </si>
  <si>
    <t>రాజ్‌భోగ్ మిఠాయి తిన్నె చిక్కీ</t>
  </si>
  <si>
    <t>राजभोग मीठा तिल चिक्की</t>
  </si>
  <si>
    <t>sesame chikki, sweet sesame chikki</t>
  </si>
  <si>
    <t>Rajgara Flour</t>
  </si>
  <si>
    <t>rajgara-flour</t>
  </si>
  <si>
    <t>Rajmasala Redchilli Sauce</t>
  </si>
  <si>
    <t>rajmasala-redchilli-sauce</t>
  </si>
  <si>
    <t>Rama Chuna 100 Gms</t>
  </si>
  <si>
    <t>rama-chuna-100-gms</t>
  </si>
  <si>
    <t>Rambutan</t>
  </si>
  <si>
    <t>rambutan</t>
  </si>
  <si>
    <t>Rangoli 1</t>
  </si>
  <si>
    <t>rangoli-1</t>
  </si>
  <si>
    <t>Rasmali</t>
  </si>
  <si>
    <t>rasmali</t>
  </si>
  <si>
    <t>Rasoi Magic</t>
  </si>
  <si>
    <t>rasoi-magic</t>
  </si>
  <si>
    <t>Rasoi Magic Aloo Paratha Mix</t>
  </si>
  <si>
    <t>rasoi-magic-aloo-paratha-mix</t>
  </si>
  <si>
    <t>Rasoi Magic Amritsari Paneer Tikka</t>
  </si>
  <si>
    <t>rasoi-magic-amritsari-paneer-tikka</t>
  </si>
  <si>
    <t>Rasoi Magic Chana Masala Mix</t>
  </si>
  <si>
    <t>rasoi-magic-chana-masala-mix</t>
  </si>
  <si>
    <t>Rasoi Magic Dal Makhani Mix</t>
  </si>
  <si>
    <t>rasoi-magic-dal-makhani-mix</t>
  </si>
  <si>
    <t>Rasoi Magic Dum Aloo</t>
  </si>
  <si>
    <t>rasoi-magic-dum-aloo</t>
  </si>
  <si>
    <t>Rasoi Magic Dum Alu Mix</t>
  </si>
  <si>
    <t>rasoi-magic-dum-alu-mix</t>
  </si>
  <si>
    <t>Rasoi Magic Jain Methi Mutter</t>
  </si>
  <si>
    <t>rasoi-magic-jain-methi-mutter</t>
  </si>
  <si>
    <t>Rasoi Magic Jain Palak Paneer</t>
  </si>
  <si>
    <t>rasoi-magic-jain-palak-paneer</t>
  </si>
  <si>
    <t>Rasoi Magic Jain Paneer Butter Masa</t>
  </si>
  <si>
    <t>rasoi-magic-jain-paneer-butter-masa</t>
  </si>
  <si>
    <t>Rasoi Magic Jain Panner Mkh</t>
  </si>
  <si>
    <t>rasoi-magic-jain-panner-mkh</t>
  </si>
  <si>
    <t>Rasoi Magic Jain Pav Bhaji</t>
  </si>
  <si>
    <t>rasoi-magic-jain-pav-bhaji</t>
  </si>
  <si>
    <t>Rasoi Magic Jain Sambar</t>
  </si>
  <si>
    <t>rasoi-magic-jain-sambar</t>
  </si>
  <si>
    <t>Rasoi Magic Jain Veg Jalferzi</t>
  </si>
  <si>
    <t>rasoi-magic-jain-veg-jalferzi</t>
  </si>
  <si>
    <t>Rasoi Magic Jain Veg Kadhai</t>
  </si>
  <si>
    <t>rasoi-magic-jain-veg-kadhai</t>
  </si>
  <si>
    <t>Rasoi Magic Malai Kofta Mix</t>
  </si>
  <si>
    <t>rasoi-magic-malai-kofta-mix</t>
  </si>
  <si>
    <t>Rasoi Magic Methi Mutter Malai</t>
  </si>
  <si>
    <t>rasoi-magic-methi-mutter-malai</t>
  </si>
  <si>
    <t>Rasoi Magic Missal Rassa Mix</t>
  </si>
  <si>
    <t>rasoi-magic-missal-rassa-mix</t>
  </si>
  <si>
    <t>Rasoi Magic Paneer Achari</t>
  </si>
  <si>
    <t>rasoi-magic-paneer-achari</t>
  </si>
  <si>
    <t>Rasoi Magic Paneer Butter Mix</t>
  </si>
  <si>
    <t>Shan Chilli Pickle</t>
  </si>
  <si>
    <t>green chilli pickle|chili|mirchi</t>
  </si>
  <si>
    <t>rasoi-magic-paneer-butter-mix</t>
  </si>
  <si>
    <t>Rasoi Magic Paneer Chilli Milli</t>
  </si>
  <si>
    <t>rasoi-magic-paneer-chilli-milli</t>
  </si>
  <si>
    <t>Rasoi Magic Paneer Deewani Handi</t>
  </si>
  <si>
    <t>rasoi-magic-paneer-deewani-handi</t>
  </si>
  <si>
    <t>Rasoi Magic Paneer Makhanwala</t>
  </si>
  <si>
    <t>rasoi-magic-paneer-makhanwala</t>
  </si>
  <si>
    <t>Rasoi Magic Paneer Tawa Mix</t>
  </si>
  <si>
    <t>rasoi-magic-paneer-tawa-mix</t>
  </si>
  <si>
    <t>Rasoi Magic Paneer Tika Mix</t>
  </si>
  <si>
    <t>rasoi-magic-paneer-tika-mix</t>
  </si>
  <si>
    <t>Rasoi Magic Pav Bhaji Mix</t>
  </si>
  <si>
    <t>rasoi-magic-pav-bhaji-mix</t>
  </si>
  <si>
    <t>Rasoi Magic Sambar Mix</t>
  </si>
  <si>
    <t>rasoi-magic-sambar-mix</t>
  </si>
  <si>
    <t>Rasoi Magic Sambhar</t>
  </si>
  <si>
    <t>rasoi-magic-sambhar</t>
  </si>
  <si>
    <t>Rasoi Magic Shahi Paneer Mix</t>
  </si>
  <si>
    <t>rasoi-magic-shahi-paneer-mix</t>
  </si>
  <si>
    <t>Rasoi Magic Sweet Corn Veg Soup Mix</t>
  </si>
  <si>
    <t>rasoi-magic-sweet-corn-veg-soup-mix</t>
  </si>
  <si>
    <t>Rasoi Magic Sweet N Sour Soup Mix</t>
  </si>
  <si>
    <t>rasoi-magic-sweet-n-sour-soup-mix</t>
  </si>
  <si>
    <t>Rasoi Magic Tomato Soup</t>
  </si>
  <si>
    <t>rasoi-magic-tomato-soup</t>
  </si>
  <si>
    <t>Rasoi Magic Veg Biryani</t>
  </si>
  <si>
    <t>rasoi-magic-veg-biryani</t>
  </si>
  <si>
    <t>Rasoi Magic Veg Jalfrezi Mix</t>
  </si>
  <si>
    <t>rasoi-magic-veg-jalfrezi-mix</t>
  </si>
  <si>
    <t>Rasoi Magic Veg Kolhapuri</t>
  </si>
  <si>
    <t>rasoi-magic-veg-kolhapuri</t>
  </si>
  <si>
    <t>Rasoi Magic Veg Kolhapuri Mix</t>
  </si>
  <si>
    <t>rasoi-magic-veg-kolhapuri-mix</t>
  </si>
  <si>
    <t>Ratlami Mix</t>
  </si>
  <si>
    <t>ratlami-mix</t>
  </si>
  <si>
    <t>Ratlami Sev</t>
  </si>
  <si>
    <t>ratlami-sev</t>
  </si>
  <si>
    <t>Rava Fine</t>
  </si>
  <si>
    <t>rava-fine</t>
  </si>
  <si>
    <t>Real Alphonso</t>
  </si>
  <si>
    <t>real-alphonso</t>
  </si>
  <si>
    <t>Real Green Mango</t>
  </si>
  <si>
    <t>real-green-mango</t>
  </si>
  <si>
    <t>Real Rusk</t>
  </si>
  <si>
    <t>real-rusk</t>
  </si>
  <si>
    <t>Red Bull</t>
  </si>
  <si>
    <t>red-bull</t>
  </si>
  <si>
    <t>Red Chori</t>
  </si>
  <si>
    <t>రెడ్ చోరీ</t>
  </si>
  <si>
    <t>रेड चोरी</t>
  </si>
  <si>
    <t>['chori', 'chickpea']</t>
  </si>
  <si>
    <t>Red Kidney Beans</t>
  </si>
  <si>
    <t>red-kidney-beans</t>
  </si>
  <si>
    <t>Red Label</t>
  </si>
  <si>
    <t>రెడ్ లేబుల్</t>
  </si>
  <si>
    <t>रेड लेबल</t>
  </si>
  <si>
    <t>['red', 'label']</t>
  </si>
  <si>
    <t>Red Label 1</t>
  </si>
  <si>
    <t>red-label-1</t>
  </si>
  <si>
    <t>Red Label Masala 400 G</t>
  </si>
  <si>
    <t>red-label-masala-400-g</t>
  </si>
  <si>
    <t>Red Label Natural Care</t>
  </si>
  <si>
    <t>red-label-natural-care</t>
  </si>
  <si>
    <t>Red Label Tea</t>
  </si>
  <si>
    <t>red-label-tea</t>
  </si>
  <si>
    <t>Red Lable</t>
  </si>
  <si>
    <t>red-lable</t>
  </si>
  <si>
    <t>Red Onion 10 Lb</t>
  </si>
  <si>
    <t>red-onion-10-lb</t>
  </si>
  <si>
    <t>Red Onion 2 Lb</t>
  </si>
  <si>
    <t>red-onion-2-lb</t>
  </si>
  <si>
    <t>Red Potato 1</t>
  </si>
  <si>
    <t>red-potato-1</t>
  </si>
  <si>
    <t>Reduced Fat</t>
  </si>
  <si>
    <t>reduced-fat</t>
  </si>
  <si>
    <t>Biyyam</t>
  </si>
  <si>
    <t>Chawal</t>
  </si>
  <si>
    <t>rice|biyyam|chawal</t>
  </si>
  <si>
    <t>rice|chawal|biyyam</t>
  </si>
  <si>
    <t>Rice / Basmati</t>
  </si>
  <si>
    <t>Biyyam (బియ్యం)</t>
  </si>
  <si>
    <t>Chawal (चावल)</t>
  </si>
  <si>
    <t>rice|basmati|chawal|biyyam</t>
  </si>
  <si>
    <t>Rice Flour</t>
  </si>
  <si>
    <t>rice-flour</t>
  </si>
  <si>
    <t>Rice Noodles</t>
  </si>
  <si>
    <t>rice-noodles</t>
  </si>
  <si>
    <t>Rice Puttu</t>
  </si>
  <si>
    <t>rice-puttu</t>
  </si>
  <si>
    <t>Rice Roti</t>
  </si>
  <si>
    <t>rice-roti</t>
  </si>
  <si>
    <t>Roasted Chana 1</t>
  </si>
  <si>
    <t>roasted-chana-1</t>
  </si>
  <si>
    <t>Roasted Chenna With Haldi</t>
  </si>
  <si>
    <t>roasted-chenna-with-haldi</t>
  </si>
  <si>
    <t>Roasted Peanuts 1</t>
  </si>
  <si>
    <t>roasted-peanuts-1</t>
  </si>
  <si>
    <t>Roasted Poha</t>
  </si>
  <si>
    <t>roasted-poha</t>
  </si>
  <si>
    <t>Roasted Poha Chevda</t>
  </si>
  <si>
    <t>roasted-poha-chevda</t>
  </si>
  <si>
    <t>Roghani Naan</t>
  </si>
  <si>
    <t>Roghani Naan (రోఘణి నాన్)</t>
  </si>
  <si>
    <t>Roghani Naan (रोगनी नान)</t>
  </si>
  <si>
    <t>roghani|naan|roti|bread</t>
  </si>
  <si>
    <t>Roghni Naan</t>
  </si>
  <si>
    <t>roghni-naan</t>
  </si>
  <si>
    <t>Roll Banana</t>
  </si>
  <si>
    <t>roll-banana</t>
  </si>
  <si>
    <t>Rooh Afza</t>
  </si>
  <si>
    <t>rooh-afza</t>
  </si>
  <si>
    <t>Roohafza</t>
  </si>
  <si>
    <t>roohafza</t>
  </si>
  <si>
    <t>Roohafza Go</t>
  </si>
  <si>
    <t>roohafza-go</t>
  </si>
  <si>
    <t>Shan Mango Pickle</t>
  </si>
  <si>
    <t>tomato pickle|pickle chilli|ginger pickle|green chilli pickle|garlic pickle</t>
  </si>
  <si>
    <t>Shan Lemon Pickle</t>
  </si>
  <si>
    <t>tomato pickle|ginger pickle|garlic pickle|pickle chilli</t>
  </si>
  <si>
    <t>Haldiram's Minute Khana Upma</t>
  </si>
  <si>
    <t>Rack 67</t>
  </si>
  <si>
    <t>Haldiram's Minute Khana Poha</t>
  </si>
  <si>
    <t>Haldiram's Minute Khana Dal Chawal</t>
  </si>
  <si>
    <t>Haldiram's Poha Sev</t>
  </si>
  <si>
    <t>crunchy sev</t>
  </si>
  <si>
    <t>Ching's Secret Red Chilli Sauce</t>
  </si>
  <si>
    <t>Rack 68</t>
  </si>
  <si>
    <t>Ching's Secret Chilli Vinegar</t>
  </si>
  <si>
    <t>Swad Telugu Karela Pickle</t>
  </si>
  <si>
    <t>adukura pacchadi</t>
  </si>
  <si>
    <t>Rack 69</t>
  </si>
  <si>
    <t>Swad Telugu Pickle</t>
  </si>
  <si>
    <t>adukura pacchadi|velulli pacchadi</t>
  </si>
  <si>
    <t>Shan Garlic Pickle</t>
  </si>
  <si>
    <t>velulli pacchadi|adukura pacchadi</t>
  </si>
  <si>
    <t>Rack 70</t>
  </si>
  <si>
    <t>Shan Hyderabadi Pickle</t>
  </si>
  <si>
    <t>velulli pacchadi</t>
  </si>
  <si>
    <t>Aara Moong Dal</t>
  </si>
  <si>
    <t>Rosai Magic</t>
  </si>
  <si>
    <t>Swad Ganthoda Powder</t>
  </si>
  <si>
    <t>rosai-magic</t>
  </si>
  <si>
    <t>Rose</t>
  </si>
  <si>
    <t>రోజ్</t>
  </si>
  <si>
    <t>रोज़</t>
  </si>
  <si>
    <t>['rose', 'gulab']</t>
  </si>
  <si>
    <t>Rose Essence</t>
  </si>
  <si>
    <t>rose-essence</t>
  </si>
  <si>
    <t>Rosem 2</t>
  </si>
  <si>
    <t>rosem-2</t>
  </si>
  <si>
    <t>Roshni Extra Long Basmati Rice 10 Lb</t>
  </si>
  <si>
    <t>roshni-extra-long-basmati-rice-10-lb</t>
  </si>
  <si>
    <t>Roshni Shakhar</t>
  </si>
  <si>
    <t>roshni-shakhar</t>
  </si>
  <si>
    <t>Roshni White Chick Peas</t>
  </si>
  <si>
    <t>రోషిని వైట్ చిక్ పీస్</t>
  </si>
  <si>
    <t>रोशनी व्हाइट चिक पीस</t>
  </si>
  <si>
    <t>['Roshni', 'White Chick Peas']</t>
  </si>
  <si>
    <t>Rosted Peanuts</t>
  </si>
  <si>
    <t>rosted-peanuts</t>
  </si>
  <si>
    <t>Rosted Short</t>
  </si>
  <si>
    <t>rosted-short</t>
  </si>
  <si>
    <t>Roti</t>
  </si>
  <si>
    <t>roti</t>
  </si>
  <si>
    <t>Roti Sujata</t>
  </si>
  <si>
    <t>roti-sujata</t>
  </si>
  <si>
    <t>Royal Chefs Secret Sela Basmati</t>
  </si>
  <si>
    <t>royal-chefs-secret-sela-basmati</t>
  </si>
  <si>
    <t>Rubicon Guava Drink</t>
  </si>
  <si>
    <t>rubicon-guava-drink</t>
  </si>
  <si>
    <t>Rubicon Lychee Drink</t>
  </si>
  <si>
    <t>rubicon-lychee-drink</t>
  </si>
  <si>
    <t>Rubicon Mango Drink</t>
  </si>
  <si>
    <t>rubicon-mango-drink</t>
  </si>
  <si>
    <t>Rubicon Passion Fruit Drink</t>
  </si>
  <si>
    <t>rubicon-passion-fruit-drink</t>
  </si>
  <si>
    <t>Rubicon Pomegranate Juice</t>
  </si>
  <si>
    <t>rubicon-pomegranate-juice</t>
  </si>
  <si>
    <t>Rusk</t>
  </si>
  <si>
    <t>rusk</t>
  </si>
  <si>
    <t>Sabji Masala</t>
  </si>
  <si>
    <t>sabji-masala</t>
  </si>
  <si>
    <t>Sabudana Far Far</t>
  </si>
  <si>
    <t>sabudana-far-far</t>
  </si>
  <si>
    <t>Sabudana Kichidi</t>
  </si>
  <si>
    <t>sabudana-kichidi</t>
  </si>
  <si>
    <t>Sabudana Tikki</t>
  </si>
  <si>
    <t>sabudana-tikki</t>
  </si>
  <si>
    <t>Sabudanna</t>
  </si>
  <si>
    <t>sabudanna</t>
  </si>
  <si>
    <t>Saffola Gold</t>
  </si>
  <si>
    <t>saffola-gold</t>
  </si>
  <si>
    <t>Saffola Masala Oats</t>
  </si>
  <si>
    <t>saffola-masala-oats</t>
  </si>
  <si>
    <t>Saffola Masala Oats Peppy Tomato 482 Gms</t>
  </si>
  <si>
    <t>saffola-masala-oats-peppy-tomato-482-gms</t>
  </si>
  <si>
    <t>Saffola Masala Oats Veggie Twist 482 Gms</t>
  </si>
  <si>
    <t>saffola-masala-oats-veggie-twist-482-gms</t>
  </si>
  <si>
    <t>Saffola Oats</t>
  </si>
  <si>
    <t>saffola-oats</t>
  </si>
  <si>
    <t>Saffola Oats Plain</t>
  </si>
  <si>
    <t>saffola-oats-plain</t>
  </si>
  <si>
    <t>Saffron Essence</t>
  </si>
  <si>
    <t>saffron-essence</t>
  </si>
  <si>
    <t>Safron</t>
  </si>
  <si>
    <t>safron</t>
  </si>
  <si>
    <t>Sagar Pond</t>
  </si>
  <si>
    <t>sagar-pond</t>
  </si>
  <si>
    <t>Sakthi Bajji Bonda Powder</t>
  </si>
  <si>
    <t>sakthi-bajji-bonda-powder</t>
  </si>
  <si>
    <t>Sakthi Chicken Curry Masala</t>
  </si>
  <si>
    <t>sakthi-chicken-curry-masala</t>
  </si>
  <si>
    <t>Sakthi Chicken Masala</t>
  </si>
  <si>
    <t>sakthi-chicken-masala</t>
  </si>
  <si>
    <t>Sakthi Chilli Chicken 65 Masala</t>
  </si>
  <si>
    <t>sakthi-chilli-chicken-65-masala</t>
  </si>
  <si>
    <t>Sakthi Chilli Powder</t>
  </si>
  <si>
    <t>sakthi-chilli-powder</t>
  </si>
  <si>
    <t>Sakthi Curry Leaf Powder</t>
  </si>
  <si>
    <t>sakthi-curry-leaf-powder</t>
  </si>
  <si>
    <t>Sakthi Dal Powder Masala</t>
  </si>
  <si>
    <t>sakthi-dal-powder-masala</t>
  </si>
  <si>
    <t>Sakthi Fish Curry Masala</t>
  </si>
  <si>
    <t>Deep Vermicelli Upma</t>
  </si>
  <si>
    <t>Deep Khatta Mitha Poha Sev</t>
  </si>
  <si>
    <t>Deep Poha Sev</t>
  </si>
  <si>
    <t>Deep Express Meals Upma</t>
  </si>
  <si>
    <t>Ching's Secret Schezwan Chutney</t>
  </si>
  <si>
    <t>Rack 75</t>
  </si>
  <si>
    <t>Deep Red Chilli Sauce</t>
  </si>
  <si>
    <t>Swad Garlic Pickle</t>
  </si>
  <si>
    <t>sakthi-fish-curry-masala</t>
  </si>
  <si>
    <t>velulli pacchadi|lahsun|vellulli</t>
  </si>
  <si>
    <t>Rack 76</t>
  </si>
  <si>
    <t>Swetha Telugu Dondakaya Pickle</t>
  </si>
  <si>
    <t>Sakthi Garlic Rice Powder</t>
  </si>
  <si>
    <t>tomato pickle|pickle chilli|ginger pickle|adukura pacchadi|green chilli pickle|garlic pickle|velulli pacchadi</t>
  </si>
  <si>
    <t>Swetha Telugu Karela Pickle</t>
  </si>
  <si>
    <t>sakthi-garlic-rice-powder</t>
  </si>
  <si>
    <t>Sakthi Lemon Rice Powder</t>
  </si>
  <si>
    <t>Edible Camphor</t>
  </si>
  <si>
    <t>sakthi-lemon-rice-powder</t>
  </si>
  <si>
    <t>Sakthi Pav Bhaji Masala</t>
  </si>
  <si>
    <t>sakthi-pav-bhaji-masala</t>
  </si>
  <si>
    <t>Sakthi Rasam Powder</t>
  </si>
  <si>
    <t>sakthi-rasam-powder</t>
  </si>
  <si>
    <t>Sakthi Tamrind Rice Powder</t>
  </si>
  <si>
    <t>sakthi-tamrind-rice-powder</t>
  </si>
  <si>
    <t>Sakthi Tandoori Chicken Masala</t>
  </si>
  <si>
    <t>sakthi-tandoori-chicken-masala</t>
  </si>
  <si>
    <t>Salt</t>
  </si>
  <si>
    <t>salt</t>
  </si>
  <si>
    <t>Salt Biscuits</t>
  </si>
  <si>
    <t>salt-biscuits</t>
  </si>
  <si>
    <t>Salwa Chicken Nuggets</t>
  </si>
  <si>
    <t>salwa-chicken-nuggets</t>
  </si>
  <si>
    <t>Salwa Chicken Patties</t>
  </si>
  <si>
    <t>salwa-chicken-patties</t>
  </si>
  <si>
    <t>Samba Wheat Rava</t>
  </si>
  <si>
    <t>samba-wheat-rava</t>
  </si>
  <si>
    <t>Sambar Mix</t>
  </si>
  <si>
    <t>sambar-mix</t>
  </si>
  <si>
    <t>Sambar Rasoi Magic</t>
  </si>
  <si>
    <t>sambar-rasoi-magic</t>
  </si>
  <si>
    <t>Samber</t>
  </si>
  <si>
    <t>samber</t>
  </si>
  <si>
    <t>Samber Mix</t>
  </si>
  <si>
    <t>samber-mix</t>
  </si>
  <si>
    <t>Sambhar Idli</t>
  </si>
  <si>
    <t>sambhar-idli</t>
  </si>
  <si>
    <t>Samo Powder</t>
  </si>
  <si>
    <t>samo-powder</t>
  </si>
  <si>
    <t>Samo Seeds</t>
  </si>
  <si>
    <t>samo-seeds</t>
  </si>
  <si>
    <t>Samosa</t>
  </si>
  <si>
    <t>samosa</t>
  </si>
  <si>
    <t>Samosa Chutney National</t>
  </si>
  <si>
    <t>samosa-chutney-national</t>
  </si>
  <si>
    <t>Sandal Premium Dhoop Cones</t>
  </si>
  <si>
    <t>sandal-premium-dhoop-cones</t>
  </si>
  <si>
    <t>Sandwich Bhakarwadi</t>
  </si>
  <si>
    <t>sandwich-bhakarwadi</t>
  </si>
  <si>
    <t>Sanitizer</t>
  </si>
  <si>
    <t>sanitizer</t>
  </si>
  <si>
    <t>Santry Candy</t>
  </si>
  <si>
    <t>santry-candy</t>
  </si>
  <si>
    <t>Saras Biryani Gravy</t>
  </si>
  <si>
    <t>saras-biryani-gravy</t>
  </si>
  <si>
    <t>Saras Coconut Varuthara Curry</t>
  </si>
  <si>
    <t>saras-coconut-varuthara-curry</t>
  </si>
  <si>
    <t>Sarkara Chips</t>
  </si>
  <si>
    <t>sarkara-chips</t>
  </si>
  <si>
    <t>Schezwan Samosa</t>
  </si>
  <si>
    <t>schezwan-samosa</t>
  </si>
  <si>
    <t>Scrubbling Bubbles</t>
  </si>
  <si>
    <t>scrubbling-bubbles</t>
  </si>
  <si>
    <t>Sctch Brite</t>
  </si>
  <si>
    <t>sctch-brite</t>
  </si>
  <si>
    <t>Select Ashirwad</t>
  </si>
  <si>
    <t>select-ashirwad</t>
  </si>
  <si>
    <t>Sella Basmati Rice 10 Lb</t>
  </si>
  <si>
    <t>sella-basmati-rice-10-lb</t>
  </si>
  <si>
    <t>Sella Paraboiled Basmati Rice 10 Lb</t>
  </si>
  <si>
    <t>sella-paraboiled-basmati-rice-10-lb</t>
  </si>
  <si>
    <t>Semoline</t>
  </si>
  <si>
    <t>semoline</t>
  </si>
  <si>
    <t>Sesame Chikki</t>
  </si>
  <si>
    <t>sesame-chikki</t>
  </si>
  <si>
    <t>Sesame Oil</t>
  </si>
  <si>
    <t>sesame-oil</t>
  </si>
  <si>
    <t>Sesame Oil 5 Ltr</t>
  </si>
  <si>
    <t>sesame-oil-5-ltr</t>
  </si>
  <si>
    <t>Sesame Seeds</t>
  </si>
  <si>
    <t>sesame-seeds</t>
  </si>
  <si>
    <t>Seseme Laddu</t>
  </si>
  <si>
    <t>seseme-laddu</t>
  </si>
  <si>
    <t>Seseme Oil</t>
  </si>
  <si>
    <t>seseme-oil</t>
  </si>
  <si>
    <t>Shahi Khadi</t>
  </si>
  <si>
    <t>shahi-khadi</t>
  </si>
  <si>
    <t>Shahi Panner</t>
  </si>
  <si>
    <t>shahi-panner</t>
  </si>
  <si>
    <t>Shahnawaz Chicken Biryani</t>
  </si>
  <si>
    <t>shahnawaz-chicken-biryani</t>
  </si>
  <si>
    <t>Shahnawaz Chicken Chapli Kebab</t>
  </si>
  <si>
    <t>shahnawaz-chicken-chapli-kebab</t>
  </si>
  <si>
    <t>Shahnawaz Chicken Samosa</t>
  </si>
  <si>
    <t>shahnawaz-chicken-samosa</t>
  </si>
  <si>
    <t>Shakthi Curry Powder</t>
  </si>
  <si>
    <t>shakthi-curry-powder</t>
  </si>
  <si>
    <t>Shami Kabab</t>
  </si>
  <si>
    <t>షామీ కబాబ్</t>
  </si>
  <si>
    <t>शामी कबाब</t>
  </si>
  <si>
    <t>['shami kabab', 'షామీ కబాబ్', 'शामी कबाब']</t>
  </si>
  <si>
    <t>Shammi Kababa</t>
  </si>
  <si>
    <t>shammi-kababa</t>
  </si>
  <si>
    <t>Shan Achar Gosht Curry Mix</t>
  </si>
  <si>
    <t>shan-achar-gosht-curry-mix</t>
  </si>
  <si>
    <t>Shan Badam Kheer Mix</t>
  </si>
  <si>
    <t>shan-badam-kheer-mix</t>
  </si>
  <si>
    <t>shan-beef-biryani</t>
  </si>
  <si>
    <t>Shan Bihari Kabab Bbq</t>
  </si>
  <si>
    <t>shan-bihari-kabab-bbq</t>
  </si>
  <si>
    <t>Shan Biryani Basmati Rice 10 Lb</t>
  </si>
  <si>
    <t>shan-biryani-basmati-rice-10-lb</t>
  </si>
  <si>
    <t>Shan Chicken Biryani Mix</t>
  </si>
  <si>
    <t>shan-chicken-biryani-mix</t>
  </si>
  <si>
    <t>Shan Chicken Jalfrezi Mix</t>
  </si>
  <si>
    <t>shan-chicken-jalfrezi-mix</t>
  </si>
  <si>
    <t>Shan Chicken Tikka Bbq Mix</t>
  </si>
  <si>
    <t>shan-chicken-tikka-bbq-mix</t>
  </si>
  <si>
    <t>Shan Chicken White Karahi</t>
  </si>
  <si>
    <t>shan-chicken-white-karahi</t>
  </si>
  <si>
    <t>Shan Chicken White Korma Mix</t>
  </si>
  <si>
    <t>shan-chicken-white-korma-mix</t>
  </si>
  <si>
    <t>shan-chilli-pickle</t>
  </si>
  <si>
    <t>Shan Coriander Powder 200 Gms</t>
  </si>
  <si>
    <t>shan-coriander-powder-200-gms</t>
  </si>
  <si>
    <t>Shan Cumin Powder</t>
  </si>
  <si>
    <t>shan-cumin-powder</t>
  </si>
  <si>
    <t>shan-curry-powder</t>
  </si>
  <si>
    <t>Shan Curry Powder Mix</t>
  </si>
  <si>
    <t>shan-curry-powder-mix</t>
  </si>
  <si>
    <t>Rack 77</t>
  </si>
  <si>
    <t>Shan Dahi Bara Mix</t>
  </si>
  <si>
    <t>Threaded Mishri</t>
  </si>
  <si>
    <t>shan-dahi-bara-mix</t>
  </si>
  <si>
    <t>Shan Dal Makhani 100 Gms</t>
  </si>
  <si>
    <t>shan-dal-makhani-100-gms</t>
  </si>
  <si>
    <t>Shan Dopiaza Mix</t>
  </si>
  <si>
    <t>shan-dopiaza-mix</t>
  </si>
  <si>
    <t>Rock Sugar</t>
  </si>
  <si>
    <t>Shan Easy Cook Haleem Mix</t>
  </si>
  <si>
    <t>shan-easy-cook-haleem-mix</t>
  </si>
  <si>
    <t>chini</t>
  </si>
  <si>
    <t>Shan Fish Seasoning</t>
  </si>
  <si>
    <t>Tukari Powder</t>
  </si>
  <si>
    <t>shan-fish-seasoning</t>
  </si>
  <si>
    <t>Shan Gajar Halwa Mix</t>
  </si>
  <si>
    <t>shan-gajar-halwa-mix</t>
  </si>
  <si>
    <t>Shan Garam Masala</t>
  </si>
  <si>
    <t>Katira Gum</t>
  </si>
  <si>
    <t>shan-garam-masala</t>
  </si>
  <si>
    <t>Shan Gulab Jaman Mix</t>
  </si>
  <si>
    <t>shan-gulab-jaman-mix</t>
  </si>
  <si>
    <t>Shan Hiadrabadi Mix Pickle</t>
  </si>
  <si>
    <t>shan-hiadrabadi-mix-pickle</t>
  </si>
  <si>
    <t>Shan Karachi Beef Biryani</t>
  </si>
  <si>
    <t>shan-karachi-beef-biryani</t>
  </si>
  <si>
    <t>Shan Karahi Fry Gosht</t>
  </si>
  <si>
    <t>shan-karahi-fry-gosht</t>
  </si>
  <si>
    <t>Shan Kernel Basmati Rice</t>
  </si>
  <si>
    <t>shan-kernel-basmati-rice</t>
  </si>
  <si>
    <t>Shan Kitchen King Masala</t>
  </si>
  <si>
    <t>shan-kitchen-king-masala</t>
  </si>
  <si>
    <t>Shan Lahori Fish Masala</t>
  </si>
  <si>
    <t>shan-lahori-fish-masala</t>
  </si>
  <si>
    <t>Shan Lauki Halwa Mix</t>
  </si>
  <si>
    <t>షాన్ లౌకీ హల్వా మిక్స్</t>
  </si>
  <si>
    <t>शान लौकी हलवा मिक्स</t>
  </si>
  <si>
    <t>['shan lauki halwa mix', 'bottle gourd halwa', 'lauki halwa']</t>
  </si>
  <si>
    <t>shan-lemon-pickle</t>
  </si>
  <si>
    <t>shan-mango-pickle</t>
  </si>
  <si>
    <t>Shan Matka Gosht Curry</t>
  </si>
  <si>
    <t>shan-matka-gosht-curry</t>
  </si>
  <si>
    <t>Shan Meat And Veg Masala</t>
  </si>
  <si>
    <t>shan-meat-and-veg-masala</t>
  </si>
  <si>
    <t>shan-meat-tenderizer</t>
  </si>
  <si>
    <t>Shan Mixed Pickle</t>
  </si>
  <si>
    <t>shan-mixed-pickle</t>
  </si>
  <si>
    <t>Shan Mixed Shan Mixed Pickle</t>
  </si>
  <si>
    <t>shan-mixed-shan-mixed-pickle</t>
  </si>
  <si>
    <t>Shan Oriental Chinese Chicken Veg</t>
  </si>
  <si>
    <t>shan-oriental-chinese-chicken-veg</t>
  </si>
  <si>
    <t>Shan Oriental Chinese Chowmein Mix</t>
  </si>
  <si>
    <t>shan-oriental-chinese-chowmein-mix</t>
  </si>
  <si>
    <t>Shan Oriental Filipino Beef Steak</t>
  </si>
  <si>
    <t>shan-oriental-filipino-beef-steak</t>
  </si>
  <si>
    <t>shan-pani-puri-masala</t>
  </si>
  <si>
    <t>Shan Pav Bhaji Masala</t>
  </si>
  <si>
    <t>shan-pav-bhaji-masala</t>
  </si>
  <si>
    <t>Shan Paya Curry</t>
  </si>
  <si>
    <t>shan-paya-curry</t>
  </si>
  <si>
    <t>Shan Pilau Biryani Mix</t>
  </si>
  <si>
    <t>shan-pilau-biryani-mix</t>
  </si>
  <si>
    <t>Shan Punjabi Mix Pickle 1 Kg</t>
  </si>
  <si>
    <t>shan-punjabi-mix-pickle-1-kg</t>
  </si>
  <si>
    <t>Shan Punjabi Yakhni Pilau Mix</t>
  </si>
  <si>
    <t>shan-punjabi-yakhni-pilau-mix</t>
  </si>
  <si>
    <t>Shan Red Chilli Powder</t>
  </si>
  <si>
    <t>shan-red-chilli-powder</t>
  </si>
  <si>
    <t>Shan Roast Masala</t>
  </si>
  <si>
    <t>shan-roast-masala</t>
  </si>
  <si>
    <t>Shan Rogan Josh Curry</t>
  </si>
  <si>
    <t>shan-rogan-josh-curry</t>
  </si>
  <si>
    <t>Shan Tandoori Chicken Bbq</t>
  </si>
  <si>
    <t>shan-tandoori-chicken-bbq</t>
  </si>
  <si>
    <t>Shan Tikka Boti Bbq Mix</t>
  </si>
  <si>
    <t>shan-tikka-boti-bbq-mix</t>
  </si>
  <si>
    <t>Shan Veg Curry Masala</t>
  </si>
  <si>
    <t>shan-veg-curry-masala</t>
  </si>
  <si>
    <t>Shan Vegetable Biryani 45 Gms</t>
  </si>
  <si>
    <t>shan-vegetable-biryani-45-gms</t>
  </si>
  <si>
    <t>Sharbati Chappati Flour 24 Lbs</t>
  </si>
  <si>
    <t>sharbati-chappati-flour-24-lbs</t>
  </si>
  <si>
    <t>Shatavari</t>
  </si>
  <si>
    <t>shatavari</t>
  </si>
  <si>
    <t>Shev Bhaji</t>
  </si>
  <si>
    <t>shev-bhaji</t>
  </si>
  <si>
    <t>Shezan Mango Juice</t>
  </si>
  <si>
    <t>shezan-mango-juice</t>
  </si>
  <si>
    <t>Shilpa</t>
  </si>
  <si>
    <t>shilpa</t>
  </si>
  <si>
    <t>Ganthoda Powder</t>
  </si>
  <si>
    <t>Shre Fancy Clay Diya Wax 6 Pcs</t>
  </si>
  <si>
    <t>shre-fancy-clay-diya-wax-6-pcs</t>
  </si>
  <si>
    <t>Shri Lal Mahal Empire Basmati Rice 10 Lb</t>
  </si>
  <si>
    <t>shri-lal-mahal-empire-basmati-rice-10-lb</t>
  </si>
  <si>
    <t>Shrikhand</t>
  </si>
  <si>
    <t>Aara Edible Gum</t>
  </si>
  <si>
    <t>Deep Instant Mix Rava Idli</t>
  </si>
  <si>
    <t>Rack 73</t>
  </si>
  <si>
    <t>Chitale Foods Gulab Jamun</t>
  </si>
  <si>
    <t>Habanero Sauce</t>
  </si>
  <si>
    <t>Rack 74</t>
  </si>
  <si>
    <t>Priya Coriander Pickle</t>
  </si>
  <si>
    <t>Deep Achaar Chundo Pickle</t>
  </si>
  <si>
    <t>shrikhand</t>
  </si>
  <si>
    <t>Siddhi Dabeli Masala</t>
  </si>
  <si>
    <t>siddhi-dabeli-masala</t>
  </si>
  <si>
    <t>Sifter</t>
  </si>
  <si>
    <t>sifter</t>
  </si>
  <si>
    <t>Simco</t>
  </si>
  <si>
    <t>simco</t>
  </si>
  <si>
    <t>Sing Bhujiya</t>
  </si>
  <si>
    <t>sing-bhujiya</t>
  </si>
  <si>
    <t>Slivered Almonds</t>
  </si>
  <si>
    <t>slivered-almonds</t>
  </si>
  <si>
    <t>Small Eggplant</t>
  </si>
  <si>
    <t>small-eggplant</t>
  </si>
  <si>
    <t>Small Green Chilli</t>
  </si>
  <si>
    <t>small-green-chilli</t>
  </si>
  <si>
    <t>Snacks 1</t>
  </si>
  <si>
    <t>snacks-1</t>
  </si>
  <si>
    <t>Snaps</t>
  </si>
  <si>
    <t>snaps</t>
  </si>
  <si>
    <t>Soframycin</t>
  </si>
  <si>
    <t>soframycin</t>
  </si>
  <si>
    <t>Soji Shira</t>
  </si>
  <si>
    <t>soji-shira</t>
  </si>
  <si>
    <t>Sona Masoori Rice 10 Lb</t>
  </si>
  <si>
    <t>sona-masoori-rice-10-lb</t>
  </si>
  <si>
    <t>Sona Masoori Rice 40 Lb</t>
  </si>
  <si>
    <t>sona-masoori-rice-40-lb</t>
  </si>
  <si>
    <t>Sonamasoori Handpound Rice</t>
  </si>
  <si>
    <t>sonamasoori-handpound-rice</t>
  </si>
  <si>
    <t>Sooji</t>
  </si>
  <si>
    <t>sooji</t>
  </si>
  <si>
    <t>Sooji 7lb</t>
  </si>
  <si>
    <t>sooji-7lb</t>
  </si>
  <si>
    <t>Sooji Roasted</t>
  </si>
  <si>
    <t>sooji-roasted</t>
  </si>
  <si>
    <t>South Indian Jaggey Luxmi</t>
  </si>
  <si>
    <t>south-indian-jaggey-luxmi</t>
  </si>
  <si>
    <t>Southern Delight Garlic Thattai 5 99oz</t>
  </si>
  <si>
    <t>southern-delight-garlic-thattai-5-99oz</t>
  </si>
  <si>
    <t>Southern Delight Murugan Sp Pepper Thattai 200g</t>
  </si>
  <si>
    <t>southern-delight-murugan-sp-pepper-thattai-200g</t>
  </si>
  <si>
    <t>Southern Delight Red Chilly Thattai 170g</t>
  </si>
  <si>
    <t>southern-delight-red-chilly-thattai-170g</t>
  </si>
  <si>
    <t>Soya Chap</t>
  </si>
  <si>
    <t>soya-chap</t>
  </si>
  <si>
    <t>Spicy Boondi</t>
  </si>
  <si>
    <t>వేడిగా బూండి</t>
  </si>
  <si>
    <t>वेजी बूंदी</t>
  </si>
  <si>
    <t>['spicy boondi', 'veg boondi', 'bundi']</t>
  </si>
  <si>
    <t>Spinach</t>
  </si>
  <si>
    <t>spinach</t>
  </si>
  <si>
    <t>Spinach Samosa</t>
  </si>
  <si>
    <t>spinach-samosa</t>
  </si>
  <si>
    <t>Spinach Vada</t>
  </si>
  <si>
    <t>spinach-vada</t>
  </si>
  <si>
    <t>Split Chickpeas</t>
  </si>
  <si>
    <t>చనా చోర</t>
  </si>
  <si>
    <t>चना चोर</t>
  </si>
  <si>
    <t>['chickpeas', 'split chickpeas', 'chana chor']</t>
  </si>
  <si>
    <t>చనా దాల్</t>
  </si>
  <si>
    <t>चना दाल</t>
  </si>
  <si>
    <t>['chickpeas', 'split chickpeas', 'chana dal']</t>
  </si>
  <si>
    <t>చనా దాలియా</t>
  </si>
  <si>
    <t>चना दालिया</t>
  </si>
  <si>
    <t>['chickpeas', 'split chickpeas', 'chana dalia']</t>
  </si>
  <si>
    <t>Sprout Maker 3 Tire</t>
  </si>
  <si>
    <t>sprout-maker-3-tire</t>
  </si>
  <si>
    <t>Spyce Hot Salsa</t>
  </si>
  <si>
    <t>spyce-hot-salsa</t>
  </si>
  <si>
    <t>Stainless Steel Spoon</t>
  </si>
  <si>
    <t>stainless-steel-spoon</t>
  </si>
  <si>
    <t>Stick</t>
  </si>
  <si>
    <t>stick</t>
  </si>
  <si>
    <t>Sticks</t>
  </si>
  <si>
    <t>sticks</t>
  </si>
  <si>
    <t>Strawbeery</t>
  </si>
  <si>
    <t>strawbeery</t>
  </si>
  <si>
    <t>Subz Handi</t>
  </si>
  <si>
    <t>subz-handi</t>
  </si>
  <si>
    <t>Sugar</t>
  </si>
  <si>
    <t>Panchadara</t>
  </si>
  <si>
    <t>Chini</t>
  </si>
  <si>
    <t>sugar|chini|panchadara</t>
  </si>
  <si>
    <t>sugar|panchadara|chini</t>
  </si>
  <si>
    <t>శర్కర</t>
  </si>
  <si>
    <t>चीनी</t>
  </si>
  <si>
    <t>['sugar']</t>
  </si>
  <si>
    <t>Sugar Fennel</t>
  </si>
  <si>
    <t>sugar-fennel</t>
  </si>
  <si>
    <t>Suger Free Digestive</t>
  </si>
  <si>
    <t>suger-free-digestive</t>
  </si>
  <si>
    <t>Suhana Biryani Masala 1</t>
  </si>
  <si>
    <t>suhana-biryani-masala-1</t>
  </si>
  <si>
    <t>Suhana King Masala</t>
  </si>
  <si>
    <t>suhana-king-masala</t>
  </si>
  <si>
    <t>Suhana Meat Masala</t>
  </si>
  <si>
    <t>suhana-meat-masala</t>
  </si>
  <si>
    <t>Suhana Pavbhaji</t>
  </si>
  <si>
    <t>suhana-pavbhaji</t>
  </si>
  <si>
    <t>Sujata Atta With Multigrains Flour</t>
  </si>
  <si>
    <t>sujata-atta-with-multigrains-flour</t>
  </si>
  <si>
    <t>sujata-chakki-atta</t>
  </si>
  <si>
    <t>Sujata Gold Atta Sharbati Whole Wheat 10 Lb</t>
  </si>
  <si>
    <t>sujata-gold-atta-sharbati-whole-wheat-10-lb</t>
  </si>
  <si>
    <t>Sujata Gold Sharbati Whole Wheat Atta 20 Lb</t>
  </si>
  <si>
    <t>sujata-gold-sharbati-whole-wheat-atta-20-lb</t>
  </si>
  <si>
    <t>Sujata Organic Whole Wheat Atta 10 Lb</t>
  </si>
  <si>
    <t>sujata-organic-whole-wheat-atta-10-lb</t>
  </si>
  <si>
    <t>Sujatha Gold Atta</t>
  </si>
  <si>
    <t>sujatha-gold-atta</t>
  </si>
  <si>
    <t>Suji Coarse</t>
  </si>
  <si>
    <t>suji-coarse</t>
  </si>
  <si>
    <t>Suji Rusk</t>
  </si>
  <si>
    <t>suji-rusk</t>
  </si>
  <si>
    <t>Sukhadia Jalebi</t>
  </si>
  <si>
    <t>sukhadia-jalebi</t>
  </si>
  <si>
    <t>Sunflower Oil</t>
  </si>
  <si>
    <t>sunflower-oil</t>
  </si>
  <si>
    <t>Super Shine Sprout Maker</t>
  </si>
  <si>
    <t>super-shine-sprout-maker</t>
  </si>
  <si>
    <t>Super Shyne</t>
  </si>
  <si>
    <t>super-shyne</t>
  </si>
  <si>
    <t>Super Shyne 1 6 Quart</t>
  </si>
  <si>
    <t>super-shyne-1-6-quart</t>
  </si>
  <si>
    <t>Super Shyne Aluminum Pressure Cooker 3 Litre</t>
  </si>
  <si>
    <t>super-shyne-aluminum-pressure-cooker-3-litre</t>
  </si>
  <si>
    <t>Super Shyne Basin Square</t>
  </si>
  <si>
    <t>super-shyne-basin-square</t>
  </si>
  <si>
    <t>Super Shyne Big Bowl</t>
  </si>
  <si>
    <t>super-shyne-big-bowl</t>
  </si>
  <si>
    <t>Super Shyne Bottle Opener</t>
  </si>
  <si>
    <t>super-shyne-bottle-opener</t>
  </si>
  <si>
    <t>Super Shyne Bowl</t>
  </si>
  <si>
    <t>super-shyne-bowl</t>
  </si>
  <si>
    <t>Super Shyne Chef Knife</t>
  </si>
  <si>
    <t>super-shyne-chef-knife</t>
  </si>
  <si>
    <t>Super Shyne Coconut Scraper</t>
  </si>
  <si>
    <t>super-shyne-coconut-scraper</t>
  </si>
  <si>
    <t>Super Shyne Cookware Ninstick Frying Pan</t>
  </si>
  <si>
    <t>super-shyne-cookware-ninstick-frying-pan</t>
  </si>
  <si>
    <t>Super Shyne Idly Stand</t>
  </si>
  <si>
    <t>super-shyne-idly-stand</t>
  </si>
  <si>
    <t>Super Shyne Iron Karahi</t>
  </si>
  <si>
    <t>సూపర్ షైన్ ఇరాన్ కరాహీ</t>
  </si>
  <si>
    <t>सुपर शाइन आयरन कराही</t>
  </si>
  <si>
    <t>['super shyne iron karahi', 'iron karahi', 'non-stick karahi']</t>
  </si>
  <si>
    <t>Super Shyne Non Stick Appam Pan</t>
  </si>
  <si>
    <t>super-shyne-non-stick-appam-pan</t>
  </si>
  <si>
    <t>Super Shyne Non Stick Tava 11inch</t>
  </si>
  <si>
    <t>super-shyne-non-stick-tava-11inch</t>
  </si>
  <si>
    <t>Super Shyne Nut Cracker</t>
  </si>
  <si>
    <t>super-shyne-nut-cracker</t>
  </si>
  <si>
    <t>Super Shyne Sectional Plate</t>
  </si>
  <si>
    <t>super-shyne-sectional-plate</t>
  </si>
  <si>
    <t>Super Shyne Small Service Spoon</t>
  </si>
  <si>
    <t>super-shyne-small-service-spoon</t>
  </si>
  <si>
    <t>Super Shyne Thali 9</t>
  </si>
  <si>
    <t>super-shyne-thali-9</t>
  </si>
  <si>
    <t>Surati Flax Seeds Mukhwas Mouth Freshener 140 Gms</t>
  </si>
  <si>
    <t>surati-flax-seeds-mukhwas-mouth-freshener-140-gms</t>
  </si>
  <si>
    <t>Surti Kolam Rice 10 Lb</t>
  </si>
  <si>
    <t>surti-kolam-rice-10-lb</t>
  </si>
  <si>
    <t>Surti Mumara</t>
  </si>
  <si>
    <t>surti-mumara</t>
  </si>
  <si>
    <t>Suruchi Wheat Flour Sev</t>
  </si>
  <si>
    <t>suruchi-wheat-flour-sev</t>
  </si>
  <si>
    <t>Swad Amchur Pow</t>
  </si>
  <si>
    <t>swad-amchur-pow</t>
  </si>
  <si>
    <t>Swad Andra Mustard Seeds</t>
  </si>
  <si>
    <t>swad-andra-mustard-seeds</t>
  </si>
  <si>
    <t>swad-bay-leaves</t>
  </si>
  <si>
    <t>Swad Bombay Mix</t>
  </si>
  <si>
    <t>swad-bombay-mix</t>
  </si>
  <si>
    <t>Swad Bombay Sandwich Hot</t>
  </si>
  <si>
    <t>swad-bombay-sandwich-hot</t>
  </si>
  <si>
    <t>Swad Chana Dal</t>
  </si>
  <si>
    <t>swad-chana-dal</t>
  </si>
  <si>
    <t>Swad Chappies</t>
  </si>
  <si>
    <t>Deep Achaar Garlic Pickle</t>
  </si>
  <si>
    <t>swad-chappies</t>
  </si>
  <si>
    <t>Swad Chilli Powder</t>
  </si>
  <si>
    <t>స్వాద్ చిల్లి పొడి</t>
  </si>
  <si>
    <t>स्वाद चिली पाउडर</t>
  </si>
  <si>
    <t>['swad chilli powder', 'chilli powder swad']</t>
  </si>
  <si>
    <t>Swad Cinnamon Stick</t>
  </si>
  <si>
    <t>swad-cinnamon-stick</t>
  </si>
  <si>
    <t>Swad Coconut Oil</t>
  </si>
  <si>
    <t>swad-coconut-oil</t>
  </si>
  <si>
    <t>Swad Coriander Chutney</t>
  </si>
  <si>
    <t>swad-coriander-chutney</t>
  </si>
  <si>
    <t>Swad Coriander Cumin Pow</t>
  </si>
  <si>
    <t>swad-coriander-cumin-pow</t>
  </si>
  <si>
    <t>Swad Corn Oil</t>
  </si>
  <si>
    <t>swad-corn-oil</t>
  </si>
  <si>
    <t>Swad Cumin Pow</t>
  </si>
  <si>
    <t>swad-cumin-pow</t>
  </si>
  <si>
    <t>swad-cumin-seeds</t>
  </si>
  <si>
    <t>Swad Delhi Ki Chat</t>
  </si>
  <si>
    <t>swad-delhi-ki-chat</t>
  </si>
  <si>
    <t>Swad Sweet Makhana</t>
  </si>
  <si>
    <t>Zaika Threaded Mishri</t>
  </si>
  <si>
    <t>Raghav Rock Sugar</t>
  </si>
  <si>
    <t>Bhakti Edible Camphor</t>
  </si>
  <si>
    <t>Uttam Khaman Instant Mix</t>
  </si>
  <si>
    <t>Deep Dhokla Instant Mix</t>
  </si>
  <si>
    <t>Deep Khaman Instant Mix</t>
  </si>
  <si>
    <t>rava|snack</t>
  </si>
  <si>
    <t>Deep Rava Idli Instant Mix</t>
  </si>
  <si>
    <t>Swad Dhana Dal</t>
  </si>
  <si>
    <t>rice rava|indian rice</t>
  </si>
  <si>
    <t>Swad Hot &amp; Sweet Chutney</t>
  </si>
  <si>
    <t>swad-dhana-dal</t>
  </si>
  <si>
    <t>Swad Fenugreek Pow</t>
  </si>
  <si>
    <t>narial chutney</t>
  </si>
  <si>
    <t>swad-fenugreek-pow</t>
  </si>
  <si>
    <t>Swad Pani Puri Concentrate</t>
  </si>
  <si>
    <t>Swad Garam Mas</t>
  </si>
  <si>
    <t>swad-garam-mas</t>
  </si>
  <si>
    <t>Swad Garlic Paste</t>
  </si>
  <si>
    <t>swad-garlic-paste</t>
  </si>
  <si>
    <t>Fire Habanero Green Habanero</t>
  </si>
  <si>
    <t>Swad Ginger Garlic Paste</t>
  </si>
  <si>
    <t>swad-ginger-garlic-paste</t>
  </si>
  <si>
    <t>Swad Ginger Paste</t>
  </si>
  <si>
    <t>swad-ginger-paste</t>
  </si>
  <si>
    <t>Swad Ginger Pwd</t>
  </si>
  <si>
    <t>Fire Habanero Spice</t>
  </si>
  <si>
    <t>swad-ginger-pwd</t>
  </si>
  <si>
    <t>Swad Gluten Free Atta</t>
  </si>
  <si>
    <t>swad-gluten-free-atta</t>
  </si>
  <si>
    <t>Swad Green Chana</t>
  </si>
  <si>
    <t>swad-green-chana</t>
  </si>
  <si>
    <t>Swad Horse Gram</t>
  </si>
  <si>
    <t>swad-horse-gram</t>
  </si>
  <si>
    <t>Swad Jaggery Gur</t>
  </si>
  <si>
    <t>swad-jaggery-gur</t>
  </si>
  <si>
    <t>Swad Jumbo Peanut</t>
  </si>
  <si>
    <t>swad-jumbo-peanut</t>
  </si>
  <si>
    <t>Swad Kabuli Chana</t>
  </si>
  <si>
    <t>hot</t>
  </si>
  <si>
    <t>swad-kabuli-chana</t>
  </si>
  <si>
    <t>Huy Fong Chili Garlic Sauce</t>
  </si>
  <si>
    <t>Swad Kala Chana</t>
  </si>
  <si>
    <t>swad-kala-chana</t>
  </si>
  <si>
    <t>Swad Kalongi</t>
  </si>
  <si>
    <t>swad-kalongi</t>
  </si>
  <si>
    <t>spicy</t>
  </si>
  <si>
    <t>Swad Kichdi Mix</t>
  </si>
  <si>
    <t>Schezwan Chutney</t>
  </si>
  <si>
    <t>swad-kichdi-mix</t>
  </si>
  <si>
    <t>Swad Masoor Dal</t>
  </si>
  <si>
    <t>swad-masoor-dal</t>
  </si>
  <si>
    <t>Priya Curry Leaves Powder</t>
  </si>
  <si>
    <t>Swad Masoor Matki</t>
  </si>
  <si>
    <t>swad-masoor-matki</t>
  </si>
  <si>
    <t>Swad Mint Chutney</t>
  </si>
  <si>
    <t>idippam powder</t>
  </si>
  <si>
    <t>swad-mint-chutney</t>
  </si>
  <si>
    <t>Swad Moong Dal</t>
  </si>
  <si>
    <t>Priya Sweet Ginger Pickle</t>
  </si>
  <si>
    <t>swad-moong-dal</t>
  </si>
  <si>
    <t>Swad Multi Dal Mix</t>
  </si>
  <si>
    <t>swad-multi-dal-mix</t>
  </si>
  <si>
    <t>adrak|allam</t>
  </si>
  <si>
    <t>Swad Muth Whole</t>
  </si>
  <si>
    <t>Priya Ginger Pickle</t>
  </si>
  <si>
    <t>swad-muth-whole</t>
  </si>
  <si>
    <t>Swad Navdhan</t>
  </si>
  <si>
    <t>swad-navdhan</t>
  </si>
  <si>
    <t>Swad Nut Meg Pow</t>
  </si>
  <si>
    <t>swad-nut-meg-pow</t>
  </si>
  <si>
    <t>Swad Pani Puri Con</t>
  </si>
  <si>
    <t>swad-pani-puri-con</t>
  </si>
  <si>
    <t>Swad Panipuri Concentrate</t>
  </si>
  <si>
    <t>swad-panipuri-concentrate</t>
  </si>
  <si>
    <t>Swad Panner</t>
  </si>
  <si>
    <t>swad-panner</t>
  </si>
  <si>
    <t>Swad Peanut Oil</t>
  </si>
  <si>
    <t>swad-peanut-oil</t>
  </si>
  <si>
    <t>Swad Pepper Chips</t>
  </si>
  <si>
    <t>swad-pepper-chips</t>
  </si>
  <si>
    <t>Swad Poha</t>
  </si>
  <si>
    <t>swad-poha</t>
  </si>
  <si>
    <t>Swad Poppy Seeds</t>
  </si>
  <si>
    <t>swad-poppy-seeds</t>
  </si>
  <si>
    <t>Swad Poppy Seeds 1</t>
  </si>
  <si>
    <t>swad-poppy-seeds-1</t>
  </si>
  <si>
    <t>Swad Ratanagiri Pulp</t>
  </si>
  <si>
    <t>swad-ratanagiri-pulp</t>
  </si>
  <si>
    <t>Swad Sakar</t>
  </si>
  <si>
    <t>swad-sakar</t>
  </si>
  <si>
    <t>Swad Salt</t>
  </si>
  <si>
    <t>swad-salt</t>
  </si>
  <si>
    <t>Swad Seseme Oil</t>
  </si>
  <si>
    <t>swad-seseme-oil</t>
  </si>
  <si>
    <t>Swad Sona Masrroi</t>
  </si>
  <si>
    <t>swad-sona-masrroi</t>
  </si>
  <si>
    <t>Swad Sooji Coarse</t>
  </si>
  <si>
    <t>swad-sooji-coarse</t>
  </si>
  <si>
    <t>Swad Spice Mix</t>
  </si>
  <si>
    <t>swad-spice-mix</t>
  </si>
  <si>
    <t>Swad Tamarind Chutney</t>
  </si>
  <si>
    <t>swad-tamarind-chutney</t>
  </si>
  <si>
    <t>Swad Toor Dal</t>
  </si>
  <si>
    <t>swad-toor-dal</t>
  </si>
  <si>
    <t>Swad Turmeric Pow</t>
  </si>
  <si>
    <t>swad-turmeric-pow</t>
  </si>
  <si>
    <t>Swad Urad Dal</t>
  </si>
  <si>
    <t>swad-urad-dal</t>
  </si>
  <si>
    <t>Swad Urad Split Dal</t>
  </si>
  <si>
    <t>swad-urad-split-dal</t>
  </si>
  <si>
    <t>Swad Whole Moong</t>
  </si>
  <si>
    <t>swad-whole-moong</t>
  </si>
  <si>
    <t>Swan Ajino Moto</t>
  </si>
  <si>
    <t>swan-ajino-moto</t>
  </si>
  <si>
    <t>Swan Green Raisin</t>
  </si>
  <si>
    <t>swan-green-raisin</t>
  </si>
  <si>
    <t>Swan Mix Nuts</t>
  </si>
  <si>
    <t>swan-mix-nuts</t>
  </si>
  <si>
    <t>Swan Munnaka 7oz</t>
  </si>
  <si>
    <t>swan-munnaka-7oz</t>
  </si>
  <si>
    <t>Swan Raisin Black</t>
  </si>
  <si>
    <t>swan-raisin-black</t>
  </si>
  <si>
    <t>Sweet Chilli</t>
  </si>
  <si>
    <t>sweet-chilli</t>
  </si>
  <si>
    <t>Sweet Corn Soup</t>
  </si>
  <si>
    <t>sweet-corn-soup</t>
  </si>
  <si>
    <t>Sweet Potato</t>
  </si>
  <si>
    <t>sweet-potato</t>
  </si>
  <si>
    <t>Taj Mahal</t>
  </si>
  <si>
    <t>taj-mahal</t>
  </si>
  <si>
    <t>Taj Mahal Tea Bag</t>
  </si>
  <si>
    <t>taj-mahal-tea-bag</t>
  </si>
  <si>
    <t>Taj Mahaltaj Mahal</t>
  </si>
  <si>
    <t>taj-mahaltaj-mahal</t>
  </si>
  <si>
    <t>Tamarind Sauce</t>
  </si>
  <si>
    <t>Swad Allspice Whole</t>
  </si>
  <si>
    <t>tamarind-sauce</t>
  </si>
  <si>
    <t>Tamicom</t>
  </si>
  <si>
    <t>tamicom</t>
  </si>
  <si>
    <t>Tandoor Chef Chicken Curry W Rice</t>
  </si>
  <si>
    <t>tandoor-chef-chicken-curry-w-rice</t>
  </si>
  <si>
    <t>Kheel Patasha</t>
  </si>
  <si>
    <t>Tandoor Chef Chicken Samosa</t>
  </si>
  <si>
    <t>tandoor-chef-chicken-samosa</t>
  </si>
  <si>
    <t>Tandoor Chef Chicken Tikka Masala</t>
  </si>
  <si>
    <t>tandoor-chef-chicken-tikka-masala</t>
  </si>
  <si>
    <t>Tandoor Chef Tandoori Chicken Samos</t>
  </si>
  <si>
    <t>tandoor-chef-tandoori-chicken-samos</t>
  </si>
  <si>
    <t>Tandoor Chef Veg Masala Burger</t>
  </si>
  <si>
    <t>tandoor-chef-veg-masala-burger</t>
  </si>
  <si>
    <t>Tandoori Mix</t>
  </si>
  <si>
    <t>tandoori-mix</t>
  </si>
  <si>
    <t>Tandoori Naan Ashoka</t>
  </si>
  <si>
    <t>tandoori-naan-ashoka</t>
  </si>
  <si>
    <t>Tapal Danedar</t>
  </si>
  <si>
    <t>tapal-danedar</t>
  </si>
  <si>
    <t>Tapal Danedar Tea Bags</t>
  </si>
  <si>
    <t>టాపల్ దానేదార్ టీ బ్యాగ్స్</t>
  </si>
  <si>
    <t>Rack 79</t>
  </si>
  <si>
    <t>टापल दानेदार चाय के बैग</t>
  </si>
  <si>
    <t>Gits Rice Idli Mix</t>
  </si>
  <si>
    <t>['tapal', 'danedar', 'tea', 'bags']</t>
  </si>
  <si>
    <t>Tapal Danedar Tea Jar</t>
  </si>
  <si>
    <t>tapal-danedar-tea-jar</t>
  </si>
  <si>
    <t>Tasty Nuts</t>
  </si>
  <si>
    <t>Gits Dosa Mix</t>
  </si>
  <si>
    <t>tasty-nuts</t>
  </si>
  <si>
    <t>Tata Coffee 50 G</t>
  </si>
  <si>
    <t>tata-coffee-50-g</t>
  </si>
  <si>
    <t>rava|spice mix</t>
  </si>
  <si>
    <t>Tata Salt</t>
  </si>
  <si>
    <t>Gits Handvo Snack Mix</t>
  </si>
  <si>
    <t>tata-salt</t>
  </si>
  <si>
    <t>Tata Tea Gold</t>
  </si>
  <si>
    <t>tata-tea-gold</t>
  </si>
  <si>
    <t>rava</t>
  </si>
  <si>
    <t>Tatley Tea</t>
  </si>
  <si>
    <t>Gits Khaman Dhokla Snack Mix</t>
  </si>
  <si>
    <t>tatley-tea</t>
  </si>
  <si>
    <t>Tea India</t>
  </si>
  <si>
    <t>tea-india</t>
  </si>
  <si>
    <t>Tea India Masala Chai Tea</t>
  </si>
  <si>
    <t>tea-india-masala-chai-tea</t>
  </si>
  <si>
    <t>Telugu Chilly Chicken Masala</t>
  </si>
  <si>
    <t>telugu-chilly-chicken-masala</t>
  </si>
  <si>
    <t>Telugu Foods Chicken 65 Masala</t>
  </si>
  <si>
    <t>telugu-foods-chicken-65-masala</t>
  </si>
  <si>
    <t>Telugu Foods Kothimeera Karam Podi</t>
  </si>
  <si>
    <t>telugu-foods-kothimeera-karam-podi</t>
  </si>
  <si>
    <t>Telugu Foods Pepper Chicken Masala</t>
  </si>
  <si>
    <t>telugu-foods-pepper-chicken-masala</t>
  </si>
  <si>
    <t>Telugu Kandi Podi</t>
  </si>
  <si>
    <t>telugu-kandi-podi</t>
  </si>
  <si>
    <t>Telugu Mango</t>
  </si>
  <si>
    <t>telugu-mango</t>
  </si>
  <si>
    <t>Telugu Mullu Murukulu</t>
  </si>
  <si>
    <t>telugu-mullu-murukulu</t>
  </si>
  <si>
    <t>Telugu Palli Karam Podi</t>
  </si>
  <si>
    <t>telugu-palli-karam-podi</t>
  </si>
  <si>
    <t>Tetley Elaichi Tea Bags</t>
  </si>
  <si>
    <t>tetley-elaichi-tea-bags</t>
  </si>
  <si>
    <t>Tetley Ginger Tea Bag</t>
  </si>
  <si>
    <t>tetley-ginger-tea-bag</t>
  </si>
  <si>
    <t>Tetley Loose Leaf Tea</t>
  </si>
  <si>
    <t>tetley-loose-leaf-tea</t>
  </si>
  <si>
    <t>Tez Musted Oil</t>
  </si>
  <si>
    <t>tez-musted-oil</t>
  </si>
  <si>
    <t>Thabdi Peda</t>
  </si>
  <si>
    <t>thabdi-peda</t>
  </si>
  <si>
    <t>Thai Egg Plant</t>
  </si>
  <si>
    <t>thai-egg-plant</t>
  </si>
  <si>
    <t>Three Rivers Coconut Oil</t>
  </si>
  <si>
    <t>three-rivers-coconut-oil</t>
  </si>
  <si>
    <t>Three Rivers Vermicelies</t>
  </si>
  <si>
    <t>three-rivers-vermicelies</t>
  </si>
  <si>
    <t>Thums Up Tin</t>
  </si>
  <si>
    <t>thums-up-tin</t>
  </si>
  <si>
    <t>Tiger Balm 2</t>
  </si>
  <si>
    <t>tiger-balm-2</t>
  </si>
  <si>
    <t>Tiger Biscuits</t>
  </si>
  <si>
    <t>టైగర్ బిస్కులు</t>
  </si>
  <si>
    <t>टाइगर बिस्किट्स</t>
  </si>
  <si>
    <t>['tiger biscuits', 'biscuits']</t>
  </si>
  <si>
    <t>Tiger Family Pack</t>
  </si>
  <si>
    <t>tiger-family-pack</t>
  </si>
  <si>
    <t>Tikhalal Chilli</t>
  </si>
  <si>
    <t>tikhalal-chilli</t>
  </si>
  <si>
    <t>Tikoni Mathi</t>
  </si>
  <si>
    <t>tikoni-mathi</t>
  </si>
  <si>
    <t>Tilda Rice</t>
  </si>
  <si>
    <t>tilda-rice</t>
  </si>
  <si>
    <t>Tilde Rice</t>
  </si>
  <si>
    <t>tilde-rice</t>
  </si>
  <si>
    <t>Tindora</t>
  </si>
  <si>
    <t>tindora</t>
  </si>
  <si>
    <t>Tindora Bulk</t>
  </si>
  <si>
    <t>తిండోరా బ్యాలెన్స్</t>
  </si>
  <si>
    <t>टिंडोरा बुल्क</t>
  </si>
  <si>
    <t>tindora, tindora bulk, ivy gourd</t>
  </si>
  <si>
    <t>Tomato Sauce</t>
  </si>
  <si>
    <t>tomato-sauce</t>
  </si>
  <si>
    <t>Tooba Fry Karahi Gosht 100 Gms</t>
  </si>
  <si>
    <t>tooba-fry-karahi-gosht-100-gms</t>
  </si>
  <si>
    <t>Toor Dal</t>
  </si>
  <si>
    <t>తూర్పు పప్పు</t>
  </si>
  <si>
    <t>तूर दाल</t>
  </si>
  <si>
    <t>['Toor Dal']</t>
  </si>
  <si>
    <t>Toor Dal Luxmi 4lb</t>
  </si>
  <si>
    <t>తూర్పు పప్పు లక్ష్మి 4lb</t>
  </si>
  <si>
    <t>टूर दाल लक्ष्मी 4lb</t>
  </si>
  <si>
    <t>['toor dal', 'tuvar dal', 'pigeon pea']</t>
  </si>
  <si>
    <t>Toor Dal Oily</t>
  </si>
  <si>
    <t>toor-dal-oily</t>
  </si>
  <si>
    <t>Tops Mango Pickle</t>
  </si>
  <si>
    <t>tops-mango-pickle</t>
  </si>
  <si>
    <t>Total Bhel</t>
  </si>
  <si>
    <t>total-bhel</t>
  </si>
  <si>
    <t>Tulsi Mouth Freshener</t>
  </si>
  <si>
    <t>tulsi-mouth-freshener</t>
  </si>
  <si>
    <t>Turmeric</t>
  </si>
  <si>
    <t>Pasupu</t>
  </si>
  <si>
    <t>Haldi</t>
  </si>
  <si>
    <t>Rack 80</t>
  </si>
  <si>
    <t>Swad Green Chilli Chutney</t>
  </si>
  <si>
    <t>Pasupu (పసుపు)</t>
  </si>
  <si>
    <t>Haldi (हल्दी)</t>
  </si>
  <si>
    <t>Turmeric Powder Swad</t>
  </si>
  <si>
    <t>turmeric-powder-swad</t>
  </si>
  <si>
    <t>Swad Coconut Chutney</t>
  </si>
  <si>
    <t>Turmeric Whole</t>
  </si>
  <si>
    <t>turmeric-whole</t>
  </si>
  <si>
    <t>Turnip</t>
  </si>
  <si>
    <t>narial chutney|narial</t>
  </si>
  <si>
    <t>turnip</t>
  </si>
  <si>
    <t>Tutti Frutti</t>
  </si>
  <si>
    <t>tutti-frutti</t>
  </si>
  <si>
    <t>Tylenol Extra Strength 2 Caplets</t>
  </si>
  <si>
    <t>tylenol-extra-strength-2-caplets</t>
  </si>
  <si>
    <t>dhania|kotthimera</t>
  </si>
  <si>
    <t>Udupi Bombay Mix</t>
  </si>
  <si>
    <t>udupi-bombay-mix</t>
  </si>
  <si>
    <t>Udupi Idli</t>
  </si>
  <si>
    <t>udupi-idli</t>
  </si>
  <si>
    <t>Udupi Idli Rava</t>
  </si>
  <si>
    <t>Swad Tamarind &amp; Dates Chutney</t>
  </si>
  <si>
    <t>ఉదుపి ఇడ్లీ రవా</t>
  </si>
  <si>
    <t>उदुपी इडली रवा</t>
  </si>
  <si>
    <t>udupi idli rava, idli rava, rice rava</t>
  </si>
  <si>
    <t>Udupi Jagarry Powder</t>
  </si>
  <si>
    <t>udupi-jagarry-powder</t>
  </si>
  <si>
    <t>Swad Date Chutney</t>
  </si>
  <si>
    <t>Udupi Kara Sev</t>
  </si>
  <si>
    <t>udupi-kara-sev</t>
  </si>
  <si>
    <t>Udupi Kerala Mixture</t>
  </si>
  <si>
    <t>udupi-kerala-mixture</t>
  </si>
  <si>
    <t>Udupi Kutchi Murruku</t>
  </si>
  <si>
    <t>udupi-kutchi-murruku</t>
  </si>
  <si>
    <t>Udupi Madras Mix</t>
  </si>
  <si>
    <t>ఉదుపి మద్రాస్ మిక్స్</t>
  </si>
  <si>
    <t>उदुपी मद्रास मिक्स</t>
  </si>
  <si>
    <t>udupi mix, madras mix, spice mix</t>
  </si>
  <si>
    <t>Udupi Masala Dosa</t>
  </si>
  <si>
    <t>udupi-masala-dosa</t>
  </si>
  <si>
    <t>Udupi Nippat</t>
  </si>
  <si>
    <t>udupi-nippat</t>
  </si>
  <si>
    <t>Udupi Onion Uttapam</t>
  </si>
  <si>
    <t>Aachi Pickle</t>
  </si>
  <si>
    <t>udupi-onion-uttapam</t>
  </si>
  <si>
    <t>Udupi Ragi Flour</t>
  </si>
  <si>
    <t>udupi-ragi-flour</t>
  </si>
  <si>
    <t>tomato pickle</t>
  </si>
  <si>
    <t>Rack 81</t>
  </si>
  <si>
    <t>Udupi Red Poha</t>
  </si>
  <si>
    <t>Priya Garlic Pickle in Oil</t>
  </si>
  <si>
    <t>udupi-red-poha</t>
  </si>
  <si>
    <t>Udupi Ribbon Pakoda</t>
  </si>
  <si>
    <t>udupi-ribbon-pakoda</t>
  </si>
  <si>
    <t>Udupi Rice Murruku</t>
  </si>
  <si>
    <t>udupi-rice-murruku</t>
  </si>
  <si>
    <t>Uncooked Phulka</t>
  </si>
  <si>
    <t>uncooked-phulka</t>
  </si>
  <si>
    <t>Priya Roselle Leaves Pickle</t>
  </si>
  <si>
    <t>Upma</t>
  </si>
  <si>
    <t>upma</t>
  </si>
  <si>
    <t>Uppumavu</t>
  </si>
  <si>
    <t>uppumavu</t>
  </si>
  <si>
    <t>Urad Dal</t>
  </si>
  <si>
    <t>urad-dal</t>
  </si>
  <si>
    <t>Urad Split 24 Mantra 4lb</t>
  </si>
  <si>
    <t>Triveni Vathals Dried Chillies</t>
  </si>
  <si>
    <t>urad-split-24-mantra-4lb</t>
  </si>
  <si>
    <t>Urad Whole 1</t>
  </si>
  <si>
    <t>urad-whole-1</t>
  </si>
  <si>
    <t>Urad Whole Gota</t>
  </si>
  <si>
    <t>Rack 82</t>
  </si>
  <si>
    <t>urad-whole-gota</t>
  </si>
  <si>
    <t>Vada Pav Chutny</t>
  </si>
  <si>
    <t>vada-pav-chutny</t>
  </si>
  <si>
    <t>Vada Pav Deep</t>
  </si>
  <si>
    <t>Deep Black Kokum</t>
  </si>
  <si>
    <t>vada-pav-deep</t>
  </si>
  <si>
    <t>Vadilal Alfanso Mango</t>
  </si>
  <si>
    <t>vadilal-alfanso-mango</t>
  </si>
  <si>
    <t>Vadilal Badam</t>
  </si>
  <si>
    <t>vadilal-badam</t>
  </si>
  <si>
    <t>Vadilal Coconut Slices</t>
  </si>
  <si>
    <t>vadilal-coconut-slices</t>
  </si>
  <si>
    <t>Vadilal Custard Apple</t>
  </si>
  <si>
    <t>vadilal-custard-apple</t>
  </si>
  <si>
    <t>Vadilal Frozen Makai</t>
  </si>
  <si>
    <t>vadilal-frozen-makai</t>
  </si>
  <si>
    <t>Triveni Sugandhi Supari</t>
  </si>
  <si>
    <t>Vadilal Green Mango</t>
  </si>
  <si>
    <t>vadilal-green-mango</t>
  </si>
  <si>
    <t>Vadilal Kesar Pista Malai</t>
  </si>
  <si>
    <t>snack|indian snack</t>
  </si>
  <si>
    <t>vadilal-kesar-pista-malai</t>
  </si>
  <si>
    <t>Rack 83</t>
  </si>
  <si>
    <t>Mantra Organic Turmeric Powder</t>
  </si>
  <si>
    <t>Vadilal Mango Kulfi Frozen</t>
  </si>
  <si>
    <t>vadilal-mango-kulfi-frozen</t>
  </si>
  <si>
    <t>Vadilal Meetha Paan Icecream 100 Ml</t>
  </si>
  <si>
    <t>vadilal-meetha-paan-icecream-100-ml</t>
  </si>
  <si>
    <t>Gits Upma</t>
  </si>
  <si>
    <t>Vadilal Mixed Vegetable</t>
  </si>
  <si>
    <t>vadilal-mixed-vegetable</t>
  </si>
  <si>
    <t>Gits Sambar</t>
  </si>
  <si>
    <t>Gits Rava Dosa</t>
  </si>
  <si>
    <t>Gits Rava Idli</t>
  </si>
  <si>
    <t>rice rava|mix</t>
  </si>
  <si>
    <t>Gits Rice Idli</t>
  </si>
  <si>
    <t>indian rice|biyyam|chawal|long grain rice</t>
  </si>
  <si>
    <t>Gits Dosa</t>
  </si>
  <si>
    <t>mix</t>
  </si>
  <si>
    <t>Gits Handvo</t>
  </si>
  <si>
    <t>Vadilal Moong Dal</t>
  </si>
  <si>
    <t>vadilal-moong-dal</t>
  </si>
  <si>
    <t>Vadilal Paneer 200 Gr</t>
  </si>
  <si>
    <t>vadilal-paneer-200-gr</t>
  </si>
  <si>
    <t>Vadilal Rabdi</t>
  </si>
  <si>
    <t>vadilal-rabdi</t>
  </si>
  <si>
    <t>Vadilal Sarson</t>
  </si>
  <si>
    <t>vadilal-sarson</t>
  </si>
  <si>
    <t>Vag Manchurian Masala</t>
  </si>
  <si>
    <t>vag-manchurian-masala</t>
  </si>
  <si>
    <t>Val Whole</t>
  </si>
  <si>
    <t>val-whole</t>
  </si>
  <si>
    <t>Valor</t>
  </si>
  <si>
    <t>valor</t>
  </si>
  <si>
    <t>Vandevi Hing</t>
  </si>
  <si>
    <t>vandevi-hing</t>
  </si>
  <si>
    <t>Vanila</t>
  </si>
  <si>
    <t>vanila</t>
  </si>
  <si>
    <t>Vanila Cake</t>
  </si>
  <si>
    <t>vanila-cake</t>
  </si>
  <si>
    <t>Vanila Icecream</t>
  </si>
  <si>
    <t>vanila-icecream</t>
  </si>
  <si>
    <t>Vanila Icecream 1</t>
  </si>
  <si>
    <t>vanila-icecream-1</t>
  </si>
  <si>
    <t>Vanilla</t>
  </si>
  <si>
    <t>vanilla</t>
  </si>
  <si>
    <t>Vanilla Big</t>
  </si>
  <si>
    <t>vanilla-big</t>
  </si>
  <si>
    <t>vatana</t>
  </si>
  <si>
    <t>వటానా</t>
  </si>
  <si>
    <t>वटाना</t>
  </si>
  <si>
    <t>['green peas']</t>
  </si>
  <si>
    <t>Vatana Green</t>
  </si>
  <si>
    <t>vatana-green</t>
  </si>
  <si>
    <t>Vatha Kulambu</t>
  </si>
  <si>
    <t>vatha-kulambu</t>
  </si>
  <si>
    <t>Vatika Argan Hair Cream</t>
  </si>
  <si>
    <t>vatika-argan-hair-cream</t>
  </si>
  <si>
    <t>Vatika Oil</t>
  </si>
  <si>
    <t>vatika-oil</t>
  </si>
  <si>
    <t>Vattayappam 1</t>
  </si>
  <si>
    <t>vattayappam-1</t>
  </si>
  <si>
    <t>Veg Atta Noodles</t>
  </si>
  <si>
    <t>veg-atta-noodles</t>
  </si>
  <si>
    <t>Veg Manchurian</t>
  </si>
  <si>
    <t>veg-manchurian</t>
  </si>
  <si>
    <t>Vegetable Upma Mtr</t>
  </si>
  <si>
    <t>vegetable-upma-mtr</t>
  </si>
  <si>
    <t>Veggi Finger</t>
  </si>
  <si>
    <t>veggi-finger</t>
  </si>
  <si>
    <t>Veggie Nuggets</t>
  </si>
  <si>
    <t>veggie-nuggets</t>
  </si>
  <si>
    <t>Vegitabel Oil Swad</t>
  </si>
  <si>
    <t>Gits Khaman Dhokla</t>
  </si>
  <si>
    <t>vegitabel-oil-swad</t>
  </si>
  <si>
    <t>Vermicelli 1</t>
  </si>
  <si>
    <t>vermicelli-1</t>
  </si>
  <si>
    <t>Vicco Turmeric With Sandal Oil</t>
  </si>
  <si>
    <t>khaman mix</t>
  </si>
  <si>
    <t>vicco-turmeric-with-sandal-oil</t>
  </si>
  <si>
    <t>Deep Chutney</t>
  </si>
  <si>
    <t>Vicco Turmeric Without Sandal Oil</t>
  </si>
  <si>
    <t>vicco-turmeric-without-sandal-oil</t>
  </si>
  <si>
    <t>Vidyas Panipuri</t>
  </si>
  <si>
    <t>vidyas-panipuri</t>
  </si>
  <si>
    <t>Wagh Bakhri</t>
  </si>
  <si>
    <t>wagh-bakhri</t>
  </si>
  <si>
    <t>Wagh Bakri</t>
  </si>
  <si>
    <t>wagh-bakri</t>
  </si>
  <si>
    <t>Wagh Bakri 1</t>
  </si>
  <si>
    <t>wagh-bakri-1</t>
  </si>
  <si>
    <t>Wagh Bakri 3 In 1</t>
  </si>
  <si>
    <t>wagh-bakri-3-in-1</t>
  </si>
  <si>
    <t>Wagh Bakri Tea</t>
  </si>
  <si>
    <t>wagh-bakri-tea</t>
  </si>
  <si>
    <t>Water</t>
  </si>
  <si>
    <t>water</t>
  </si>
  <si>
    <t>Wei Chuan Monosodium</t>
  </si>
  <si>
    <t>wei-chuan-monosodium</t>
  </si>
  <si>
    <t>Wet Tamrind</t>
  </si>
  <si>
    <t>wet-tamrind</t>
  </si>
  <si>
    <t>Wheat Coarse</t>
  </si>
  <si>
    <t>wheat-coarse</t>
  </si>
  <si>
    <t>Wheat Flour (Atta)</t>
  </si>
  <si>
    <t>Godhumapindi (గోధుమపిండి)</t>
  </si>
  <si>
    <t>Atta (आटा)</t>
  </si>
  <si>
    <t>atta|flour|godhumapindi</t>
  </si>
  <si>
    <t>Wheat Puttu Pudi</t>
  </si>
  <si>
    <t>wheat-puttu-pudi</t>
  </si>
  <si>
    <t>White Potato</t>
  </si>
  <si>
    <t>white-potato</t>
  </si>
  <si>
    <t>White Pumpkin</t>
  </si>
  <si>
    <t>white-pumpkin</t>
  </si>
  <si>
    <t>White Vatna</t>
  </si>
  <si>
    <t>white-vatna</t>
  </si>
  <si>
    <t>Whole Amond</t>
  </si>
  <si>
    <t>whole-amond</t>
  </si>
  <si>
    <t>Whole Cashwe</t>
  </si>
  <si>
    <t>whole-cashwe</t>
  </si>
  <si>
    <t>Whole Chilli</t>
  </si>
  <si>
    <t>పొడి మిరియాలు</t>
  </si>
  <si>
    <t>पूरी मिर्च</t>
  </si>
  <si>
    <t>whole chilli, chilli, mirchi</t>
  </si>
  <si>
    <t>whole-chilli</t>
  </si>
  <si>
    <t>Whole Masoor 1</t>
  </si>
  <si>
    <t>whole-masoor-1</t>
  </si>
  <si>
    <t>Whole Pepper</t>
  </si>
  <si>
    <t>whole-pepper</t>
  </si>
  <si>
    <t>Whole Toor 2 Lb</t>
  </si>
  <si>
    <t>whole-toor-2-lb</t>
  </si>
  <si>
    <t>Wholle Wheat Naan</t>
  </si>
  <si>
    <t>wholle-wheat-naan</t>
  </si>
  <si>
    <t>Wrap Haldram</t>
  </si>
  <si>
    <t>wrap-haldram</t>
  </si>
  <si>
    <t>Wynad Long Grain Vadi Matta Rice 10 Kg</t>
  </si>
  <si>
    <t>wynad-long-grain-vadi-matta-rice-10-kg</t>
  </si>
  <si>
    <t>Xpress Meal Poha</t>
  </si>
  <si>
    <t>xpress-meal-poha</t>
  </si>
  <si>
    <t>Yardley</t>
  </si>
  <si>
    <t>yardley</t>
  </si>
  <si>
    <t>Yea India Chai Milk Tea 10 Pouch</t>
  </si>
  <si>
    <t>yea-india-chai-milk-tea-10-pouch</t>
  </si>
  <si>
    <t>Yeast</t>
  </si>
  <si>
    <t>yeast</t>
  </si>
  <si>
    <t>Yello Food Colour</t>
  </si>
  <si>
    <t>yello-food-colour</t>
  </si>
  <si>
    <t>Yellow Banana Chips</t>
  </si>
  <si>
    <t>yellow-banana-chips</t>
  </si>
  <si>
    <t>Yellow Dal Tadka</t>
  </si>
  <si>
    <t>yellow-dal-tadka</t>
  </si>
  <si>
    <t>Yellow Musted</t>
  </si>
  <si>
    <t>yellow-musted</t>
  </si>
  <si>
    <t>Yellow Onion</t>
  </si>
  <si>
    <t>పసుపు కంద</t>
  </si>
  <si>
    <t>पीला प्याज</t>
  </si>
  <si>
    <t>['yellow onion', 'పసుపు కంద', 'पीला प्याज']</t>
  </si>
  <si>
    <t>Yellow Onion 10lb</t>
  </si>
  <si>
    <t>yellow-onion-10lb</t>
  </si>
  <si>
    <t>Yellow Vatana</t>
  </si>
  <si>
    <t>yellow-vatana</t>
  </si>
  <si>
    <t>Ying Yaang Noodles</t>
  </si>
  <si>
    <t>ying-yaang-noodles</t>
  </si>
  <si>
    <t>Yogurt / Curd</t>
  </si>
  <si>
    <t>Perugu (పెరుగు)</t>
  </si>
  <si>
    <t>Dahi (दही)</t>
  </si>
  <si>
    <t>curd|yogurt|dahi|perugu|milk</t>
  </si>
  <si>
    <t>Perugu</t>
  </si>
  <si>
    <t>Dahi</t>
  </si>
  <si>
    <t>Zafarani Aged Basmati Rice 10 Lb</t>
  </si>
  <si>
    <t>zafarani-aged-basmati-rice-10-lb</t>
  </si>
  <si>
    <t>Zandu Balm 1</t>
  </si>
  <si>
    <t>zandu-balm-1</t>
  </si>
  <si>
    <t>Swad Tamarind &amp; Date Chutney</t>
  </si>
  <si>
    <t>Aachi Mango Pickle</t>
  </si>
  <si>
    <t>Aachi Green Chilli Pickle</t>
  </si>
  <si>
    <t>Aachi Lime Pickle</t>
  </si>
  <si>
    <t>garlic pickle|aachi pickle|velulli pacchadi</t>
  </si>
  <si>
    <t>Jiya's Ajinomoto</t>
  </si>
  <si>
    <t>Raghav Ajinomoto</t>
  </si>
  <si>
    <t>Swad Black Salt Rock</t>
  </si>
  <si>
    <t>kala namak</t>
  </si>
  <si>
    <t>Jiya's Ginger Slice</t>
  </si>
  <si>
    <t>Triveni Dried Vathals</t>
  </si>
  <si>
    <t>Raghav Allspice Whole</t>
  </si>
  <si>
    <t>Gits Vermicelli Kheer</t>
  </si>
  <si>
    <t>kheer mix|rice vermicelli</t>
  </si>
  <si>
    <t>Gits Dahi Vada</t>
  </si>
  <si>
    <t>indian snack|indian street food</t>
  </si>
  <si>
    <t>Gits Medu Vada</t>
  </si>
  <si>
    <t>indian street food|indian snack</t>
  </si>
  <si>
    <t>Deep Chutney Coriander</t>
  </si>
  <si>
    <t>Deep Chutney Green Chili</t>
  </si>
  <si>
    <t>green chilli pickle|chilli|mirchi</t>
  </si>
  <si>
    <t>Deep Chutney Mint</t>
  </si>
  <si>
    <t>Bedekar Pickle (sweet)</t>
  </si>
  <si>
    <t>green chilli pickle</t>
  </si>
  <si>
    <t>Aachi Tomato Pickle</t>
  </si>
  <si>
    <t>pickle chilli|green chilli pickle</t>
  </si>
  <si>
    <t>ginger pickle|aachi pickle|adukura pacchadi</t>
  </si>
  <si>
    <t>Aachi Mango Avakaya Pickle</t>
  </si>
  <si>
    <t>ginger pickle</t>
  </si>
  <si>
    <t>Jiya's Ajinomoto (MSG)</t>
  </si>
  <si>
    <t>Raghav Ajinomoto (MSG)</t>
  </si>
  <si>
    <t>Raghav Black Salt</t>
  </si>
  <si>
    <t>seasoning salt|kala namak</t>
  </si>
  <si>
    <t>Gits Basundi Dessert Mix</t>
  </si>
  <si>
    <t>basmati|chawal|biyyam|long grain rice|indian rice|basmati rice</t>
  </si>
  <si>
    <t>Rack 85</t>
  </si>
  <si>
    <t>Gits Bombay Halwa Dessert Mix</t>
  </si>
  <si>
    <t>Gits Gulab Jamun Dessert Mix</t>
  </si>
  <si>
    <t>Gits Basmati Rice Kheer Dessert Mix</t>
  </si>
  <si>
    <t>Gits Vermicelli Kheer Dessert Mix</t>
  </si>
  <si>
    <t>Gits Dahi Vada Snack Mix</t>
  </si>
  <si>
    <t>Gits Medu Vada Breakfast Mix</t>
  </si>
  <si>
    <t>rava|dosa|spice mix</t>
  </si>
  <si>
    <t>Gits Upma Breakfast Mix</t>
  </si>
  <si>
    <t>Laxmi Kashmiri Rogan Josh</t>
  </si>
  <si>
    <t>deep naan</t>
  </si>
  <si>
    <t>Rack 86</t>
  </si>
  <si>
    <t>Laxmi Goan Vindaloo Curry</t>
  </si>
  <si>
    <t>Laxmi Bombay Vegetable Curry</t>
  </si>
  <si>
    <t>indian spices|indian food</t>
  </si>
  <si>
    <t>Laxmi Mint Chutney</t>
  </si>
  <si>
    <t>Laxmi Tamarind Date Chutney</t>
  </si>
  <si>
    <t>Bedekar Lime Chilli Pickle</t>
  </si>
  <si>
    <t>Rack 87</t>
  </si>
  <si>
    <t>Bedekar Mango Pickle</t>
  </si>
  <si>
    <t>Bedekar Lime Pickle Sweet</t>
  </si>
  <si>
    <t>mango lime pickle</t>
  </si>
  <si>
    <t>MTR Gulab Jamun Mix</t>
  </si>
  <si>
    <t>MTR Vermicelli Payasam Mix</t>
  </si>
  <si>
    <t>Gits Phirni Dessert Mix</t>
  </si>
  <si>
    <t>Gits Jalebi Dessert Mix</t>
  </si>
  <si>
    <t>Tangy Twisted Date Tamarind Chutney</t>
  </si>
  <si>
    <t>Laxmi Butter Masala Cooking Sauce</t>
  </si>
  <si>
    <t>Laxmi Rogan Josh Cooking Sauce</t>
  </si>
  <si>
    <t>Laxmi Vindaloo Curry Sauce</t>
  </si>
  <si>
    <t>Laxmi Vegetable Curry Sauce</t>
  </si>
  <si>
    <t>Mother's Recipe Carrot &amp; Chili Pickle</t>
  </si>
  <si>
    <t>pickle chilli</t>
  </si>
  <si>
    <t>Mother's Recipe Stuffed Red Chilli Pickle</t>
  </si>
  <si>
    <t>Bedekar Punjabi Mango Pickle</t>
  </si>
  <si>
    <t>Bedekar Lime Chili Pickle</t>
  </si>
  <si>
    <t>Bedekar Lime Pickle</t>
  </si>
  <si>
    <t>Swad Kewra Water</t>
  </si>
  <si>
    <t>Rack 88</t>
  </si>
  <si>
    <t>Swad Rose Water</t>
  </si>
  <si>
    <t>MTR Minute Rasam Pepper</t>
  </si>
  <si>
    <t>Rack 91</t>
  </si>
  <si>
    <t>MTR Madras Rasam Powder</t>
  </si>
  <si>
    <t>MTR Sambar Paste</t>
  </si>
  <si>
    <t>MTR Idli/Dosa/Chilly Chutney</t>
  </si>
  <si>
    <t>indian spices|south indian</t>
  </si>
  <si>
    <t>MTR Gulab Jamun Dessert Mix</t>
  </si>
  <si>
    <t>Patak's Hot Chilli Pickle</t>
  </si>
  <si>
    <t>mirchi|chutneys</t>
  </si>
  <si>
    <t>Rack 92</t>
  </si>
  <si>
    <t>Patak's Hot Curry Paste</t>
  </si>
  <si>
    <t>Tangy Twisted Bombay Golden Chutney</t>
  </si>
  <si>
    <t>Laxmi Punjabi Butter Masala</t>
  </si>
  <si>
    <t>Mother's Recipe Green Chilli Pickle</t>
  </si>
  <si>
    <t>Rack 93</t>
  </si>
  <si>
    <t>Mother's Recipe Tender Mango Pickle</t>
  </si>
  <si>
    <t>Mother's Recipe Avakaya Pickle</t>
  </si>
  <si>
    <t>garlic pickle|velulli pacchadi</t>
  </si>
  <si>
    <t>Mother's Recipe Mixed Pickle</t>
  </si>
  <si>
    <t>Mother's Recipe Carrot &amp; Chilli Pickle</t>
  </si>
  <si>
    <t>Mother's Recipe Punjabi Mango Pickle</t>
  </si>
  <si>
    <t>Bedekar Mango Chilli Pickle</t>
  </si>
  <si>
    <t>Bedekar Traditional Mango Pickle</t>
  </si>
  <si>
    <t>Tangy Twisted Sweet Lime Pickle</t>
  </si>
  <si>
    <t>Rack 94</t>
  </si>
  <si>
    <t>Anachi Onion Powder</t>
  </si>
  <si>
    <t>Bedekar Butter Masala Powder</t>
  </si>
  <si>
    <t>MTR Puliogare Powder</t>
  </si>
  <si>
    <t>MTR Lemon Rice Powder</t>
  </si>
  <si>
    <t>Patak's Hot Lime Pickle</t>
  </si>
  <si>
    <t>Patak's Mango Pickle</t>
  </si>
  <si>
    <t>Patak's Tikka Masala Paste</t>
  </si>
  <si>
    <t>Mother's Recipe Amba Haldar Pickle</t>
  </si>
  <si>
    <t>Mother's Recipe Karivepaku Karam Powder</t>
  </si>
  <si>
    <t>Tangy Twisted Pickle</t>
  </si>
  <si>
    <t>Mother's Recipe Sweet Lime Pickle</t>
  </si>
  <si>
    <t>Rack 95</t>
  </si>
  <si>
    <t>MTR Chana Masala</t>
  </si>
  <si>
    <t>MTR Khaman Dhokla</t>
  </si>
  <si>
    <t>MTR Dhokla</t>
  </si>
  <si>
    <t>MTR Puliogare Paste</t>
  </si>
  <si>
    <t>adarak|deep paste|condiment</t>
  </si>
  <si>
    <t>Patak's Garlic Pickle</t>
  </si>
  <si>
    <t>All Pulla Reddy Pickles</t>
  </si>
  <si>
    <t>tomato pickle|green chilli pickle</t>
  </si>
  <si>
    <t>Deep Ancient Millet Jowar Millet</t>
  </si>
  <si>
    <t>healthy grains</t>
  </si>
  <si>
    <t>Cadbury Dairy Milk</t>
  </si>
  <si>
    <t>doodh|biscuits</t>
  </si>
  <si>
    <t>Rack 97</t>
  </si>
  <si>
    <t>MTR Masala Rava Idli</t>
  </si>
  <si>
    <t>Rack 98</t>
  </si>
  <si>
    <t>MTR Masala Upma</t>
  </si>
  <si>
    <t>MTR Bisibele Bhath</t>
  </si>
  <si>
    <t>YRS Soda-Bi</t>
  </si>
  <si>
    <t>soda bicarb</t>
  </si>
  <si>
    <t>Rack 99</t>
  </si>
  <si>
    <t>Masala Candy</t>
  </si>
  <si>
    <t>Patanjali Mixed Fruit Jam</t>
  </si>
  <si>
    <t>Rack 100</t>
  </si>
  <si>
    <t>Maggi Pasta Masala</t>
  </si>
  <si>
    <t>Rack 101</t>
  </si>
  <si>
    <t>Deep Ancient Millet Little Millet</t>
  </si>
  <si>
    <t>Maggi 2-Minute Noodles Box</t>
  </si>
  <si>
    <t>Rack 102</t>
  </si>
  <si>
    <t>24 Mantra Ragi Idli Mix</t>
  </si>
  <si>
    <t>MTR Rava Dosa</t>
  </si>
  <si>
    <t>Borwick's Baking Powder</t>
  </si>
  <si>
    <t>baking powder</t>
  </si>
  <si>
    <t>YRS Soda-B Carbonate</t>
  </si>
  <si>
    <t>Kissan Mixed Fruit Jam</t>
  </si>
  <si>
    <t>Smith &amp; Jones Soya Wadi</t>
  </si>
  <si>
    <t>Smith &amp; Jones Pasta Masala</t>
  </si>
  <si>
    <t>The Ancient Millet Little Millet Elbow Macaroni</t>
  </si>
  <si>
    <t>The Ancient Millet Jowar Millet Elbow Macaroni</t>
  </si>
  <si>
    <t>Dabur Real Guava Juice</t>
  </si>
  <si>
    <t>Rubicon Lychee Juice Drink</t>
  </si>
  <si>
    <t>Vidhya Foods Dabeli Buns</t>
  </si>
  <si>
    <t>Rack 103</t>
  </si>
  <si>
    <t>Bakery Buns</t>
  </si>
  <si>
    <t>Rack 104</t>
  </si>
  <si>
    <t>Vidhya Foods White Bun</t>
  </si>
  <si>
    <t>Soya Wadi</t>
  </si>
  <si>
    <t>Sliced Bread</t>
  </si>
  <si>
    <t>Rack 105</t>
  </si>
  <si>
    <t>KCF Raisin Sweet Bread</t>
  </si>
  <si>
    <t>Sweet Bread</t>
  </si>
  <si>
    <t>Achaar Kharek Pickle</t>
  </si>
  <si>
    <t>Rack 106</t>
  </si>
  <si>
    <t>Vixen BADMINTON GIFT SET</t>
  </si>
  <si>
    <t>Rack 107</t>
  </si>
  <si>
    <t>BALL UTHA NAAM BANA Tennis Balls</t>
  </si>
  <si>
    <t>NIVIA CRICKET TENNIS BALL</t>
  </si>
  <si>
    <t>Chandan Gulab Mix</t>
  </si>
  <si>
    <t>Rack 108</t>
  </si>
  <si>
    <t>Chandan Elaichi Saunf</t>
  </si>
  <si>
    <t>Adrakh Pachak 150gm</t>
  </si>
  <si>
    <t>Royal Rajwadi Mouth Freshener</t>
  </si>
  <si>
    <t>Royal Kashmiri Mouth Freshener</t>
  </si>
  <si>
    <t>Khajuri Mix Mouth Freshener</t>
  </si>
  <si>
    <t>Madrasi Saunf Mouth Freshener</t>
  </si>
  <si>
    <t>Calcutta Pan Mouth Freshener</t>
  </si>
  <si>
    <t>SWAD Punjabi Mix Mouth Freshener</t>
  </si>
  <si>
    <t>SWAD Pure Chennai Saunf Mouth Freshener</t>
  </si>
  <si>
    <t>SWAD Elaichi Paan Mouth Freshener</t>
  </si>
  <si>
    <t>Samridhi Jeera Goli</t>
  </si>
  <si>
    <t>Ginger Stick Pachak</t>
  </si>
  <si>
    <t>Mango Sweet &amp; Salty</t>
  </si>
  <si>
    <t>fruit</t>
  </si>
  <si>
    <t>Fruits &amp; Vegetables</t>
  </si>
  <si>
    <t>BANSI Jeera Goli</t>
  </si>
  <si>
    <t>cumin|masala|spice</t>
  </si>
  <si>
    <t>SWAD Calcutta Paan</t>
  </si>
  <si>
    <t>Rack 109</t>
  </si>
  <si>
    <t>SWAD Banarasi Paan</t>
  </si>
  <si>
    <t>SWAD Mughlai Paan</t>
  </si>
  <si>
    <t>Chandan Fresh Mint Rose Mouth Freshener</t>
  </si>
  <si>
    <t>gulab</t>
  </si>
  <si>
    <t>Chandan Fresh Mint Green Mouth Freshener</t>
  </si>
  <si>
    <t>SWAD Paan Bites</t>
  </si>
  <si>
    <t>Calcutta Special Treats</t>
  </si>
  <si>
    <t>Gulkand</t>
  </si>
  <si>
    <t>Cadbury Bournville 50% Dark Fruit &amp; Nut</t>
  </si>
  <si>
    <t>Rack 110</t>
  </si>
  <si>
    <t>Cadbury Dairy Milk Silk</t>
  </si>
  <si>
    <t>Cadbury Eclairs</t>
  </si>
  <si>
    <t>Gulab Bar Candy</t>
  </si>
  <si>
    <t>chikki</t>
  </si>
  <si>
    <t>Kalkatta Bar Candy</t>
  </si>
  <si>
    <t>Royal Rajwadi</t>
  </si>
  <si>
    <t>Royal Kashmiri</t>
  </si>
  <si>
    <t>Khajuri Mix</t>
  </si>
  <si>
    <t>snack mix</t>
  </si>
  <si>
    <t>Madrasi Saunf</t>
  </si>
  <si>
    <t>Calcutta Pan</t>
  </si>
  <si>
    <t>Swad Punjabi Mix</t>
  </si>
  <si>
    <t>spicy punjabi mix</t>
  </si>
  <si>
    <t>Swad Pure Chenna Saunf</t>
  </si>
  <si>
    <t>Elaichi Paan</t>
  </si>
  <si>
    <t>Jeera Goli</t>
  </si>
  <si>
    <t>cumin|masala</t>
  </si>
  <si>
    <t>Chandan Fresh &amp; Fine Rose</t>
  </si>
  <si>
    <t>Chandan Paan Bites</t>
  </si>
  <si>
    <t>Bournville Fruit &amp; Nut 50% Dark</t>
  </si>
  <si>
    <t>Fidget Ball</t>
  </si>
  <si>
    <t>Rack 111</t>
  </si>
  <si>
    <t>Nice Cube</t>
  </si>
  <si>
    <t>Kangan</t>
  </si>
  <si>
    <t>Rack 112</t>
  </si>
  <si>
    <t>Sapna Mahendi Cone</t>
  </si>
  <si>
    <t>Amul Masti Spiced Buttermilk</t>
  </si>
  <si>
    <t>Rack 113</t>
  </si>
  <si>
    <t>Real Coconut Water</t>
  </si>
  <si>
    <t>Khari Biscuits</t>
  </si>
  <si>
    <t>carom seeds biscuits|salted biscuits</t>
  </si>
  <si>
    <t>Besan Barfi</t>
  </si>
  <si>
    <t>gram flour|chickpea flour</t>
  </si>
  <si>
    <t>Rack 13</t>
  </si>
  <si>
    <t>Orange Cream Biscuits</t>
  </si>
  <si>
    <t>carom seeds biscuits|salted biscuits|indian cookies</t>
  </si>
  <si>
    <t>Monaco Biscuits</t>
  </si>
  <si>
    <t>salted biscuits</t>
  </si>
  <si>
    <t>Parle-G Biscuits</t>
  </si>
  <si>
    <t>Crackjack Biscuits</t>
  </si>
  <si>
    <t>salted biscuits|indian cookies</t>
  </si>
  <si>
    <t>Al Madina Dates</t>
  </si>
  <si>
    <t>medjool dates</t>
  </si>
  <si>
    <t>Sunshine Snacks Pitted Dates</t>
  </si>
  <si>
    <t>Medjoul Dates</t>
  </si>
  <si>
    <t>Manna Health Mix</t>
  </si>
  <si>
    <t>Jalani Nimbu Pani</t>
  </si>
  <si>
    <t>jeera|cumin</t>
  </si>
  <si>
    <t>Protinex Original</t>
  </si>
  <si>
    <t>Pani Puri Pani</t>
  </si>
  <si>
    <t>Threptin High Protein Diskettes</t>
  </si>
  <si>
    <t>Threptin Lite Diskettes</t>
  </si>
  <si>
    <t>GRB Dry Fruits Halwa</t>
  </si>
  <si>
    <t>GRB Pineapple Halwa</t>
  </si>
  <si>
    <t>almond coconut</t>
  </si>
  <si>
    <t>GRB Bombay Halwa</t>
  </si>
  <si>
    <t>GRB Dates Halwa</t>
  </si>
  <si>
    <t>Jamari Supreme Dink Laddu</t>
  </si>
  <si>
    <t>Karachi Bakery Sugar Free Cashew Biscuit</t>
  </si>
  <si>
    <t>kashew|cookies|chini</t>
  </si>
  <si>
    <t>Karachi Bakery Premium Fruit Rusk</t>
  </si>
  <si>
    <t>cake|milk rusk|biscuits</t>
  </si>
  <si>
    <t>Karachi's Butterly Osmania Biscuit</t>
  </si>
  <si>
    <t>cookies</t>
  </si>
  <si>
    <t>Parle-G Royale Biscuits</t>
  </si>
  <si>
    <t>Parle Hide &amp; Seek Black Bourbon Choco</t>
  </si>
  <si>
    <t>Parle Hide &amp; Seek Black Bourbon Vanilla</t>
  </si>
  <si>
    <t>Parle Hide &amp; Seek Centre Filled Choco Cookies</t>
  </si>
  <si>
    <t>biscuit</t>
  </si>
  <si>
    <t>Parle Hide &amp; Seek Crest Collection</t>
  </si>
  <si>
    <t>Protinex Health Drink</t>
  </si>
  <si>
    <t>Crown Cake Rusk</t>
  </si>
  <si>
    <t>indian bakery|milk rusk|biscuits</t>
  </si>
  <si>
    <t>Parle Hide &amp; Seek Choco Rolls</t>
  </si>
  <si>
    <t>Kamadhenu Milk Halwa</t>
  </si>
  <si>
    <t>Threptin Diskettes</t>
  </si>
  <si>
    <t>GRB Ghee Pineapple Halwa</t>
  </si>
  <si>
    <t>GRB Ghee Bombay Halwa</t>
  </si>
  <si>
    <t>GRB Ghee Dates Halwa</t>
  </si>
  <si>
    <t>Jawari Supreme Dink Ladu</t>
  </si>
  <si>
    <t>laddu</t>
  </si>
  <si>
    <t>Parachi's Premium Fruit Rusk</t>
  </si>
  <si>
    <t>indian bakery|cake</t>
  </si>
  <si>
    <t>Parachi's Butterfly Osmania Biscuit</t>
  </si>
  <si>
    <t>Parle-G Royale Cookies</t>
  </si>
  <si>
    <t>biscuit|indian cookies</t>
  </si>
  <si>
    <t>Protinex</t>
  </si>
  <si>
    <t>Makhana Wala's Himalayan Pink Salt Makhana</t>
  </si>
  <si>
    <t>GRB Crisp Ghee Mysore Pak</t>
  </si>
  <si>
    <t>GRB Ghee Dry Fruits Halwa</t>
  </si>
  <si>
    <t>Karachi Bakery Two Majestic Cookies</t>
  </si>
  <si>
    <t>Karachi Bakery Butterly Osmania Biscuit</t>
  </si>
  <si>
    <t>Parle Hide &amp; Seek Chocolate Chip Cookies</t>
  </si>
  <si>
    <t>Ching's Secret Veg Hakka Noodles Box</t>
  </si>
  <si>
    <t>Makhana Wala's Himalayan Pink Salt Roasted Makhana</t>
  </si>
  <si>
    <t>GRB Soan Cake</t>
  </si>
  <si>
    <t>narial cake</t>
  </si>
  <si>
    <t>GRB Crispy Ghee Mysore Pak</t>
  </si>
  <si>
    <t>Karachi Bakery Zeera Biscuits</t>
  </si>
  <si>
    <t>carom seeds biscuits</t>
  </si>
  <si>
    <t>Karachi Bakery Two Majestic Biscuits</t>
  </si>
  <si>
    <t>salted biscuits|cookies</t>
  </si>
  <si>
    <t>Karachi Bakery Fruit Rusk</t>
  </si>
  <si>
    <t>biscuits</t>
  </si>
  <si>
    <t>Karachi Bakery Salted Jeera Biscuits</t>
  </si>
  <si>
    <t>carom seeds biscuits|cookies</t>
  </si>
  <si>
    <t>Karachi Bakery Elaichi Biscuits</t>
  </si>
  <si>
    <t>cookies|carom seeds biscuits</t>
  </si>
  <si>
    <t>Karachi Bakery Fruit Biscuits</t>
  </si>
  <si>
    <t>Karachi Bakery Premium Cake Rusk</t>
  </si>
  <si>
    <t>Parle Parle-G Gold Cookies</t>
  </si>
  <si>
    <t>Parle Parle-G Royale Cookies</t>
  </si>
  <si>
    <t>Parle Hide &amp; Seek Black Bourbon Cookies</t>
  </si>
  <si>
    <t>Parle Hide &amp; Seek Classic Bourbon Cookies</t>
  </si>
  <si>
    <t>Roast Makhana</t>
  </si>
  <si>
    <t>Bikaji Besan Ladoo</t>
  </si>
  <si>
    <t>gram flour|chickpea flour|laddu</t>
  </si>
  <si>
    <t>Bikano Orange Soan Papdi</t>
  </si>
  <si>
    <t>GRB Orange Soan Papdi</t>
  </si>
  <si>
    <t>Karachi Bakery Pista Biscuits</t>
  </si>
  <si>
    <t>almond|nuts|cookies</t>
  </si>
  <si>
    <t>Karachi Bakery Cookies</t>
  </si>
  <si>
    <t>Parle-G Original Gluco Biscuits</t>
  </si>
  <si>
    <t>Parle-G Gold Cookies</t>
  </si>
  <si>
    <t>Bikaji Atta Ladoo</t>
  </si>
  <si>
    <t>Bikaji Besan Barfi</t>
  </si>
  <si>
    <t>Karachi Bakery Jaggery Atta Biscuits</t>
  </si>
  <si>
    <t>bellam|gud</t>
  </si>
  <si>
    <t>Karachi Bakery Millet Biscuits</t>
  </si>
  <si>
    <t>Vidhya Creamy Rolls</t>
  </si>
  <si>
    <t>Rajani Biscuits</t>
  </si>
  <si>
    <t>Punjabi Biscuits</t>
  </si>
  <si>
    <t>punjabi cookies</t>
  </si>
  <si>
    <t>Parle Monaco Biscuits</t>
  </si>
  <si>
    <t>Parle-G Gluco Biscuits Multipack</t>
  </si>
  <si>
    <t>Parle Krackjack</t>
  </si>
  <si>
    <t>Parle Monaco Biscuits Bin</t>
  </si>
  <si>
    <t>Parle-G Biscuits Bin</t>
  </si>
  <si>
    <t>Parle Krackjack Biscuits Bin</t>
  </si>
  <si>
    <t>Haldiram's Multigrain Khari</t>
  </si>
  <si>
    <t>pearl millet biscuit</t>
  </si>
  <si>
    <t>Haldiram's Original Khari</t>
  </si>
  <si>
    <t>Bikaji Dry Petha</t>
  </si>
  <si>
    <t>Rack 19</t>
  </si>
  <si>
    <t>Karachi Bakery Chai Biscuit</t>
  </si>
  <si>
    <t>Karachi Bakery Gur (Jaggery) Atta Biscuit</t>
  </si>
  <si>
    <t>Karachi Bakery Millet Biscuit</t>
  </si>
  <si>
    <t>Britannia NutriChoice Digestives</t>
  </si>
  <si>
    <t>britannia digestive biscuits</t>
  </si>
  <si>
    <t>Britannia Good Day Cashew Cookies</t>
  </si>
  <si>
    <t>britannia|milk bikis|biscuits</t>
  </si>
  <si>
    <t>Haldiram's Classic Khari</t>
  </si>
  <si>
    <t>pearl millet biscuit|snack</t>
  </si>
  <si>
    <t>Bikaji Gur Rewari</t>
  </si>
  <si>
    <t>gujarati sweets</t>
  </si>
  <si>
    <t>Lotte Choco Pie</t>
  </si>
  <si>
    <t>Atta Biscuit</t>
  </si>
  <si>
    <t>atta|biscits</t>
  </si>
  <si>
    <t>Chai Biscuit</t>
  </si>
  <si>
    <t>Karachi's Gur (Jaggery) Atta Biscuit</t>
  </si>
  <si>
    <t>gur cookies</t>
  </si>
  <si>
    <t>Karachi's Millet Fibre Biscuit</t>
  </si>
  <si>
    <t>atta|godhumapindi</t>
  </si>
  <si>
    <t>Britannia Good Day Pistachio-Almond</t>
  </si>
  <si>
    <t>badaam|cookies</t>
  </si>
  <si>
    <t>Day Cashew Cookies</t>
  </si>
  <si>
    <t>kashew|biscuit</t>
  </si>
  <si>
    <t>Parle Monaco Classic</t>
  </si>
  <si>
    <t>Parle-G</t>
  </si>
  <si>
    <t>Haldiram's Khari Masala Crispy Puffs</t>
  </si>
  <si>
    <t>Haldiram's Khari Classic</t>
  </si>
  <si>
    <t>Haldiram's Khari</t>
  </si>
  <si>
    <t>Gur Atta Biscuit</t>
  </si>
  <si>
    <t>Britannia Digestive Biscuits</t>
  </si>
  <si>
    <t>Britannia Good Day Pistachio-Almond Cookies</t>
  </si>
  <si>
    <t>nuts|biscuit</t>
  </si>
  <si>
    <t>Haldiram's Tea Time Khari Whole Jeera Crispy Puffs</t>
  </si>
  <si>
    <t>Haldiram's Tea Time Khari Masala Crispy Puffs</t>
  </si>
  <si>
    <t>Jabson's Shahi Gajak</t>
  </si>
  <si>
    <t>Jabson's Assorted Chikkis</t>
  </si>
  <si>
    <t>peanut chikki</t>
  </si>
  <si>
    <t>Lotte Happy Pie</t>
  </si>
  <si>
    <t>Haldiram's Atta Biscuit</t>
  </si>
  <si>
    <t>carom seeds biscuits|salted biscuits|godhumapindi|indian cookies</t>
  </si>
  <si>
    <t>McVitie's Digestives Original</t>
  </si>
  <si>
    <t>Britannia Sweet &amp; Salty Biscuits</t>
  </si>
  <si>
    <t>Britannia 50-50 Maska Chaska</t>
  </si>
  <si>
    <t>britannia|maska chaska|biscuits</t>
  </si>
  <si>
    <t>Britannia Nice Time Coconut Biscuits</t>
  </si>
  <si>
    <t>cookie|narial</t>
  </si>
  <si>
    <t>Britannia Good Day Pistachio Almond Cookies</t>
  </si>
  <si>
    <t>good day butter cookies|britannia</t>
  </si>
  <si>
    <t>Britannia 50-50 Potazos</t>
  </si>
  <si>
    <t>Britannia 50-50 Crackers</t>
  </si>
  <si>
    <t>Deep Khari Masala</t>
  </si>
  <si>
    <t>Haldiram's Tea Time Khari Jeera Crispy Puffs</t>
  </si>
  <si>
    <t>Bikano Patisa</t>
  </si>
  <si>
    <t>Jabsons Gajak Roll</t>
  </si>
  <si>
    <t>Haldiram's Chikki</t>
  </si>
  <si>
    <t>good day butter|britannia</t>
  </si>
  <si>
    <t>Britannia Digestives</t>
  </si>
  <si>
    <t>Britannia Tiger Biscuit</t>
  </si>
  <si>
    <t>Britannia Jim Jam</t>
  </si>
  <si>
    <t>Britannia 50-50 Sweet &amp; Salty</t>
  </si>
  <si>
    <t>salted</t>
  </si>
  <si>
    <t>Britannia Good Day Pistachio Almond</t>
  </si>
  <si>
    <t>cumin|samosas|deep fried samosas</t>
  </si>
  <si>
    <t>Haldiram's Tea Time Khari Jeera</t>
  </si>
  <si>
    <t>Haldiram's Khari Masala</t>
  </si>
  <si>
    <t>Anjeer Dry Fruit</t>
  </si>
  <si>
    <t>Khajoor Dry Fruit</t>
  </si>
  <si>
    <t>Jabsons Gajak Gud Kaju Roll</t>
  </si>
  <si>
    <t>Jabsons Chikkis</t>
  </si>
  <si>
    <t>Haldiram's Munch-O-Tantra</t>
  </si>
  <si>
    <t>Britannia Nutri Choice Oats Cookies</t>
  </si>
  <si>
    <t>Britannia Tiger Glucose Biscuits</t>
  </si>
  <si>
    <t>Britannia Jim Jam Biscuits</t>
  </si>
  <si>
    <t>Britannia 50-50 Sweet &amp; Salty Biscuits</t>
  </si>
  <si>
    <t>Parle-G Gold Biscuits</t>
  </si>
  <si>
    <t>Britannia Bourbon Biscuits</t>
  </si>
  <si>
    <t>Parle Hide &amp; Seek Cookies</t>
  </si>
  <si>
    <t>Britannia Good Day Cookies</t>
  </si>
  <si>
    <t>Deep Khari Whole Wheat</t>
  </si>
  <si>
    <t>whole wheat atta|atta|flour|godhumapindi</t>
  </si>
  <si>
    <t>Deep Khari Original</t>
  </si>
  <si>
    <t>Bansiwala Sukha Petha</t>
  </si>
  <si>
    <t>indian snack|samosas|deep fried samosas|snack|indian street food</t>
  </si>
  <si>
    <t>Bansiwala Paan Petha</t>
  </si>
  <si>
    <t>indian street food|atta</t>
  </si>
  <si>
    <t>Bikaji Anjeer Dry Fruit Barfi</t>
  </si>
  <si>
    <t>Bikaji Khajoor Dry Fruit Barfi</t>
  </si>
  <si>
    <t>Habsons Kaju Rolls</t>
  </si>
  <si>
    <t>Lakhana Namkeen</t>
  </si>
  <si>
    <t>naan|roti|bread|deep naan</t>
  </si>
  <si>
    <t>Munch-a-tantra</t>
  </si>
  <si>
    <t>Parle Hide &amp; Seek Chocolate Fills</t>
  </si>
  <si>
    <t>Britannia Nutri Choice Digestive Biscuits</t>
  </si>
  <si>
    <t>Britannia Nutri Choice Oats Chocolate &amp; Almond Biscuits</t>
  </si>
  <si>
    <t>Britannia Nutri Choice Oats Almond &amp; Milk Biscuits</t>
  </si>
  <si>
    <t>Britannia JimJam Biscuits</t>
  </si>
  <si>
    <t>indian cookies</t>
  </si>
  <si>
    <t>Britannia 50-50 Maska Chaska Biscuits</t>
  </si>
  <si>
    <t>Bansiwala Kesar Angoori Petha</t>
  </si>
  <si>
    <t>Bikaji Anjeer Dry Fruit Sweet</t>
  </si>
  <si>
    <t>Makhana Pudina</t>
  </si>
  <si>
    <t>Makhana Black Pepper</t>
  </si>
  <si>
    <t>Makhana Peri Peri</t>
  </si>
  <si>
    <t>Makhana Munch &amp; Tantra</t>
  </si>
  <si>
    <t>Britannia NutriChoice Digestive Biscuits</t>
  </si>
  <si>
    <t>Britannia NutriChoice Oats Chocolate &amp; Almond</t>
  </si>
  <si>
    <t>badaam|nuts|nut</t>
  </si>
  <si>
    <t>Britannia NutriChoice Oats Almond &amp; Milk</t>
  </si>
  <si>
    <t>badaam|doodh|nuts</t>
  </si>
  <si>
    <t>Britannia Jim Jam Family Pack</t>
  </si>
  <si>
    <t>Pops Biscuits</t>
  </si>
  <si>
    <t>Munch Tantra Makhana Himalayan Pink Salt</t>
  </si>
  <si>
    <t>seasoning salt</t>
  </si>
  <si>
    <t>Munch Tantra Makhana Peri Peri</t>
  </si>
  <si>
    <t>Britannia Nutri Choice 5 Grain Digestive</t>
  </si>
  <si>
    <t>Britannia Digestive Original</t>
  </si>
  <si>
    <t>Britannia Nutri Choice Oats Chocolate &amp; Almond</t>
  </si>
  <si>
    <t>cookies|nuts</t>
  </si>
  <si>
    <t>Britannia Nutri Choice Oats Almond &amp; Milk</t>
  </si>
  <si>
    <t>badaam|doodh</t>
  </si>
  <si>
    <t>Peek Freans Sooper</t>
  </si>
  <si>
    <t>britannia|bourbon</t>
  </si>
  <si>
    <t>Aarush Khari</t>
  </si>
  <si>
    <t>Munch &amp; Tantra Makhana Himalayan Pink Salt</t>
  </si>
  <si>
    <t>Munch &amp; Tantra Makhana</t>
  </si>
  <si>
    <t>Britannia NutriChoice 5 Grain</t>
  </si>
  <si>
    <t>Britannia NutriChoice Digestive Original</t>
  </si>
  <si>
    <t>Britannia NutriChoice Oats Chocolate &amp; Almonds</t>
  </si>
  <si>
    <t>Aarush Khichiya Farali Khichiya</t>
  </si>
  <si>
    <t>snack|pearl millet biscuit</t>
  </si>
  <si>
    <t>Aarush Khichiya Plain Rice Flour Crackers</t>
  </si>
  <si>
    <t>Aarush Khichiya Plain Khichiya</t>
  </si>
  <si>
    <t>snack|crunchy</t>
  </si>
  <si>
    <t>Jiyas Chilli Garlic Rice Crackers</t>
  </si>
  <si>
    <t>Jiyas Plain Rice Crackers</t>
  </si>
  <si>
    <t>Jiya's Chili Garlic Rice Crackers</t>
  </si>
  <si>
    <t>Aarush Our Products</t>
  </si>
  <si>
    <t>Laxmi South Asian Food Brand</t>
  </si>
  <si>
    <t>Aarush Plain Khichiya Rice Flour Crackers</t>
  </si>
  <si>
    <t>Aarush Khichiya Plain</t>
  </si>
  <si>
    <t>Munch Tantra Makhana</t>
  </si>
  <si>
    <t>Munch Tantra Makhana Magic Masala</t>
  </si>
  <si>
    <t>Britannia Marie Gold Biscuits</t>
  </si>
  <si>
    <t>Britannia NutriChoice 5 Grain Digestive Biscuits</t>
  </si>
  <si>
    <t>Britannia Sugar Free Digestive Biscuits</t>
  </si>
  <si>
    <t>Britannia Digestive Original Biscuits</t>
  </si>
  <si>
    <t>Britannia Little Hearts Biscuits</t>
  </si>
  <si>
    <t>EBM Peek Freans Sooper Biscuits</t>
  </si>
  <si>
    <t>Munch Mantra Makhana</t>
  </si>
  <si>
    <t>Britannia NutriChoice 5 Grain Digestive</t>
  </si>
  <si>
    <t>Britannia Digestive Sugar Free</t>
  </si>
  <si>
    <t>Britannia Tiger Glucose</t>
  </si>
  <si>
    <t>EBM Sooper Biscuits</t>
  </si>
  <si>
    <t>KCB No Sugar Toast</t>
  </si>
  <si>
    <t>Bikano Cham Cham</t>
  </si>
  <si>
    <t>fried snack</t>
  </si>
  <si>
    <t>Haldiram's Soan Papdi</t>
  </si>
  <si>
    <t>Bikano Soan Papdi</t>
  </si>
  <si>
    <t>Jabsons Peanut Chikki</t>
  </si>
  <si>
    <t>Britannia NutriChoice Oats Chocolate &amp; Almond Cookies</t>
  </si>
  <si>
    <t>badaam|biscuit|indian cookies</t>
  </si>
  <si>
    <t>Britannia NutriChoice Oats Almond &amp; Milk Cookies</t>
  </si>
  <si>
    <t>badaam|biscuit|indian cookies|nuts</t>
  </si>
  <si>
    <t>Britannia Nice Time Biscuits</t>
  </si>
  <si>
    <t>Parle-G Glucose Biscuits</t>
  </si>
  <si>
    <t>KCB Mumbai Pav</t>
  </si>
  <si>
    <t>Patisa Soan Papdi</t>
  </si>
  <si>
    <t>Jabsons Soan Papdi</t>
  </si>
  <si>
    <t>Jabsons Assorted Chikkis</t>
  </si>
  <si>
    <t>Lotte Choco Pie (Grab yours @ 10 Per Pie)</t>
  </si>
  <si>
    <t>Cadbury Chocolate Cookies (Purple Pack)</t>
  </si>
  <si>
    <t>Britannia 50-50 Biscuits (Blue Pack)</t>
  </si>
  <si>
    <t>McVitie's Digestives Biscuits</t>
  </si>
  <si>
    <t>Britannia Digestives Biscuits</t>
  </si>
  <si>
    <t>Nurture Choice Oat Cookies</t>
  </si>
  <si>
    <t>Britannia 50-50 Potazos Biscuits</t>
  </si>
  <si>
    <t>Parle-G Gluco Biscuits</t>
  </si>
  <si>
    <t>Britannia 50-50 Green Packets</t>
  </si>
  <si>
    <t>KCB Mumbai Pav Yellow Packets</t>
  </si>
  <si>
    <t>Rusk/Toast Packets</t>
  </si>
  <si>
    <t>milk rusk|biscuits|cake</t>
  </si>
  <si>
    <t>Green Packets (Assorted Biscuits)</t>
  </si>
  <si>
    <t>Britannia Atta Biscuit</t>
  </si>
  <si>
    <t>Sunfeast Farmlite Digestives</t>
  </si>
  <si>
    <t>Britannia Treat Jim Jam Biscuits</t>
  </si>
  <si>
    <t>Bikaji Chikkis</t>
  </si>
  <si>
    <t>Karachi Bakery Dry Petha</t>
  </si>
  <si>
    <t>Karachi Bakery Atta Biscuit</t>
  </si>
  <si>
    <t>godhumapindi|cookies|indian cookies</t>
  </si>
  <si>
    <t>Karachi Bakery Gur Jaggery Atta Biscuit</t>
  </si>
  <si>
    <t>McVitie's Digestives</t>
  </si>
  <si>
    <t>Britannia Milk Bikis Biscuits</t>
  </si>
  <si>
    <t>Parle Monaco Classic Biscuits</t>
  </si>
  <si>
    <t>Britannia Good Day Cashew Cookies Box</t>
  </si>
  <si>
    <t>Karachi Bakery Premium Pack Biscuits</t>
  </si>
  <si>
    <t>Creamy Rolls</t>
  </si>
  <si>
    <t>Parle Monaco Classic Crackers</t>
  </si>
  <si>
    <t>Karachi Bakery Gur Atta Biscuit</t>
  </si>
  <si>
    <t>Parle Monaco Classic Salted Biscuits</t>
  </si>
  <si>
    <t>Parle Krackjack Biscuits</t>
  </si>
  <si>
    <t>GOB Orange Biscuits</t>
  </si>
  <si>
    <t>Pista Biscuits</t>
  </si>
  <si>
    <t>Zeera Biscuits</t>
  </si>
  <si>
    <t>Taste Majestic Cookies</t>
  </si>
  <si>
    <t>Sugar Free Cashew Biscuits</t>
  </si>
  <si>
    <t>Bakery Rusk / Cookies in Clamshell Packaging</t>
  </si>
  <si>
    <t>Parle-G Gold Biscuits Packets</t>
  </si>
  <si>
    <t>Parle-G Choco Biscuits</t>
  </si>
  <si>
    <t>cookies|cookie</t>
  </si>
  <si>
    <t>Parle Hide &amp; Seek Biscuits Packets</t>
  </si>
  <si>
    <t>GRB Mysore Pak</t>
  </si>
  <si>
    <t>Ghasitaram's Bombay Halwa</t>
  </si>
  <si>
    <t>Italian Coconut Biscuits</t>
  </si>
  <si>
    <t>cookie</t>
  </si>
  <si>
    <t>Badam Pista Biscuits</t>
  </si>
  <si>
    <t>almond</t>
  </si>
  <si>
    <t>Parle Hide &amp; Seek Choco Chip Cookies</t>
  </si>
  <si>
    <t>Parle Hide &amp; Seek Black Bourbon Choco Creme Sandwich Cookies</t>
  </si>
  <si>
    <t>Parle Hide &amp; Seek Black Bourbon Vanilla Creme Sandwich Cookies</t>
  </si>
  <si>
    <t>Parle Bourbon Biscuits</t>
  </si>
  <si>
    <t>KCB Crown Cake Rusk</t>
  </si>
  <si>
    <t>Sugar Free Cashew Biscuit</t>
  </si>
  <si>
    <t>Crispy &amp; Delicious Fruit Rusk</t>
  </si>
  <si>
    <t>cake|rusk</t>
  </si>
  <si>
    <t>Parle Platina Hide &amp; Seek Crest Collection</t>
  </si>
  <si>
    <t>KCB Cake Rusk</t>
  </si>
  <si>
    <t>KCB Cake Rusk Coconut Flavor</t>
  </si>
  <si>
    <t>indian bakery</t>
  </si>
  <si>
    <t>Bhakri Masala</t>
  </si>
  <si>
    <t>flatbread|indian</t>
  </si>
  <si>
    <t>Bhakri Plain</t>
  </si>
  <si>
    <t>Swad Chana</t>
  </si>
  <si>
    <t>Bansi Roasted Masala Chana</t>
  </si>
  <si>
    <t>Bansi Roasted Chana</t>
  </si>
  <si>
    <t>Deep Khakhra Farali</t>
  </si>
  <si>
    <t>Deep Khakhra Jeera</t>
  </si>
  <si>
    <t>cumin|pearl millet biscuit</t>
  </si>
  <si>
    <t>Deep Khakhra Masala</t>
  </si>
  <si>
    <t>Deep Khakhra Methi</t>
  </si>
  <si>
    <t>Swad Walnuts</t>
  </si>
  <si>
    <t>Deep Green Raisin</t>
  </si>
  <si>
    <t>Swad Golden Raisins</t>
  </si>
  <si>
    <t>Quinoa Puff</t>
  </si>
  <si>
    <t>KCE Cake Rusk Coconut Flavor</t>
  </si>
  <si>
    <t>Masala Para</t>
  </si>
  <si>
    <t>Namak Para</t>
  </si>
  <si>
    <t>Bansi Masala Chana</t>
  </si>
  <si>
    <t>Bansi Tangy Turmeric Chana</t>
  </si>
  <si>
    <t>Laxmi Mahabaleshwar Roasted Chana</t>
  </si>
  <si>
    <t>Masala Peas Spicy Chickpeas</t>
  </si>
  <si>
    <t>chana chor</t>
  </si>
  <si>
    <t>Deep Khakhara Methi</t>
  </si>
  <si>
    <t>Jabsons Khakhra</t>
  </si>
  <si>
    <t>Deep Red Raisin</t>
  </si>
  <si>
    <t>Jabsons Green Pistachio</t>
  </si>
  <si>
    <t>nuts</t>
  </si>
  <si>
    <t>Swad White Pistachios</t>
  </si>
  <si>
    <t>Swad Whole Cashews</t>
  </si>
  <si>
    <t>kashew</t>
  </si>
  <si>
    <t>Munch Tantra Quinoa Puff Jalapeno</t>
  </si>
  <si>
    <t>Munch Tantra Quinoa Puff</t>
  </si>
  <si>
    <t>Munch Tantra Jowar Puff</t>
  </si>
  <si>
    <t>Shakarpara</t>
  </si>
  <si>
    <t>Laxmi Mahabaleshwari Roasted Chana</t>
  </si>
  <si>
    <t>Swad Masala Peas Spicy Chickpeas</t>
  </si>
  <si>
    <t>Swad Roasted Chana</t>
  </si>
  <si>
    <t>Khakhara Pizza</t>
  </si>
  <si>
    <t>Khakhara Methi</t>
  </si>
  <si>
    <t>Swad Khakhra</t>
  </si>
  <si>
    <t>Swad Red Raisin</t>
  </si>
  <si>
    <t>Swad Pistachio Green</t>
  </si>
  <si>
    <t>Swad Pistachio Roasted Salted</t>
  </si>
  <si>
    <t>Rack 84</t>
  </si>
  <si>
    <t>Munch Tantra Chickpea Puff</t>
  </si>
  <si>
    <t>Britannia Toastea Suji Rusk</t>
  </si>
  <si>
    <t>Britannia Toastea Premium Bake Rusk</t>
  </si>
  <si>
    <t>Teera Cake Rusk</t>
  </si>
  <si>
    <t>Teera Jeera Puri</t>
  </si>
  <si>
    <t>Teera Methi Puri</t>
  </si>
  <si>
    <t>Jiva's Roasted Chana</t>
  </si>
  <si>
    <t>Jiva's Roasted Chana Lemon Chatpata</t>
  </si>
  <si>
    <t>Roasted Cashews</t>
  </si>
  <si>
    <t>Roasted Almonds</t>
  </si>
  <si>
    <t>badaam</t>
  </si>
  <si>
    <t>Jabsons Roasted Peanuts Spicy Masala</t>
  </si>
  <si>
    <t>Swad Cashew Whole</t>
  </si>
  <si>
    <t>Swad Natural Sliced Almonds</t>
  </si>
  <si>
    <t>Swad Natural Slivered Almonds</t>
  </si>
  <si>
    <t>Swad Almonds</t>
  </si>
  <si>
    <t>Bourbon Biscuits</t>
  </si>
  <si>
    <t>Krac-Jack Biscuits</t>
  </si>
  <si>
    <t>Britannia Toastea Milk Rusk</t>
  </si>
  <si>
    <t>britannia|milk rusk|biscuits</t>
  </si>
  <si>
    <t>Masala Papadi</t>
  </si>
  <si>
    <t>Jabsons Peanuts Spicy Masala</t>
  </si>
  <si>
    <t>Jabsons Peanuts Salted</t>
  </si>
  <si>
    <t>Jabsons Peanuts Classic Salted</t>
  </si>
  <si>
    <t>Laxmi Til Chikki</t>
  </si>
  <si>
    <t>Rack 71</t>
  </si>
  <si>
    <t>Top Shelf</t>
  </si>
  <si>
    <t>Bikaji Rusk</t>
  </si>
  <si>
    <t>Methi Thepla</t>
  </si>
  <si>
    <t>Desi Masala Para</t>
  </si>
  <si>
    <t>Desi Masala Papadi</t>
  </si>
  <si>
    <t>Desi Papadi</t>
  </si>
  <si>
    <t>Jabsons Peanuts</t>
  </si>
  <si>
    <t>Chikki Rolls</t>
  </si>
  <si>
    <t>T&amp;G Laddu</t>
  </si>
  <si>
    <t>Haldiram's Dal Biji</t>
  </si>
  <si>
    <t>Laxmi Almonds</t>
  </si>
  <si>
    <t>Laxmi Whole Almonds</t>
  </si>
  <si>
    <t>Shahd Whole Almonds</t>
  </si>
  <si>
    <t>Dry Apricots</t>
  </si>
  <si>
    <t>Jabsons</t>
  </si>
  <si>
    <t>BE CORN CHIWDA</t>
  </si>
  <si>
    <t>Bottom Shelf</t>
  </si>
  <si>
    <t>Treat</t>
  </si>
  <si>
    <t>Bikaji Milk Rusk</t>
  </si>
  <si>
    <t>Bikaji Premium Suji Rusk</t>
  </si>
  <si>
    <t>milk rusk|biscuits</t>
  </si>
  <si>
    <t>deep Masala Para</t>
  </si>
  <si>
    <t>deep Masala Papadi</t>
  </si>
  <si>
    <t>puchka masala|golgappas spice|tea spice</t>
  </si>
  <si>
    <t>deep Papadi Traditional Chickpea Flour Crisps</t>
  </si>
  <si>
    <t>deep Fafda</t>
  </si>
  <si>
    <t>Jabsons Tandoori Roasted Peanuts</t>
  </si>
  <si>
    <t>Jabsons Roasted Peanuts Black Pepper</t>
  </si>
  <si>
    <t>Jabsons Roasted Peanuts</t>
  </si>
  <si>
    <t>Jabsons Chilli 'N' Garlic Chana</t>
  </si>
  <si>
    <t>mirchi</t>
  </si>
  <si>
    <t>Jabsons Lemon 'N' Mint Chana</t>
  </si>
  <si>
    <t>Jabsons Nimboo Pudina Chana</t>
  </si>
  <si>
    <t>Laxmi Till Chikki</t>
  </si>
  <si>
    <t>Jiya's Blanched Peanuts</t>
  </si>
  <si>
    <t>Swetha Peanut Chikki Balls</t>
  </si>
  <si>
    <t>Swetha Peanut Chikki Bar</t>
  </si>
  <si>
    <t>deep Sesame Chikki</t>
  </si>
  <si>
    <t>sweet sesame chikki</t>
  </si>
  <si>
    <t>Deep Masala Para</t>
  </si>
  <si>
    <t>Top shelf</t>
  </si>
  <si>
    <t>Deep Papadi</t>
  </si>
  <si>
    <t>Jabsons Lemon &amp; Mint Chana</t>
  </si>
  <si>
    <t>Jabsons Hing Jeera Chana</t>
  </si>
  <si>
    <t>Jalaram Snacks</t>
  </si>
  <si>
    <t>chips</t>
  </si>
  <si>
    <t>Jiyas Roasted Peanuts</t>
  </si>
  <si>
    <t>Swetha Telugu Peanut Chikki Balls</t>
  </si>
  <si>
    <t>rajbhog sweets</t>
  </si>
  <si>
    <t>Swetha Telugu Peanut Chikki Bar</t>
  </si>
  <si>
    <t>Almonds (Packaged)</t>
  </si>
  <si>
    <t>badaam|nuts</t>
  </si>
  <si>
    <t>BK Corn Chiwda</t>
  </si>
  <si>
    <t>Dry Dates</t>
  </si>
  <si>
    <t>Dry Figs (Anjeer)</t>
  </si>
  <si>
    <t>Rack 72</t>
  </si>
  <si>
    <t>KCB Snacks</t>
  </si>
  <si>
    <t>Haldiram's Snacks</t>
  </si>
  <si>
    <t>Rack 66</t>
  </si>
  <si>
    <t>Jabsons Till Laddu</t>
  </si>
  <si>
    <t>pigeon pea</t>
  </si>
  <si>
    <t>Swad Natural Silvered Almonds</t>
  </si>
  <si>
    <t>Parle Hide &amp; Seek Bourbon Biscuits</t>
  </si>
  <si>
    <t>Haldiram's Aloo Bhujia</t>
  </si>
  <si>
    <t>snacks|snack</t>
  </si>
  <si>
    <t>Haldiram's All In One</t>
  </si>
  <si>
    <t>Bikaji Kuch-Kuch</t>
  </si>
  <si>
    <t>Raju Bhatha Kani</t>
  </si>
  <si>
    <t>atta|flatbread</t>
  </si>
  <si>
    <t>Mirch Masala A Dal Mixture</t>
  </si>
  <si>
    <t>Swetha Sev Pakoda</t>
  </si>
  <si>
    <t>Chennai Special Cholam Ribbon</t>
  </si>
  <si>
    <t>Deep South India Murukku</t>
  </si>
  <si>
    <t>Swetha Telugu Sakinalu</t>
  </si>
  <si>
    <t>murukku</t>
  </si>
  <si>
    <t>Swetha Telugu Sanna Karapusa</t>
  </si>
  <si>
    <t>Swetha Telugu Poha Mixture</t>
  </si>
  <si>
    <t>Swetha Telugu Pappu Chekodilu</t>
  </si>
  <si>
    <t>Swetha Telugu Mullu Murukulu</t>
  </si>
  <si>
    <t>murukku|spicy muruku|muruku</t>
  </si>
  <si>
    <t>Swetha Telugu Masala Peanuts</t>
  </si>
  <si>
    <t>Anand Masala Chanadal</t>
  </si>
  <si>
    <t>Anand Masala Peanuts</t>
  </si>
  <si>
    <t>Euro Mini Bhakarwadi</t>
  </si>
  <si>
    <t>flatbread</t>
  </si>
  <si>
    <t>Anand Kappalandi Masala</t>
  </si>
  <si>
    <t>Anand Kabuli Chana Spicy</t>
  </si>
  <si>
    <t>Anand Kachori Sweet &amp; Spicy Wheat Rolls</t>
  </si>
  <si>
    <t>whole wheat atta|atta|whole wheat</t>
  </si>
  <si>
    <t>Anand Jalapeno Murukku Sticks</t>
  </si>
  <si>
    <t>spicy muruku|muruku</t>
  </si>
  <si>
    <t>Raju Bhavnagari Gathiya</t>
  </si>
  <si>
    <t>Raju Ratlami Sev</t>
  </si>
  <si>
    <t>Haldiram's Plain Bhujia</t>
  </si>
  <si>
    <t>snack|snacks</t>
  </si>
  <si>
    <t>Haldiram's Boondi Salted</t>
  </si>
  <si>
    <t>Bikaji Sub-Kuch Navratna Mix</t>
  </si>
  <si>
    <t>rava|snack mix|snacks</t>
  </si>
  <si>
    <t>Bombay Kitchen Punjabi Mix</t>
  </si>
  <si>
    <t>spicy punjabi mix|bombay mixture|snacks</t>
  </si>
  <si>
    <t>Bombay Kitchen Bhel Mix</t>
  </si>
  <si>
    <t>bombay mixture</t>
  </si>
  <si>
    <t>Bikaji Masala Mix</t>
  </si>
  <si>
    <t>G. Pulla Reddy Masala Peanuts</t>
  </si>
  <si>
    <t>G. Pulla Reddy Madras Mixture</t>
  </si>
  <si>
    <t>G. Pulla Reddy Karampusa</t>
  </si>
  <si>
    <t>indian snack</t>
  </si>
  <si>
    <t>G. Pulla Reddy Janthikalu</t>
  </si>
  <si>
    <t>G. Pulla Reddy Butter Murukku</t>
  </si>
  <si>
    <t>Anand Ribbon Pakoda</t>
  </si>
  <si>
    <t>Anand Ragi Muruku</t>
  </si>
  <si>
    <t>Anand Plantain Chips Salted</t>
  </si>
  <si>
    <t>Anand Special Palak Muruku</t>
  </si>
  <si>
    <t>spicy muruku|murukku</t>
  </si>
  <si>
    <t>muruku|249 anand|mini</t>
  </si>
  <si>
    <t>Anand Mini Bhakarwadi</t>
  </si>
  <si>
    <t>Euro Tasty Peanuts</t>
  </si>
  <si>
    <t>Euro Shahi Mixture</t>
  </si>
  <si>
    <t>Euro Ratlami Sev</t>
  </si>
  <si>
    <t>Euro Nylon Sev</t>
  </si>
  <si>
    <t>Euro Navratan Mix</t>
  </si>
  <si>
    <t>rava|snack mix|spice mix</t>
  </si>
  <si>
    <t>Euro Masala Soya</t>
  </si>
  <si>
    <t>Euro Madras Mix</t>
  </si>
  <si>
    <t>spice mix|rava|snack mix</t>
  </si>
  <si>
    <t>Jabsons Soya Sticks Magic Masala</t>
  </si>
  <si>
    <t>Jabsons Soya Sticks Tangy Tomato</t>
  </si>
  <si>
    <t>Jabsons Sabudana Mix</t>
  </si>
  <si>
    <t>Jabsons Falahari Mixture</t>
  </si>
  <si>
    <t>Garvi Gujarat Yellow Banana Wafers</t>
  </si>
  <si>
    <t>Garvi Gujarat Sada Sev</t>
  </si>
  <si>
    <t>Garvi Gujarat Roasted Poha Chiwda</t>
  </si>
  <si>
    <t>gujarati sweets|indian snack</t>
  </si>
  <si>
    <t>gujarati sweets|spicy</t>
  </si>
  <si>
    <t>Garvi Gujarat Nadiyadi Mix</t>
  </si>
  <si>
    <t>snacks|mixture|gujarati sweets|masala|spice</t>
  </si>
  <si>
    <t>Garvi Gujarat Gujarati Chakri</t>
  </si>
  <si>
    <t>gujarati sweets|fried snack</t>
  </si>
  <si>
    <t>Garvi Gujarat Bhungra</t>
  </si>
  <si>
    <t>Jabsons Sabudana Mixture</t>
  </si>
  <si>
    <t>Haldiram's Bikaneri Bhujia</t>
  </si>
  <si>
    <t>Limbu Mari Sev</t>
  </si>
  <si>
    <t>Kurkure Masala Munch</t>
  </si>
  <si>
    <t>Lay's Spanish Tomato Tangy</t>
  </si>
  <si>
    <t>Ananda Banana Pepper Chips</t>
  </si>
  <si>
    <t>snacks|banana chilli</t>
  </si>
  <si>
    <t>Amma's Kitchen Madras Mixture</t>
  </si>
  <si>
    <t>madras mix|spice mix|snacks</t>
  </si>
  <si>
    <t>Euro Pepper Banana Wafer</t>
  </si>
  <si>
    <t>chips|banana chilli</t>
  </si>
  <si>
    <t>A2B Thattai</t>
  </si>
  <si>
    <t>A2B Ribbon Pakoda</t>
  </si>
  <si>
    <t>A2B Pepper Thottal</t>
  </si>
  <si>
    <t>A2B Pepper Sev</t>
  </si>
  <si>
    <t>A2B Navadhanya Mixture</t>
  </si>
  <si>
    <t>A2B Kara Boondi</t>
  </si>
  <si>
    <t>Swetha Chekkalu</t>
  </si>
  <si>
    <t>Swetha Bellam Gavvalu</t>
  </si>
  <si>
    <t>Swetha Banana Chips</t>
  </si>
  <si>
    <t>Swetha Andhra Mixture</t>
  </si>
  <si>
    <t>Yanakts Thattai</t>
  </si>
  <si>
    <t>Anand Boondi</t>
  </si>
  <si>
    <t>veg boondi|bundi|sweets</t>
  </si>
  <si>
    <t>Anand Bhutia</t>
  </si>
  <si>
    <t>Anand Benne Muruku</t>
  </si>
  <si>
    <t>Anand Banana Chips</t>
  </si>
  <si>
    <t>Anand Banana Chips (Pepper)</t>
  </si>
  <si>
    <t>banana chilli|snacks</t>
  </si>
  <si>
    <t>Anand Baby Muruku</t>
  </si>
  <si>
    <t>Anand Andhra Mixture</t>
  </si>
  <si>
    <t>Sweet Karam Coffee Spiced Peanuts</t>
  </si>
  <si>
    <t>Sweet Karam Coffee Ribbon Pakoda</t>
  </si>
  <si>
    <t>Sweet Karam Coffee Pepper Murukku Sticks</t>
  </si>
  <si>
    <t>spicy muruku|snacks</t>
  </si>
  <si>
    <t>Sweet Karam Coffee Nippattu (Thattai)</t>
  </si>
  <si>
    <t>kaapi</t>
  </si>
  <si>
    <t>Sweet Karam Coffee Madras Mixture</t>
  </si>
  <si>
    <t>Sweet Karam Coffee Classic Murukku Sticks</t>
  </si>
  <si>
    <t>Sweet Karam Coffee Classic Seedai</t>
  </si>
  <si>
    <t>Kurkure Cheese Balls</t>
  </si>
  <si>
    <t>Bingo! Tedhe Medhe</t>
  </si>
  <si>
    <t>Bingo! Mad Angles</t>
  </si>
  <si>
    <t>Anand Bhel Mix Spicy</t>
  </si>
  <si>
    <t>Anand Bhel Mix</t>
  </si>
  <si>
    <t>Anand Potato Chips</t>
  </si>
  <si>
    <t>potato chips masala</t>
  </si>
  <si>
    <t>Anand Pepper Banana Chips</t>
  </si>
  <si>
    <t>Anand Boondi Salted</t>
  </si>
  <si>
    <t>Anand Cornflakes Chinda</t>
  </si>
  <si>
    <t>A2B Pepper Thattai</t>
  </si>
  <si>
    <t>Sweetha Telugu Karapusa</t>
  </si>
  <si>
    <t>Sweetha Telugu Kara Boondi</t>
  </si>
  <si>
    <t>boondi masala|masala|indian snack|split black gram</t>
  </si>
  <si>
    <t>Sweetha Telugu Janthikalu</t>
  </si>
  <si>
    <t>murukku|spicy</t>
  </si>
  <si>
    <t>Sweetha Telugu Jackfruit Chips</t>
  </si>
  <si>
    <t>snacks|salted</t>
  </si>
  <si>
    <t>Sweetha Telugu Chethi Chekkalu</t>
  </si>
  <si>
    <t>fried snack|murukku|indian spices|south indian|split black gram</t>
  </si>
  <si>
    <t>Sweetha Telugu Chekkalu</t>
  </si>
  <si>
    <t>fried snack|murukku|split black gram</t>
  </si>
  <si>
    <t>Sweetha Telugu Bellam Gavvalu</t>
  </si>
  <si>
    <t>Sweetha Telugu Banana Chips</t>
  </si>
  <si>
    <t>Anand Farsan Mart Farali Chiwda</t>
  </si>
  <si>
    <t>Anand Farsan Mart Farali Chiwda Mithai</t>
  </si>
  <si>
    <t>Anand Chanachur Mixture</t>
  </si>
  <si>
    <t>Anand Butter Murukku Sticks</t>
  </si>
  <si>
    <t>anand muruku|muruku</t>
  </si>
  <si>
    <t>boondi masala|anand|spices</t>
  </si>
  <si>
    <t>Anand Boondi Plain</t>
  </si>
  <si>
    <t>veg boondi|bundi</t>
  </si>
  <si>
    <t>Anand Benne Murukku</t>
  </si>
  <si>
    <t>muruku|anand muruku</t>
  </si>
  <si>
    <t>Euro Aldo Sev</t>
  </si>
  <si>
    <t>Euro All In One</t>
  </si>
  <si>
    <t>Amma's Kitchen Banana Chips Masala</t>
  </si>
  <si>
    <t>Amma's Kitchen Achappam</t>
  </si>
  <si>
    <t>Sweet Karam Coffee Nippattu</t>
  </si>
  <si>
    <t>Poprings Cheese Chilli</t>
  </si>
  <si>
    <t>Kwiks Cheese Balls</t>
  </si>
  <si>
    <t>Poprings</t>
  </si>
  <si>
    <t>Swetha Telugu Bhel Mix</t>
  </si>
  <si>
    <t>mixture</t>
  </si>
  <si>
    <t>Swetha Telugu Kara Boondi</t>
  </si>
  <si>
    <t>Deep Foods Snacks</t>
  </si>
  <si>
    <t>Swetha Telugu Chekodilu</t>
  </si>
  <si>
    <t>fried snack|indian snack</t>
  </si>
  <si>
    <t>Swetha Telugu Murukulu</t>
  </si>
  <si>
    <t>murukku|muruku</t>
  </si>
  <si>
    <t>Swetha Telugu Madras Mixture</t>
  </si>
  <si>
    <t>Swetha Telugu Raia Mixture</t>
  </si>
  <si>
    <t>Swetha Telugu Karapusa</t>
  </si>
  <si>
    <t>Swetha Telugu Janthikalu</t>
  </si>
  <si>
    <t>Swetha Telugu Jackfruit Chips</t>
  </si>
  <si>
    <t>Swetha Telugu Chethi Chek</t>
  </si>
  <si>
    <t>Anand Jackfruit Chips</t>
  </si>
  <si>
    <t>Anand Hyderabad Mixture</t>
  </si>
  <si>
    <t>Anand Garlic Mixture</t>
  </si>
  <si>
    <t>Anand Farali Chiwda Tikha</t>
  </si>
  <si>
    <t>Anand Farali Chiwda Mitha</t>
  </si>
  <si>
    <t>Euro Garlic Chiwda</t>
  </si>
  <si>
    <t>Euro Dal Moth</t>
  </si>
  <si>
    <t>Euro Dry Kachori</t>
  </si>
  <si>
    <t>Euro Chana Dal</t>
  </si>
  <si>
    <t>Euro Chana Jor Masala</t>
  </si>
  <si>
    <t>Euro Aloo Sev</t>
  </si>
  <si>
    <t>Amma's Kitchen Jackfruit Chips</t>
  </si>
  <si>
    <t>Amma's Kitchen Banana Chips Chili Masala</t>
  </si>
  <si>
    <t>Nutram All In One</t>
  </si>
  <si>
    <t>Bikaji Kuch Kuch</t>
  </si>
  <si>
    <t>Raju Bhatia</t>
  </si>
  <si>
    <t>Shalini</t>
  </si>
  <si>
    <t>Sroy Pakoda</t>
  </si>
  <si>
    <t>B.K. Punjabi Mix</t>
  </si>
  <si>
    <t>samosas|punjabi samosas|deep fried samosas</t>
  </si>
  <si>
    <t>Deep</t>
  </si>
  <si>
    <t>sooji|rava|semolina|deep carom seeds flatbread</t>
  </si>
  <si>
    <t>Swetha Telugu Kapapusa</t>
  </si>
  <si>
    <t>Swetha Telugu Kerala Mixture</t>
  </si>
  <si>
    <t>Anand Karpalandi Masala</t>
  </si>
  <si>
    <t>Anand Kabuli Chana</t>
  </si>
  <si>
    <t>Euro Masala Boondi</t>
  </si>
  <si>
    <t>Euro Methi Puri</t>
  </si>
  <si>
    <t>Ammas Kitchen Jackfruit Chips</t>
  </si>
  <si>
    <t>Kurkure</t>
  </si>
  <si>
    <t>Haldiram's Boondi Masala</t>
  </si>
  <si>
    <t>Haldiram's Bhujia</t>
  </si>
  <si>
    <t>Kuch Kuch</t>
  </si>
  <si>
    <t>Mirch Masala Dal Mixture</t>
  </si>
  <si>
    <t>The Grand Sweets Seroy Pakoda</t>
  </si>
  <si>
    <t>The Grand Sweets Cholam Ribbon</t>
  </si>
  <si>
    <t>Swetha Telugu Foods Sakinalu</t>
  </si>
  <si>
    <t>Swetha Telugu Foods Spicy Sakinalu</t>
  </si>
  <si>
    <t>Swetha Telugu Foods Sanna Karapus</t>
  </si>
  <si>
    <t>Swetha Telugu Foods Poha Mixture</t>
  </si>
  <si>
    <t>Swetha Telugu Foods Pappu Chekodis</t>
  </si>
  <si>
    <t>Anand Bhakarwadi</t>
  </si>
  <si>
    <t>Euro Karpalandi Masala</t>
  </si>
  <si>
    <t>Euro Navratan Mixture</t>
  </si>
  <si>
    <t>Euro Soya Sticks</t>
  </si>
  <si>
    <t>Euro Madrasi Mix</t>
  </si>
  <si>
    <t>Euro Garlic Chivda</t>
  </si>
  <si>
    <t>lahsun|vellulli|chiwda</t>
  </si>
  <si>
    <t>Anand Dal Moth</t>
  </si>
  <si>
    <t>Anand Dry Kachori</t>
  </si>
  <si>
    <t>Alo Bhu</t>
  </si>
  <si>
    <t>Bikaji Sub-Kuch</t>
  </si>
  <si>
    <t>Mirchi Masala</t>
  </si>
  <si>
    <t>Mirchi Masala Corn Chevda</t>
  </si>
  <si>
    <t>Mirchi Masala Channa Dal</t>
  </si>
  <si>
    <t>split black gram|biryani|spice</t>
  </si>
  <si>
    <t>Swetha Telugu Spicy Sakinalu</t>
  </si>
  <si>
    <t>Swetha Telugu Sanna Karalu</t>
  </si>
  <si>
    <t>spicy|indian snack</t>
  </si>
  <si>
    <t>Anand Plantain Chips</t>
  </si>
  <si>
    <t>anand potato chips|snacks</t>
  </si>
  <si>
    <t>Euro Malai Soya Sev</t>
  </si>
  <si>
    <t>Dry Fruit Panchratan</t>
  </si>
  <si>
    <t>Mirch Masala Chana Dal</t>
  </si>
  <si>
    <t>Seroy Pakoda</t>
  </si>
  <si>
    <t>Euro Kerala Mixture</t>
  </si>
  <si>
    <t>snacks|masala|spice|indian spices</t>
  </si>
  <si>
    <t>Anand Jalapeno Murukku Stick</t>
  </si>
  <si>
    <t>Anand Jackfruit</t>
  </si>
  <si>
    <t>Euro La Soya Sticks</t>
  </si>
  <si>
    <t>Haldiram's Kuch-Kuch</t>
  </si>
  <si>
    <t>Mirch Masala Corn Chedda</t>
  </si>
  <si>
    <t>Chennai Special Cholam Ribon</t>
  </si>
  <si>
    <t>Swetha Telugu Pappu Chekodi</t>
  </si>
  <si>
    <t>Muruku Rice Snacks</t>
  </si>
  <si>
    <t>biyyam|chawal|indian rice</t>
  </si>
  <si>
    <t>Anand Jalapene Muruku</t>
  </si>
  <si>
    <t>snack mix|spice mix</t>
  </si>
  <si>
    <t>La Soya Sticks</t>
  </si>
  <si>
    <t>Madrasi Mix</t>
  </si>
  <si>
    <t>snacks|spice mix|mixture|snack mix</t>
  </si>
  <si>
    <t>Euro Chana</t>
  </si>
  <si>
    <t>Kurkure Green Chutney</t>
  </si>
  <si>
    <t>G. Pulla Reddy Masala</t>
  </si>
  <si>
    <t>Seroy Pak</t>
  </si>
  <si>
    <t>Swetha Telugu Sanna Karapupusa</t>
  </si>
  <si>
    <t>Anand Spicy Murukku</t>
  </si>
  <si>
    <t>spicy muruku|anand muruku</t>
  </si>
  <si>
    <t>Anand Muruku</t>
  </si>
  <si>
    <t>Anand Navratan Mixt</t>
  </si>
  <si>
    <t>Anand La Soya St</t>
  </si>
  <si>
    <t>Anand Adrasi Mix</t>
  </si>
  <si>
    <t>G. Pulla Reddy Murukku</t>
  </si>
  <si>
    <t>Swetha Telugu Foods Sanna Karapusa</t>
  </si>
  <si>
    <t>rice|south indian</t>
  </si>
  <si>
    <t>Karison Toasted Corn</t>
  </si>
  <si>
    <t>Bikaji Sub-kuch</t>
  </si>
  <si>
    <t>Bombay Kitchen Punjab Mix</t>
  </si>
  <si>
    <t>G. Pulla Reddy Ribbon Pakodi</t>
  </si>
  <si>
    <t>G. Pulla Reddy Navratna Mixture</t>
  </si>
  <si>
    <t>G. Pulla Reddy Arampusa</t>
  </si>
  <si>
    <t>G. Pulla Reddy Anthikalu</t>
  </si>
  <si>
    <t>Anand Special Cornflakes Mixture</t>
  </si>
  <si>
    <t>corn|indian snacks</t>
  </si>
  <si>
    <t>Anand Sev Thin</t>
  </si>
  <si>
    <t>Anand Rice Murukku</t>
  </si>
  <si>
    <t>Anand Special Plain Murukku</t>
  </si>
  <si>
    <t>muruku|snack</t>
  </si>
  <si>
    <t>Euro Bhel Sev</t>
  </si>
  <si>
    <t>indian</t>
  </si>
  <si>
    <t>Euro 3 in One Puri</t>
  </si>
  <si>
    <t>Euro Usal Sev</t>
  </si>
  <si>
    <t>Euro Rajasthani Mixture</t>
  </si>
  <si>
    <t>Euro Navratan Mixt</t>
  </si>
  <si>
    <t>Bikaji Aloo Bhujia Tana-Tan</t>
  </si>
  <si>
    <t>Raju Namkeen Bhatha Kani</t>
  </si>
  <si>
    <t>Ammas Kitchen Banana Chips Chili Masala</t>
  </si>
  <si>
    <t>Swetha Telugu Foods Sanna Karapu</t>
  </si>
  <si>
    <t>Karisons Roasted Corn</t>
  </si>
  <si>
    <t>G. Pulla Reddy Telangana Spicy Mixture</t>
  </si>
  <si>
    <t>G. Pulla Reddy Chekkalu</t>
  </si>
  <si>
    <t>G. Pulla Reddy Masala Mixture</t>
  </si>
  <si>
    <t>Anand Tapioca Sticks Spicy</t>
  </si>
  <si>
    <t>Anand Tamilnadu Mixture Snack Mix</t>
  </si>
  <si>
    <t>Anand Spicy Mullu Murukku</t>
  </si>
  <si>
    <t>Anand Cornflakes Mixture</t>
  </si>
  <si>
    <t>Anand Magi Crunchy Finger</t>
  </si>
  <si>
    <t>snacks|mixture</t>
  </si>
  <si>
    <t>Garvi Gujarat 3 in One Puri</t>
  </si>
  <si>
    <t>Garvi Gujarat Raw Banana Wafers</t>
  </si>
  <si>
    <t>chips|snacks</t>
  </si>
  <si>
    <t>Bikaji Tana-Tan</t>
  </si>
  <si>
    <t>chickpea</t>
  </si>
  <si>
    <t>Swetha Telugu Oha Mixture</t>
  </si>
  <si>
    <t>Jabsons Banana Chips</t>
  </si>
  <si>
    <t>Haldiram's Bombay Mix</t>
  </si>
  <si>
    <t>bombay mixture|snacks</t>
  </si>
  <si>
    <t>Pulla Reddy Telangana Mixture</t>
  </si>
  <si>
    <t>Raju Chana Dal</t>
  </si>
  <si>
    <t>Raju Flakes Chiwda</t>
  </si>
  <si>
    <t>Laxminarayan Chiwda</t>
  </si>
  <si>
    <t>Anand Tamilnadu Mixture</t>
  </si>
  <si>
    <t>Anand Selthin</t>
  </si>
  <si>
    <t>Garvi Gujarat Dry Kathori</t>
  </si>
  <si>
    <t>Garvi Gujarat Chana Jor Garam</t>
  </si>
  <si>
    <t>chickpeas|indian snack</t>
  </si>
  <si>
    <t>gujarati sweets|indian</t>
  </si>
  <si>
    <t>Anand Bhel Sev</t>
  </si>
  <si>
    <t>Raju Namkeen Khatta Meetha</t>
  </si>
  <si>
    <t>chickpeas</t>
  </si>
  <si>
    <t>Chitale Bandhu Special Chivda</t>
  </si>
  <si>
    <t>Raju Namkeen Garlic Chivda</t>
  </si>
  <si>
    <t>Telugu Poha Mixture</t>
  </si>
  <si>
    <t>Laxminarayan Falahar Mixture</t>
  </si>
  <si>
    <t>Haldiram's Navrattan</t>
  </si>
  <si>
    <t>Haldiram's Punjabi Tadka</t>
  </si>
  <si>
    <t>samosas|punjabi samosas</t>
  </si>
  <si>
    <t>Haldiram's Limbu Mari</t>
  </si>
  <si>
    <t>Haldiram's Abu Mari Sev</t>
  </si>
  <si>
    <t>Raju Namkeen Chana Dal</t>
  </si>
  <si>
    <t>Haldiram's Om Podi</t>
  </si>
  <si>
    <t>dosa podi|brahmins dosa powder|brahmins puttu powder</t>
  </si>
  <si>
    <t>Laxminarayan Shabu Flakes Chivda</t>
  </si>
  <si>
    <t>chiwda</t>
  </si>
  <si>
    <t>Raju Bhatha</t>
  </si>
  <si>
    <t>Haldiram's Boondi Salt</t>
  </si>
  <si>
    <t>Chitale Ratlami Mixture</t>
  </si>
  <si>
    <t>Chitale Bakarwadi</t>
  </si>
  <si>
    <t>mumbai street food|pearl millet biscuit</t>
  </si>
  <si>
    <t>Chitale Chana Chor Samosa</t>
  </si>
  <si>
    <t>Chitale Chakli</t>
  </si>
  <si>
    <t>Poha Atukula</t>
  </si>
  <si>
    <t>Haldiram's Samosa</t>
  </si>
  <si>
    <t>potato samosa|snack</t>
  </si>
  <si>
    <t>Limu Mari Sev</t>
  </si>
  <si>
    <t>Chiwda</t>
  </si>
  <si>
    <t>Alu Bhujia</t>
  </si>
  <si>
    <t>Ganesh Bhel</t>
  </si>
  <si>
    <t>Karachi's Dry-Fruit Kachori</t>
  </si>
  <si>
    <t>Bansi Bhel Puri Kit</t>
  </si>
  <si>
    <t>Chitale Chana Chaat Samosa</t>
  </si>
  <si>
    <t>deep fried samosas</t>
  </si>
  <si>
    <t>Euro Navratan Mixtup</t>
  </si>
  <si>
    <t>potato samosa|snack|deep fried samosas</t>
  </si>
  <si>
    <t>Haldirams Navratan</t>
  </si>
  <si>
    <t>Raju Aloo Bhujiya</t>
  </si>
  <si>
    <t>Garvi Gujarat Poha Chiwda</t>
  </si>
  <si>
    <t>Babu Mari Sev</t>
  </si>
  <si>
    <t>Babu Chana Dal</t>
  </si>
  <si>
    <t>Garvi Gujarat Farali Chiwda</t>
  </si>
  <si>
    <t>Garvi Gujarat Gujrati Chakri</t>
  </si>
  <si>
    <t>Lay's Spanish Tomato Tango</t>
  </si>
  <si>
    <t>Chana Dal</t>
  </si>
  <si>
    <t>split black gram|chickpeas|chickpea</t>
  </si>
  <si>
    <t>Garvi Gujarat Masala Murukku</t>
  </si>
  <si>
    <t>Garvi Gujarat Nagari Gathiya</t>
  </si>
  <si>
    <t>Lay's Sizzling Hot</t>
  </si>
  <si>
    <t>Bottom shelf</t>
  </si>
  <si>
    <t>Anand Spicy Mullu Muruku</t>
  </si>
  <si>
    <t>Garvi Gujarat Bhavnagari Gathiya</t>
  </si>
  <si>
    <t>Lay's Chile Limon</t>
  </si>
  <si>
    <t>Anand Ribbun Pakoda</t>
  </si>
  <si>
    <t>naan</t>
  </si>
  <si>
    <t>Lay's Chile Limon Potato Chips</t>
  </si>
  <si>
    <t>potato chips masala|snacks</t>
  </si>
  <si>
    <t>Lay's Potato Chips</t>
  </si>
  <si>
    <t>Anand Thin Sev</t>
  </si>
  <si>
    <t>Anand Ragi Murukku</t>
  </si>
  <si>
    <t>muruku</t>
  </si>
  <si>
    <t>Euro Ratlami Mixture</t>
  </si>
  <si>
    <t>mix|snacks|snack mix</t>
  </si>
  <si>
    <t>Lays Chips</t>
  </si>
  <si>
    <t>Euro Masala Soya Sticks</t>
  </si>
  <si>
    <t>Euro Masala</t>
  </si>
  <si>
    <t>kerala|mixture</t>
  </si>
  <si>
    <t>Euro Methi Para</t>
  </si>
  <si>
    <t>Euro Ni Bhakarwadi</t>
  </si>
  <si>
    <t>Anand Jala</t>
  </si>
  <si>
    <t>Anand Garlic</t>
  </si>
  <si>
    <t>Euro Chiwda</t>
  </si>
  <si>
    <t>Abad Mixture</t>
  </si>
  <si>
    <t>amma s iyer mixture|indian spice blend|south indian mix</t>
  </si>
  <si>
    <t>Farsan Mart Farali Chiwda Tikha</t>
  </si>
  <si>
    <t>Farsan Mart Farali Chiwda</t>
  </si>
  <si>
    <t>A. Chanachur Mixture</t>
  </si>
  <si>
    <t>Euro A Jor Masala</t>
  </si>
  <si>
    <t>PopRings Cheese Chilli Flavour</t>
  </si>
  <si>
    <t>Farali Chiwda</t>
  </si>
  <si>
    <t>Chanachur Mix</t>
  </si>
  <si>
    <t>mixture|snacks</t>
  </si>
  <si>
    <t>Butter Murukku Sticks</t>
  </si>
  <si>
    <t>Boondi</t>
  </si>
  <si>
    <t>Frito Jone</t>
  </si>
  <si>
    <t>Anand Boundi Plain</t>
  </si>
  <si>
    <t>Anand Banana Chips (Salted)</t>
  </si>
  <si>
    <t>anand|banana|chips|salted</t>
  </si>
  <si>
    <t>PopRings</t>
  </si>
  <si>
    <t>Anand Banana Chips (Chilli)</t>
  </si>
  <si>
    <t>Baby Muruku Spicy</t>
  </si>
  <si>
    <t>Sweet Karam Coffee Pepper Muruku Sticks</t>
  </si>
  <si>
    <t>Sweet Karam Coffee Thippattu Thattai</t>
  </si>
  <si>
    <t>Laxmi Amla</t>
  </si>
  <si>
    <t>amla preserve</t>
  </si>
  <si>
    <t>Freezer 1</t>
  </si>
  <si>
    <t>Laxmi Drumsticks</t>
  </si>
  <si>
    <t>Laxmi Green Peas</t>
  </si>
  <si>
    <t>Laxmi Karela</t>
  </si>
  <si>
    <t>Laxmi Tindora</t>
  </si>
  <si>
    <t>ivy gourd</t>
  </si>
  <si>
    <t>Vadilal Amla</t>
  </si>
  <si>
    <t>Vadilal Fansi</t>
  </si>
  <si>
    <t>Vadilal Green Chana</t>
  </si>
  <si>
    <t>Vadilal Green Peas</t>
  </si>
  <si>
    <t>Vadilal Lemongrass</t>
  </si>
  <si>
    <t>Vadilal Surti Papdi Lilva</t>
  </si>
  <si>
    <t>Vadilal Arwal</t>
  </si>
  <si>
    <t>Vadilal Peas &amp; Carrots</t>
  </si>
  <si>
    <t>gajar|gaajar</t>
  </si>
  <si>
    <t>Vadilal Red Baby Onions</t>
  </si>
  <si>
    <t>Vadilal Sambar Mix</t>
  </si>
  <si>
    <t>Vadilal Sweet Corn</t>
  </si>
  <si>
    <t>Anand Aviyal Mix</t>
  </si>
  <si>
    <t>snack mix|snacks|mixture</t>
  </si>
  <si>
    <t>Anand Green Jackfruit Cut</t>
  </si>
  <si>
    <t>Anand Sambar Mix</t>
  </si>
  <si>
    <t>Swetha Chintha Chi</t>
  </si>
  <si>
    <t>Swetha Moringa Leaves</t>
  </si>
  <si>
    <t>Swetha Ponna Ganti</t>
  </si>
  <si>
    <t>Laxmi Mixed Vegetables</t>
  </si>
  <si>
    <t>Swetha Bhindi Cuts</t>
  </si>
  <si>
    <t>Vadilal Bhindi Cuts</t>
  </si>
  <si>
    <t>Freezer</t>
  </si>
  <si>
    <t>Laxmi Val Lilva</t>
  </si>
  <si>
    <t>Freezer 2</t>
  </si>
  <si>
    <t>Vadilal Moth</t>
  </si>
  <si>
    <t>Vadilal Palak</t>
  </si>
  <si>
    <t>Swetha Tender Jack</t>
  </si>
  <si>
    <t>Swetha Thati Munjel</t>
  </si>
  <si>
    <t>Swetha Chintha Chiguru</t>
  </si>
  <si>
    <t>Swetha Chukka Kura</t>
  </si>
  <si>
    <t>Swetha Annaganti Kura</t>
  </si>
  <si>
    <t>paneer</t>
  </si>
  <si>
    <t>Swetha Raw Mango Pieces</t>
  </si>
  <si>
    <t>Laxmi Bhindi</t>
  </si>
  <si>
    <t>Vadilal Tindora</t>
  </si>
  <si>
    <t>Laxmi Coconut</t>
  </si>
  <si>
    <t>Minute Khana Wrap</t>
  </si>
  <si>
    <t>Minute Khana Classic Mix Veg Wrap</t>
  </si>
  <si>
    <t>Minute Khana Shami Kebab Wrap</t>
  </si>
  <si>
    <t>Laxmi Shredded Coconut</t>
  </si>
  <si>
    <t>Haldiram's Guvar Cut</t>
  </si>
  <si>
    <t>Haldiram's Saragva</t>
  </si>
  <si>
    <t>Laxmi Val Papdi</t>
  </si>
  <si>
    <t>alphonso mango juice concentrate</t>
  </si>
  <si>
    <t>Alphonso Mango Slices</t>
  </si>
  <si>
    <t>Vadilal Veg Spring Roll</t>
  </si>
  <si>
    <t>Deep Kati Roll Tawa Paneer</t>
  </si>
  <si>
    <t>Deep Kati Roll Paneer Tikka</t>
  </si>
  <si>
    <t>Minute Khana Wraps</t>
  </si>
  <si>
    <t>Minute Khana Classic Mix Veg</t>
  </si>
  <si>
    <t>Minute Khana Masala Soya Chop</t>
  </si>
  <si>
    <t>Minute Khana Paneer Tikka</t>
  </si>
  <si>
    <t>Minute Khana Punjabi Choley</t>
  </si>
  <si>
    <t>Minute Khana Shami Kebab</t>
  </si>
  <si>
    <t>indian street food</t>
  </si>
  <si>
    <t>Ashoka Chatpata Aloo Kathi Roll</t>
  </si>
  <si>
    <t>Ashoka Hot and Sour Kathi Roll</t>
  </si>
  <si>
    <t>Vadilal Paneer Tikka Jumbo Puff</t>
  </si>
  <si>
    <t>paneer cheese|snack</t>
  </si>
  <si>
    <t>Laxmi Coconut Slices</t>
  </si>
  <si>
    <t>Laxmi Grated Coconut</t>
  </si>
  <si>
    <t>Deep Premium Shredded Coconut</t>
  </si>
  <si>
    <t>Himalayan Malai Soya Chaap</t>
  </si>
  <si>
    <t>Ashoka Masala Vegetable Burger Pattice</t>
  </si>
  <si>
    <t>Fresh Frozen Grated Coconut</t>
  </si>
  <si>
    <t>Daily Delight Grated Coconut</t>
  </si>
  <si>
    <t>Telugu Mirchi Bajji</t>
  </si>
  <si>
    <t>Freezer 4</t>
  </si>
  <si>
    <t>Haleem</t>
  </si>
  <si>
    <t>Vadilal Coconut Chutney</t>
  </si>
  <si>
    <t>Vadilal Mint Chutney</t>
  </si>
  <si>
    <t>Vadilal Green Coriander Chutney</t>
  </si>
  <si>
    <t>Vadilal Pani Puri Concentrate</t>
  </si>
  <si>
    <t>flavor concentrate|puchka masala|golgappas spice</t>
  </si>
  <si>
    <t>Veg Spring Roll</t>
  </si>
  <si>
    <t>wheat|vermicelli</t>
  </si>
  <si>
    <t>Freezer 3</t>
  </si>
  <si>
    <t>Himalayan Hariyali Soya Chaap</t>
  </si>
  <si>
    <t>chickpea rice|fried snack</t>
  </si>
  <si>
    <t>Himalayan Tandoori Soya Chaap</t>
  </si>
  <si>
    <t>brown rice|chickpea lentil|whole wheat atta</t>
  </si>
  <si>
    <t>Minute Khana Classic Mix</t>
  </si>
  <si>
    <t>Bikaji Burger Patty</t>
  </si>
  <si>
    <t>Ashoka Masala Vegetable Burger Patties</t>
  </si>
  <si>
    <t>Deep Sambar</t>
  </si>
  <si>
    <t>Deep Veggie Masala Burger</t>
  </si>
  <si>
    <t>Aloo Kathi Roll</t>
  </si>
  <si>
    <t>aloo tikki|potato tikki</t>
  </si>
  <si>
    <t>Paneer Kathi Roll</t>
  </si>
  <si>
    <t>Daily Delight Fresh Frozen Grated Coconut</t>
  </si>
  <si>
    <t>Freezer 5</t>
  </si>
  <si>
    <t>Vadilal Chutney</t>
  </si>
  <si>
    <t>Haldiram Organic Punjabi Samosa</t>
  </si>
  <si>
    <t>Haldiram Classic Cheese Pizza Pockets</t>
  </si>
  <si>
    <t>Haldiram Mazedaar Aloo Special Pockets</t>
  </si>
  <si>
    <t>Deep Suya Chaap</t>
  </si>
  <si>
    <t>Haldiram Cocktail Samosa</t>
  </si>
  <si>
    <t>snack|deep fried samosas</t>
  </si>
  <si>
    <t>Haldiram Jumbo Punjabi Samosa</t>
  </si>
  <si>
    <t>Haldiram Purani Dilli Special Samosa</t>
  </si>
  <si>
    <t>Haldiram Punjabi Samosa</t>
  </si>
  <si>
    <t>Haldiram Samosa</t>
  </si>
  <si>
    <t>Haldiram Jalapeno &amp; Cheese Samosa</t>
  </si>
  <si>
    <t>Laxmi Samosa</t>
  </si>
  <si>
    <t>potato samosa</t>
  </si>
  <si>
    <t>Mantra Organic Punjabi Samosa</t>
  </si>
  <si>
    <t>Freezer 6</t>
  </si>
  <si>
    <t>Deep Spicy Veggie Burgers</t>
  </si>
  <si>
    <t>Minute Khana Classic Cheese Pizza Pockets</t>
  </si>
  <si>
    <t>Minute Khana Mazedaar Aloo Special Pockets</t>
  </si>
  <si>
    <t>Minute Khana Spinach Corn &amp; Cheese Pockets</t>
  </si>
  <si>
    <t>Himalayan Delight Cheese Lovers Pizza</t>
  </si>
  <si>
    <t>Deep Samosas Potato &amp; Pea</t>
  </si>
  <si>
    <t>Deep Samosas Jalapeno Cheese</t>
  </si>
  <si>
    <t>Minute Khana Tandoori Paneer Samosa</t>
  </si>
  <si>
    <t>Minute Khana Jalapeno &amp; Cheese Samosa</t>
  </si>
  <si>
    <t>Laxmi Punjabi Samosa</t>
  </si>
  <si>
    <t>deep fried samosas|chicken samosa</t>
  </si>
  <si>
    <t>Ashoka Jalapeno Cheese Samosa</t>
  </si>
  <si>
    <t>Ashoka Spinach Paneer Samosa</t>
  </si>
  <si>
    <t>deep fried samosas|snack|paneer cheese</t>
  </si>
  <si>
    <t>Minute Khana Dal Makhani</t>
  </si>
  <si>
    <t>Minute Khana Hyderabadi Biryani</t>
  </si>
  <si>
    <t>spice|indian rice dish</t>
  </si>
  <si>
    <t>Minute Khana Bhindi Masala</t>
  </si>
  <si>
    <t>Minute Khana Palak Paneer</t>
  </si>
  <si>
    <t>paneer cheese|spicy</t>
  </si>
  <si>
    <t>Minute Khana Paneer Butter Masala</t>
  </si>
  <si>
    <t>Minute Khana Matar Paneer</t>
  </si>
  <si>
    <t>Minute Khana Dal Tadka</t>
  </si>
  <si>
    <t>Deep D Bajra Rotla</t>
  </si>
  <si>
    <t>pearl millet roti</t>
  </si>
  <si>
    <t>Minute Khana Sandwich Dhokla</t>
  </si>
  <si>
    <t>Deep D Methi Gota</t>
  </si>
  <si>
    <t>deep carom seeds flatbread</t>
  </si>
  <si>
    <t>Deep Methi Thepla</t>
  </si>
  <si>
    <t>Deep Paratha Plain</t>
  </si>
  <si>
    <t>Minute Khana Chule Kulcha</t>
  </si>
  <si>
    <t>north indian bread</t>
  </si>
  <si>
    <t>Minute Khana Cocktail Samosa</t>
  </si>
  <si>
    <t>Minute Khana Special Samosa</t>
  </si>
  <si>
    <t>deep fried samosas|potato samosa|snack</t>
  </si>
  <si>
    <t>Deep Jalapeno Cheese Samosa</t>
  </si>
  <si>
    <t>Deep Spinach Paneer Samosa</t>
  </si>
  <si>
    <t>deep fried samosas|paneer cheese</t>
  </si>
  <si>
    <t>Deep Mut'n Keema Samosa</t>
  </si>
  <si>
    <t>Freezer 7</t>
  </si>
  <si>
    <t>Deep Keema Samosa</t>
  </si>
  <si>
    <t>Deep Pizza</t>
  </si>
  <si>
    <t>Minute Khana Paneer Makhani</t>
  </si>
  <si>
    <t>Deep Palak Kofta</t>
  </si>
  <si>
    <t>Deep Paneer Makhani</t>
  </si>
  <si>
    <t>Deep Bhindi Masala</t>
  </si>
  <si>
    <t>Deep Palak Paneer</t>
  </si>
  <si>
    <t>Deep Paneer Butter Masala</t>
  </si>
  <si>
    <t>Deep Paneer Tikka</t>
  </si>
  <si>
    <t>paneer cheese|barar s paneer</t>
  </si>
  <si>
    <t>Deep Pav Bhaji</t>
  </si>
  <si>
    <t>Deep Rajma Masala</t>
  </si>
  <si>
    <t>kidney beans</t>
  </si>
  <si>
    <t>D Matar Paneer</t>
  </si>
  <si>
    <t>D Dal Tadka</t>
  </si>
  <si>
    <t>tuvar dal|pigeon pea|split black gram</t>
  </si>
  <si>
    <t>H Kadai Paneer</t>
  </si>
  <si>
    <t>Deep Patra</t>
  </si>
  <si>
    <t>deep naan|deep carom seeds flatbread|sooji|rava|semolina</t>
  </si>
  <si>
    <t>Deep Gari Gujarati</t>
  </si>
  <si>
    <t>deep fried samosas|deep naan</t>
  </si>
  <si>
    <t>Deep Undhiyu</t>
  </si>
  <si>
    <t>deep carom seeds flatbread|paneer cheese|barar s paneer|carom seeds flatbread</t>
  </si>
  <si>
    <t>Deep Thepla</t>
  </si>
  <si>
    <t>D Batra Rotla</t>
  </si>
  <si>
    <t>Surti Khaman</t>
  </si>
  <si>
    <t>Deep Aloo Puri</t>
  </si>
  <si>
    <t>Deep Turich Masala</t>
  </si>
  <si>
    <t>Deep Pakora Spinach</t>
  </si>
  <si>
    <t>Deep Rumali Roti</t>
  </si>
  <si>
    <t>Deep Sandwich Dhokla</t>
  </si>
  <si>
    <t>D Methi Gota</t>
  </si>
  <si>
    <t>D Muthia</t>
  </si>
  <si>
    <t>Paratha Plain</t>
  </si>
  <si>
    <t>Minute Khana Chole Kulcha</t>
  </si>
  <si>
    <t>Deep Punjabi Samosa</t>
  </si>
  <si>
    <t>Haldiram's Minute Khana Punjabi Samosa</t>
  </si>
  <si>
    <t>Deep G Chana Jor Garam</t>
  </si>
  <si>
    <t>Freezer 10</t>
  </si>
  <si>
    <t>Bhagwati Muthiya</t>
  </si>
  <si>
    <t>Haldiram's Minute Khana Dal Tadka</t>
  </si>
  <si>
    <t>Deep Baingan Bharta</t>
  </si>
  <si>
    <t>Deep Paneer Tikka Masala</t>
  </si>
  <si>
    <t>Deep Banana Chips (Pepper)</t>
  </si>
  <si>
    <t>Deep Onion Paratha</t>
  </si>
  <si>
    <t>aloo pyaz paratha|aloo paratha|deep carom seeds flatbread|aloo paratha bulk</t>
  </si>
  <si>
    <t>Deep Mixed Vegetable Paratha</t>
  </si>
  <si>
    <t>aloo paratha|aloo paratha bulk|aloo pyaz paratha|deep carom seeds flatbread</t>
  </si>
  <si>
    <t>Deep Lachha Paratha</t>
  </si>
  <si>
    <t>deep carom seeds flatbread|carom seeds flatbread|aloo paratha|aloo paratha bulk</t>
  </si>
  <si>
    <t>Deep Masala Dosa</t>
  </si>
  <si>
    <t>Deep Onion Uttapam</t>
  </si>
  <si>
    <t>fried|bread</t>
  </si>
  <si>
    <t>flatbread|indian bread|flour</t>
  </si>
  <si>
    <t>Freezer 8</t>
  </si>
  <si>
    <t>Deep Cocktail Samosa</t>
  </si>
  <si>
    <t>Freezer 9</t>
  </si>
  <si>
    <t>Haldiram Minute Khana Cocktail Samosa</t>
  </si>
  <si>
    <t>Haldiram Minute Khana Punjabi Choley</t>
  </si>
  <si>
    <t>Haldiram Minute Khana Punjabi Sarson Ka Saag</t>
  </si>
  <si>
    <t>Haldiram Minute Khana Sambhar</t>
  </si>
  <si>
    <t>Laxmi Shahi Malai Kofta</t>
  </si>
  <si>
    <t>Laxmi Methi Malai Matar</t>
  </si>
  <si>
    <t>paneer|tuvar dal|pigeon pea</t>
  </si>
  <si>
    <t>Laxmi Shahi Paneer</t>
  </si>
  <si>
    <t>Laxmi Yellow Dal Tadka</t>
  </si>
  <si>
    <t>Aashirvaad Aloo Paratha</t>
  </si>
  <si>
    <t>deep carom seeds flatbread|carom seeds flatbread</t>
  </si>
  <si>
    <t>Aashirvaad Paneer Paratha</t>
  </si>
  <si>
    <t>carom seeds flatbread|deep carom seeds flatbread</t>
  </si>
  <si>
    <t>Deep Rice Roti</t>
  </si>
  <si>
    <t>Deep Idli</t>
  </si>
  <si>
    <t>sooji|rava</t>
  </si>
  <si>
    <t>Deep Onion Rava Masala Dosa</t>
  </si>
  <si>
    <t>Deep Puffs Pastry Sheets</t>
  </si>
  <si>
    <t>Deep Samosas</t>
  </si>
  <si>
    <t>Deep Mutter Paneer</t>
  </si>
  <si>
    <t>Deep Paneer Masala</t>
  </si>
  <si>
    <t>Deep Punjabi Choley</t>
  </si>
  <si>
    <t>Deep Shahi Paneer</t>
  </si>
  <si>
    <t>Deep Garvi Gujarat Khaman Dhokla</t>
  </si>
  <si>
    <t>Deep Garvi Gujarat Patra</t>
  </si>
  <si>
    <t>Deep Mirch Masala Aloo Puri</t>
  </si>
  <si>
    <t>Vadilal Rumali Roti</t>
  </si>
  <si>
    <t>Deep Pakora Onion</t>
  </si>
  <si>
    <t>Minute Khana Puffs Pastry Sheets</t>
  </si>
  <si>
    <t>Aashirvaad Paratha</t>
  </si>
  <si>
    <t>aloo paratha|carom seeds flatbread|deep carom seeds flatbread|aloo paratha bulk|aloo pyaz paratha</t>
  </si>
  <si>
    <t>Haldiram's Hyderabadi Biryani</t>
  </si>
  <si>
    <t>Rack 133</t>
  </si>
  <si>
    <t>Haldiram's Sarson Da Saag</t>
  </si>
  <si>
    <t>Haldiram's Pao Bhaji</t>
  </si>
  <si>
    <t>mumbai street food|snacks|snack</t>
  </si>
  <si>
    <t>Haldiram's Rajma Raseela</t>
  </si>
  <si>
    <t>kidney beans|slow cooked stew</t>
  </si>
  <si>
    <t>Haldiram's Aloo Mutter</t>
  </si>
  <si>
    <t>Haldiram's Dilli Style Choley</t>
  </si>
  <si>
    <t>Haldiram's Kadhi Pakoda</t>
  </si>
  <si>
    <t>Haldiram's Paneer Makhani</t>
  </si>
  <si>
    <t>Rack 134</t>
  </si>
  <si>
    <t>Haldiram's Mutter Paneer</t>
  </si>
  <si>
    <t>MTR Palak Paneer</t>
  </si>
  <si>
    <t>Rack 135</t>
  </si>
  <si>
    <t>MTR Paneer Butter Masala</t>
  </si>
  <si>
    <t>MTR Paneer</t>
  </si>
  <si>
    <t>MTR Aloo Methi</t>
  </si>
  <si>
    <t>MTR Sambar</t>
  </si>
  <si>
    <t>Gits Paneer Tikka Masala</t>
  </si>
  <si>
    <t>Rack 137</t>
  </si>
  <si>
    <t>Aastha Methi</t>
  </si>
  <si>
    <t>Aastha Kasuri Methi</t>
  </si>
  <si>
    <t>Deep Masala Papadi</t>
  </si>
  <si>
    <t>Deep Fafda</t>
  </si>
  <si>
    <t>Haldiram Chat Papdi</t>
  </si>
  <si>
    <t>Anand Rice Roti</t>
  </si>
  <si>
    <t>Chitale product</t>
  </si>
  <si>
    <t>Lamb Seekh Kebab</t>
  </si>
  <si>
    <t>Chicken Samosa</t>
  </si>
  <si>
    <t>Frozen Food Pack 1</t>
  </si>
  <si>
    <t>Frozen Food Pack 2</t>
  </si>
  <si>
    <t>Frozen Food Pack 3</t>
  </si>
  <si>
    <t>Frozen Food Pack 4</t>
  </si>
  <si>
    <t>Frozen Food Pack 5</t>
  </si>
  <si>
    <t>Frozen Food Pack 6</t>
  </si>
  <si>
    <t>Rohu</t>
  </si>
  <si>
    <t>Steak</t>
  </si>
  <si>
    <t>King Fish</t>
  </si>
  <si>
    <t>Frozen Food Pack 7</t>
  </si>
  <si>
    <t>Silver Pomfret</t>
  </si>
  <si>
    <t>Frozen Food Pack 8</t>
  </si>
  <si>
    <t>Amma Vada with Chutney</t>
  </si>
  <si>
    <t>Tuna Steak</t>
  </si>
  <si>
    <t>Lachcha Paratha</t>
  </si>
  <si>
    <t>Chicken Biryani</t>
  </si>
  <si>
    <t>Nanak Rasmalai</t>
  </si>
  <si>
    <t>Amma's Kitchen Medu Vada with Chutney</t>
  </si>
  <si>
    <t>south indian</t>
  </si>
  <si>
    <t>Rohu Steak</t>
  </si>
  <si>
    <t>Kaise Tandoori Chicken</t>
  </si>
  <si>
    <t>Bikaji Chicken Kabab Roll</t>
  </si>
  <si>
    <t>indian street food|kebabs</t>
  </si>
  <si>
    <t>Chapli Kabab</t>
  </si>
  <si>
    <t>Lamb Biryani</t>
  </si>
  <si>
    <t>Seekh Kabab</t>
  </si>
  <si>
    <t>vindaloo chicken</t>
  </si>
  <si>
    <t>Kadai Chicken</t>
  </si>
  <si>
    <t>kadai chicken masala|chicken masala</t>
  </si>
  <si>
    <t>Shahi Chicken Korma</t>
  </si>
  <si>
    <t>mughlai cuisine</t>
  </si>
  <si>
    <t>Chicken Chapli Kebab</t>
  </si>
  <si>
    <t>chicken kabab|indian street food|mughlai cuisine</t>
  </si>
  <si>
    <t>Shahnawaz Chicken</t>
  </si>
  <si>
    <t>Chicken Shami Kebab</t>
  </si>
  <si>
    <t>Chicken Tikka</t>
  </si>
  <si>
    <t>Gajar Halwa</t>
  </si>
  <si>
    <t>Rack 55</t>
  </si>
  <si>
    <t>Bikaji Mini Gulab Jamun</t>
  </si>
  <si>
    <t>Bikaji Malai Rabri</t>
  </si>
  <si>
    <t>Haldiram's Paratha</t>
  </si>
  <si>
    <t>aloo paratha|aloo paratha bulk</t>
  </si>
  <si>
    <t>Minute Khana Homestyle Paratha</t>
  </si>
  <si>
    <t>aloo paratha|deep carom seeds flatbread|aloo paratha bulk</t>
  </si>
  <si>
    <t>Minute Khana Lachcha Paratha</t>
  </si>
  <si>
    <t>aloo paratha</t>
  </si>
  <si>
    <t>Seafood Delight</t>
  </si>
  <si>
    <t>Puttu</t>
  </si>
  <si>
    <t>puttu powder</t>
  </si>
  <si>
    <t>Silver Fish</t>
  </si>
  <si>
    <t>Medhu Vada</t>
  </si>
  <si>
    <t>potato vada</t>
  </si>
  <si>
    <t>Anand Kozhukkatta</t>
  </si>
  <si>
    <t>Kaiser Tandoori Chicken Roll</t>
  </si>
  <si>
    <t>Kaiser Chicken Kabab Roll</t>
  </si>
  <si>
    <t>Anand Family Pack Malabar Parotta</t>
  </si>
  <si>
    <t>Minute Khana</t>
  </si>
  <si>
    <t>kodi keema</t>
  </si>
  <si>
    <t>Mutton Coconut Fry</t>
  </si>
  <si>
    <t>Daily Delight Tapioca with Fish Curry</t>
  </si>
  <si>
    <t>Chicken Curry</t>
  </si>
  <si>
    <t>kodi kura paste|kodi kuri peest</t>
  </si>
  <si>
    <t>Plain Porotta</t>
  </si>
  <si>
    <t>Rack 60</t>
  </si>
  <si>
    <t>Veechu Parotta</t>
  </si>
  <si>
    <t>Himalayan Momo</t>
  </si>
  <si>
    <t>Chicken Chapli Kabab</t>
  </si>
  <si>
    <t>Shahnawaz Shami Kebab</t>
  </si>
  <si>
    <t>Paratha</t>
  </si>
  <si>
    <t>Rasmalai</t>
  </si>
  <si>
    <t>Bikaji Gulab Jamun</t>
  </si>
  <si>
    <t>Malai Rabri</t>
  </si>
  <si>
    <t>Patta</t>
  </si>
  <si>
    <t>deep carom seeds flatbread|aloo paratha|carom seeds flatbread</t>
  </si>
  <si>
    <t>Vadilal Rajbhog Shrikhand</t>
  </si>
  <si>
    <t>Vadilal Pineapple Shrikhand</t>
  </si>
  <si>
    <t>Vadilal Mango Shrikhand</t>
  </si>
  <si>
    <t>Amul Shrikhand Cardamom</t>
  </si>
  <si>
    <t>Haldiram's Paneer Mint Finger</t>
  </si>
  <si>
    <t>Haldiram's Minute Khana Corn Cutlet</t>
  </si>
  <si>
    <t>Haldiram's Paneer Cutlet</t>
  </si>
  <si>
    <t>Haldiram's Minute Khana Railway Cutlet</t>
  </si>
  <si>
    <t>Haldiram's Minute Khana Spinach Pakora</t>
  </si>
  <si>
    <t>Haldiram's Onion Samosa</t>
  </si>
  <si>
    <t>Haldiram's Minute Khana Spring Roll</t>
  </si>
  <si>
    <t>Daily Delight Idiappam with Vegetable Stew</t>
  </si>
  <si>
    <t>Daily Delight Parippuvada</t>
  </si>
  <si>
    <t>Daily Delight Spinach Vada</t>
  </si>
  <si>
    <t>Anand Puttu</t>
  </si>
  <si>
    <t>puttu powder|brahmins puttu powder</t>
  </si>
  <si>
    <t>Anand Kerala Parotta</t>
  </si>
  <si>
    <t>Anand Malabar Parotta</t>
  </si>
  <si>
    <t>mixture|indian snack</t>
  </si>
  <si>
    <t>Anand Whole Wheat Malabar Parotta</t>
  </si>
  <si>
    <t>Tastes of Kerala Malabar Porotta</t>
  </si>
  <si>
    <t>Kawan Paratha Onion</t>
  </si>
  <si>
    <t>Kawan Paratha Reduced Fat</t>
  </si>
  <si>
    <t>Haldiram's Porotta</t>
  </si>
  <si>
    <t>Haldiram's Spring Roll</t>
  </si>
  <si>
    <t>Parippuvada</t>
  </si>
  <si>
    <t>Haldiram's Spinach Vada</t>
  </si>
  <si>
    <t>Tastes of Kerala Malabar Parotta</t>
  </si>
  <si>
    <t>Anand Vegetable Parotta</t>
  </si>
  <si>
    <t>Anand Layered Porotta</t>
  </si>
  <si>
    <t>Kawan Onion Paratha</t>
  </si>
  <si>
    <t>Kawan Reduced Fat Paratha</t>
  </si>
  <si>
    <t>Haldiram's Rasmalai</t>
  </si>
  <si>
    <t>Swad Chapatti</t>
  </si>
  <si>
    <t>flatbread|indian bread</t>
  </si>
  <si>
    <t>Haldiram's Paneer Pakoda</t>
  </si>
  <si>
    <t>Haldiram's Minute Khana Pakoda</t>
  </si>
  <si>
    <t>Haldiram's Minute Khana Ragda Bites</t>
  </si>
  <si>
    <t>Haldiram's Minute Khana Bread Pakoda</t>
  </si>
  <si>
    <t>Haldiram's Minute Khana Veg Balls</t>
  </si>
  <si>
    <t>Haldiram's Minute Khana Aloo Vada</t>
  </si>
  <si>
    <t>indian snack|snacks</t>
  </si>
  <si>
    <t>Haldiram's Minute Khana Batata Vada</t>
  </si>
  <si>
    <t>potato vada|indian street food|indian snack</t>
  </si>
  <si>
    <t>Haldiram's Minute Khana Masala Idli</t>
  </si>
  <si>
    <t>Haldiram's Minute Khana Dahi Vada</t>
  </si>
  <si>
    <t>indian snack|mumbai street food</t>
  </si>
  <si>
    <t>Haldiram's Minute Khana Onion Bhaji</t>
  </si>
  <si>
    <t>mumbai street food|snack</t>
  </si>
  <si>
    <t>Haldiram's Minute Khana Samosa</t>
  </si>
  <si>
    <t>Spring Home Spring Roll</t>
  </si>
  <si>
    <t>Anand Medu Vada</t>
  </si>
  <si>
    <t>Anand Vegetable Puffs</t>
  </si>
  <si>
    <t>Anand Vegetable Cutlets</t>
  </si>
  <si>
    <t>Anand White Puffs</t>
  </si>
  <si>
    <t>Anand Parotta</t>
  </si>
  <si>
    <t>Anand Malabar Parota</t>
  </si>
  <si>
    <t>Swetha Telugu Foods Corn Samosa</t>
  </si>
  <si>
    <t>Swetha Telugu Foods Hyderabadi Onion Samosa</t>
  </si>
  <si>
    <t>Swetha Telugu Foods Verusenaga Chutney</t>
  </si>
  <si>
    <t>Swetha Telugu Foods Sweet Corn Tikki</t>
  </si>
  <si>
    <t>Deep Chapati</t>
  </si>
  <si>
    <t>Amma's Kitchen Medu Vada</t>
  </si>
  <si>
    <t>Swetha Verusenaga Chutney</t>
  </si>
  <si>
    <t>Haldiram Minute Khana Paneer Pakoda</t>
  </si>
  <si>
    <t>Haldiram Minute Khana Mirchi Pakoda</t>
  </si>
  <si>
    <t>Haldiram Minute Khana Ragda Bites</t>
  </si>
  <si>
    <t>Haldiram Minute Khana Bread Pakoda</t>
  </si>
  <si>
    <t>Haldiram Minute Khana Cheese Balls</t>
  </si>
  <si>
    <t>Haldiram Minute Khana Batata Vada</t>
  </si>
  <si>
    <t>Haldiram Minute Khana Masala Idli</t>
  </si>
  <si>
    <t>Haldiram Minute Khana Dahi Vada</t>
  </si>
  <si>
    <t>Haldiram Minute Khana Onion Bhaji</t>
  </si>
  <si>
    <t>Haldiram Minute Khana Samosa</t>
  </si>
  <si>
    <t>Anand Classic Medu Vada</t>
  </si>
  <si>
    <t>Anand Malabar Paratha</t>
  </si>
  <si>
    <t>Swetha Telugu Corn Samosa</t>
  </si>
  <si>
    <t>Swetha Telugu Hyderabadi Onion Samosa</t>
  </si>
  <si>
    <t>Ashoka Sweet Corn Tikki</t>
  </si>
  <si>
    <t>Deep Homestyle Roti</t>
  </si>
  <si>
    <t>Amma's Kitchen Idli with Chutney</t>
  </si>
  <si>
    <t>Amma's Kitchen Rava Idli with Chutney</t>
  </si>
  <si>
    <t>Haldiram's Minute Khana Mutter Kachori</t>
  </si>
  <si>
    <t>Haldiram's Minute Khana Beetroot Kebab</t>
  </si>
  <si>
    <t>Haldiram's Minute Khana Dal Palak Kebab</t>
  </si>
  <si>
    <t>Haldiram's Minute Khana Hara Bhara Kebab</t>
  </si>
  <si>
    <t>Haldiram's Minute Khana Veg Shami Kebab</t>
  </si>
  <si>
    <t>Haldiram's Minute Khana Onion Paratha</t>
  </si>
  <si>
    <t>aloo pyaz paratha|aloo paratha</t>
  </si>
  <si>
    <t>Haldiram's Minute Khana Sabudana Tikki</t>
  </si>
  <si>
    <t>potato tikki|aloo tikki</t>
  </si>
  <si>
    <t>Haldiram's Minute Khana Tikki Snacker</t>
  </si>
  <si>
    <t>Haldiram's Minute Khana Choley Kulcha</t>
  </si>
  <si>
    <t>north indian bread|indian snack|split black gram</t>
  </si>
  <si>
    <t>Anand Dal Vada</t>
  </si>
  <si>
    <t>Anand Mini Podi Idli</t>
  </si>
  <si>
    <t>Haldiram's Classic Veggie Momos</t>
  </si>
  <si>
    <t>Haldiram's Classic Veggie &amp; Paneer Momos</t>
  </si>
  <si>
    <t>Haldiram's Minute Khana Tandoori Plain Naan</t>
  </si>
  <si>
    <t>Haldiram's Minute Khana Tandoori Naan</t>
  </si>
  <si>
    <t>deep naan|bread</t>
  </si>
  <si>
    <t>Haldiram's Onion Paratha</t>
  </si>
  <si>
    <t>aloo pyaz paratha|aloo paratha|deep carom seeds flatbread</t>
  </si>
  <si>
    <t>Haldiram's Sabudana Vada</t>
  </si>
  <si>
    <t>Haldiram's Tikki Snacker</t>
  </si>
  <si>
    <t>Haldiram's Choley Kulcha</t>
  </si>
  <si>
    <t>north indian bread|flatbread|indian bread</t>
  </si>
  <si>
    <t>Rack 78</t>
  </si>
  <si>
    <t>Anand Kozhukatta</t>
  </si>
  <si>
    <t>Haldiram's Mini Podi Idli</t>
  </si>
  <si>
    <t>dosa podi|brahmins dosa powder|idli rava</t>
  </si>
  <si>
    <t>Anand Ragi Ela Ada</t>
  </si>
  <si>
    <t>tuvar dal|pigeon pea|idli rava</t>
  </si>
  <si>
    <t>Haldiram's Malayan Momos</t>
  </si>
  <si>
    <t>samosas|deep fried samosas|paneer</t>
  </si>
  <si>
    <t>Laxmi Tandoori Plain Naan</t>
  </si>
  <si>
    <t>deep naan|roti|bread</t>
  </si>
  <si>
    <t>Haldiram's Tandoori Naan</t>
  </si>
  <si>
    <t>Swetha Corn Samosa</t>
  </si>
  <si>
    <t>Vadilal Malai Paneer</t>
  </si>
  <si>
    <t>Haldiram's Dal Kachori</t>
  </si>
  <si>
    <t>Haldiram's Minute Khana Masala Lachedar Paratha</t>
  </si>
  <si>
    <t>Rack 89</t>
  </si>
  <si>
    <t>Haldiram's Minute Khana Methi Paratha</t>
  </si>
  <si>
    <t>Haldiram's Minute Khana Muli Paratha</t>
  </si>
  <si>
    <t>Haldiram's Minute Khana Multigrain Chapati</t>
  </si>
  <si>
    <t>Rack 90</t>
  </si>
  <si>
    <t>Haldiram's Minute Khana Hakki ki Roti &amp; Sarson ka Saag</t>
  </si>
  <si>
    <t>Haldiram's Minute Khana Choley Bhature</t>
  </si>
  <si>
    <t>north indian bread|indian snack|atta</t>
  </si>
  <si>
    <t>Mantra Organic Garlic Naan</t>
  </si>
  <si>
    <t>Mantra Organic Phulka</t>
  </si>
  <si>
    <t>organic rice</t>
  </si>
  <si>
    <t>Mirch Masala Malabari Paratha Plain</t>
  </si>
  <si>
    <t>Mirch Masala Paratha Aloo</t>
  </si>
  <si>
    <t>Haldiram's Minute Khana Mix Veg Paratha</t>
  </si>
  <si>
    <t>Haldiram's Minute Khana Aloo Paratha</t>
  </si>
  <si>
    <t>snacks|indian snack</t>
  </si>
  <si>
    <t>Haldiram's Minute Khana Aloo Pyaz Paratha</t>
  </si>
  <si>
    <t>snacks|atta</t>
  </si>
  <si>
    <t>Haldiram's Minute Khana Pakora</t>
  </si>
  <si>
    <t>Annam Masala Idli</t>
  </si>
  <si>
    <t>idli rava|rice rava</t>
  </si>
  <si>
    <t>Annam Idli Sambar</t>
  </si>
  <si>
    <t>Haldiram's Minute Khana Malai Paneer</t>
  </si>
  <si>
    <t>Haldiram's Minute Khana Dal Kachori</t>
  </si>
  <si>
    <t>Haldiram's Minute Khana Masala Lachha Paratha</t>
  </si>
  <si>
    <t>24 Mantra Organic Phulka</t>
  </si>
  <si>
    <t>Mirch Masala Malayasian Paratha Plain</t>
  </si>
  <si>
    <t>Mirch Masala Malayasian Paratha Aloo</t>
  </si>
  <si>
    <t>Himalayan Momos</t>
  </si>
  <si>
    <t>Haldiram's Minute Khana Value Pack</t>
  </si>
  <si>
    <t>aloo tikki|haldiram s|snack</t>
  </si>
  <si>
    <t>Haldiram's Paneer Finger</t>
  </si>
  <si>
    <t>Haldiram's Mirchi Pakoda</t>
  </si>
  <si>
    <t>Haldiram's Mutter Kachori</t>
  </si>
  <si>
    <t>Haldiram's Sabudana Tikki</t>
  </si>
  <si>
    <t>Haldiram's Paneer</t>
  </si>
  <si>
    <t>Haldiram's Aloo Gobhi Paratha</t>
  </si>
  <si>
    <t>Haldiram's Gobhi Paratha</t>
  </si>
  <si>
    <t>aloo gobhi</t>
  </si>
  <si>
    <t>Haldiram's Homestyle Paratha</t>
  </si>
  <si>
    <t>aloo paratha|aloo paratha bulk|carom seeds flatbread|deep carom seeds flatbread|aloo pyaz paratha</t>
  </si>
  <si>
    <t>Haldiram's Lachha Paratha</t>
  </si>
  <si>
    <t>Haldiram's Methi Paratha</t>
  </si>
  <si>
    <t>Haldiram's Pudina Paratha</t>
  </si>
  <si>
    <t>Haldiram's Ragi Roti</t>
  </si>
  <si>
    <t>Haldiram's Multigrain Chapati</t>
  </si>
  <si>
    <t>atta|multigrain atta</t>
  </si>
  <si>
    <t>Haldiram's Hakki ki Roti &amp; Sarson ka saag</t>
  </si>
  <si>
    <t>Haldiram's Whole Wheat Naan</t>
  </si>
  <si>
    <t>whole wheat atta|atta|godhumapindi</t>
  </si>
  <si>
    <t>Haldiram's Aloo Kulcha</t>
  </si>
  <si>
    <t>north indian bread|atta</t>
  </si>
  <si>
    <t>Haldiram's Paneer Kulcha</t>
  </si>
  <si>
    <t>paneer cheese|north indian bread</t>
  </si>
  <si>
    <t>Mantra Organic Tandoori Garlic Naan</t>
  </si>
  <si>
    <t>Mantra Organic Tandoori Naan</t>
  </si>
  <si>
    <t>Mantra Organic Roti</t>
  </si>
  <si>
    <t>Mirch Masala Malaiyan Paratha</t>
  </si>
  <si>
    <t>Haldiram's Family Value Pack Naan</t>
  </si>
  <si>
    <t>Haldiram's Mix Veg Paratha</t>
  </si>
  <si>
    <t>Haldiram's Minute Khana Aloo Gobi Paratha</t>
  </si>
  <si>
    <t>Haldiram's Minute Khana Gobi Paratha</t>
  </si>
  <si>
    <t>Haldiram's Minute Khana Lachcha Paratha</t>
  </si>
  <si>
    <t>Haldiram's Minute Khana Aloo Kulcha</t>
  </si>
  <si>
    <t>north indian bread|snacks</t>
  </si>
  <si>
    <t>24 Mantra Organic Garlic Naan</t>
  </si>
  <si>
    <t>24 Mantra Organic Tandoori Naan</t>
  </si>
  <si>
    <t>Haldiram's Minute Khana Paneer Onion Paratha</t>
  </si>
  <si>
    <t>Vadilal Paratha</t>
  </si>
  <si>
    <t>Vadilal Ragi Roti</t>
  </si>
  <si>
    <t>Vadilal Tandoori Roti</t>
  </si>
  <si>
    <t>Vadilal Cheese Naan</t>
  </si>
  <si>
    <t>Vadilal Aloo Kulcha</t>
  </si>
  <si>
    <t>Vadilal Aloo Paratha</t>
  </si>
  <si>
    <t>carom seeds flatbread|snack</t>
  </si>
  <si>
    <t>Mirch Masala Malayasian Style Paratha Plain</t>
  </si>
  <si>
    <t>Vadilal Makki ki Roti &amp; Sarson ka Saag</t>
  </si>
  <si>
    <t>Nanak Paneer</t>
  </si>
  <si>
    <t>paneer|amul|paneer cheese</t>
  </si>
  <si>
    <t>Deep Paneer</t>
  </si>
  <si>
    <t>Fresh Paneer</t>
  </si>
  <si>
    <t>Haldiram's Minute Khana Aloo Achari Paratha</t>
  </si>
  <si>
    <t>Haldiram's Minute Khana Gobhi Paratha</t>
  </si>
  <si>
    <t>Haldiram's Minute Khana Tandoori Paratha</t>
  </si>
  <si>
    <t>Haldiram's Minute Khana Pudina Paratha</t>
  </si>
  <si>
    <t>Haldiram's Minute Khana Phulka Roti</t>
  </si>
  <si>
    <t>indian snack|pearl millet roti</t>
  </si>
  <si>
    <t>Agi Roti</t>
  </si>
  <si>
    <t>Haldiram's Minute Khana Tandoori Garlic Naan</t>
  </si>
  <si>
    <t>indian spices</t>
  </si>
  <si>
    <t>Haldiram's Minute Khana Whole Wheat Naan</t>
  </si>
  <si>
    <t>whole wheat atta|atta</t>
  </si>
  <si>
    <t>Haldiram's Minute Khana Amritsari Kulcha</t>
  </si>
  <si>
    <t>bread</t>
  </si>
  <si>
    <t>Haldiram's Minute Khana Mirchi Pakoda</t>
  </si>
  <si>
    <t>Haldiram's Minute Khana Paneer Pakoda</t>
  </si>
  <si>
    <t>Haldiram's Minute Khana Masala Dal</t>
  </si>
  <si>
    <t>Haldiram's Minute Khana Dal Makhani</t>
  </si>
  <si>
    <t>Haldiram's Minute Khana Paneer</t>
  </si>
  <si>
    <t>Haldiram's Minute Khana Omes Paratha</t>
  </si>
  <si>
    <t>Haldiram's Minute Khana Ragi Roti</t>
  </si>
  <si>
    <t>deep naan|pearl millet roti|sooji|rava|semolina</t>
  </si>
  <si>
    <t>Milk Pak Heavy Cream</t>
  </si>
  <si>
    <t>doodh</t>
  </si>
  <si>
    <t>Tamarind Date Chutney</t>
  </si>
  <si>
    <t>Eggs</t>
  </si>
  <si>
    <t>Peeled Garlic</t>
  </si>
  <si>
    <t>Red Onions</t>
  </si>
  <si>
    <t>Assorted food items in plastic containers</t>
  </si>
  <si>
    <t>Green Peppers</t>
  </si>
  <si>
    <t>Okra in plastic container</t>
  </si>
  <si>
    <t>lady s finger|bhindi|benda kalu</t>
  </si>
  <si>
    <t>Eggplants</t>
  </si>
  <si>
    <t>vegetable</t>
  </si>
  <si>
    <t>Green beans</t>
  </si>
  <si>
    <t>legumes</t>
  </si>
  <si>
    <t>Nanak Dahi</t>
  </si>
  <si>
    <t>Gopi Yogurt</t>
  </si>
  <si>
    <t>curd|dahi|perugu</t>
  </si>
  <si>
    <t>Desi Natural Dahi</t>
  </si>
  <si>
    <t>Prasuma Dosa Batter</t>
  </si>
  <si>
    <t>Dahi Yogurt</t>
  </si>
  <si>
    <t>curd|perugu</t>
  </si>
  <si>
    <t>PRYems Dosa Batter</t>
  </si>
  <si>
    <t>PRYems Ragi Batter</t>
  </si>
  <si>
    <t>ragi flour</t>
  </si>
  <si>
    <t>PRYems Adai Batter</t>
  </si>
  <si>
    <t>PRYems Pesarattu Batter</t>
  </si>
  <si>
    <t>Desi Dahi</t>
  </si>
  <si>
    <t>PRYems Idli-Dosa Batter</t>
  </si>
  <si>
    <t>Priyems Dosa Batter</t>
  </si>
  <si>
    <t>Priyems Ragi Batter</t>
  </si>
  <si>
    <t>Priyems Adai Batter</t>
  </si>
  <si>
    <t>Priyems Pesarattu Batter</t>
  </si>
  <si>
    <t>Priyems Idli-Dosa Batter</t>
  </si>
  <si>
    <t>Rack 114</t>
  </si>
  <si>
    <t>Arya Dosa Batter</t>
  </si>
  <si>
    <t>Rack 115</t>
  </si>
  <si>
    <t>Priyems Certified Organic Idli-Dosa Batter</t>
  </si>
  <si>
    <t>Rack 116</t>
  </si>
  <si>
    <t>Muzzi Green Onions</t>
  </si>
  <si>
    <t>Rack 117</t>
  </si>
  <si>
    <t>Priyems Certified Organic Dosa Batter</t>
  </si>
  <si>
    <t>Britannia Toastea</t>
  </si>
  <si>
    <t>Rack 138</t>
  </si>
  <si>
    <t>Swad Chick Peas</t>
  </si>
  <si>
    <t>white chick peas|chickpeas</t>
  </si>
  <si>
    <t>Rack 139</t>
  </si>
  <si>
    <t>Goya Black Beans</t>
  </si>
  <si>
    <t>white chick peas|chickpeas|split chickpeas|chana dal</t>
  </si>
  <si>
    <t>India's Nature Coconut Milk Powder</t>
  </si>
  <si>
    <t>narial powder|narial</t>
  </si>
  <si>
    <t>Rack 140</t>
  </si>
  <si>
    <t>Maggi Real Coconut Milk Powder</t>
  </si>
  <si>
    <t>coconut milk|chaokoh</t>
  </si>
  <si>
    <t>California Farms Coconut Milk</t>
  </si>
  <si>
    <t>Rack 141</t>
  </si>
  <si>
    <t>Rack 142</t>
  </si>
  <si>
    <t>Swad Soya Wadi</t>
  </si>
  <si>
    <t>Rack 143</t>
  </si>
  <si>
    <t>Rack 144</t>
  </si>
  <si>
    <t>Rack 145</t>
  </si>
  <si>
    <t>Morton Iodized Salt</t>
  </si>
  <si>
    <t>Saffola Masala Oats Classic Masala</t>
  </si>
  <si>
    <t>Swad Soya Wadi Soya Chunks</t>
  </si>
  <si>
    <t>Methi Puri (packaged snack)</t>
  </si>
  <si>
    <t>amul|butter</t>
  </si>
  <si>
    <t>Rack 119</t>
  </si>
  <si>
    <t>amul|cheese</t>
  </si>
  <si>
    <t>Pryems Idli-Dosa Batter</t>
  </si>
  <si>
    <t>Pryems Organic Idli-Dosa Batter</t>
  </si>
  <si>
    <t>organic rice|rice</t>
  </si>
  <si>
    <t>Milk-Mava Powder</t>
  </si>
  <si>
    <t>doodh|paneer</t>
  </si>
  <si>
    <t>Rack 121</t>
  </si>
  <si>
    <t>Pryems Lemon Pickles</t>
  </si>
  <si>
    <t>Curry Leaves</t>
  </si>
  <si>
    <t>Rack 122</t>
  </si>
  <si>
    <t>Shri Multi-Grain Roti</t>
  </si>
  <si>
    <t>atta|flour</t>
  </si>
  <si>
    <t>Rack 123</t>
  </si>
  <si>
    <t>Shri Fresh Roti</t>
  </si>
  <si>
    <t>Shri Always-Fresh Rotis</t>
  </si>
  <si>
    <t>Pryems Dosa Batter</t>
  </si>
  <si>
    <t>Rack 118</t>
  </si>
  <si>
    <t>Rack 120</t>
  </si>
  <si>
    <t>Brar Malai Paneer</t>
  </si>
  <si>
    <t>Pryems Mango Pickle</t>
  </si>
  <si>
    <t>Pryems Lemon Pickle</t>
  </si>
  <si>
    <t>Organic Sprouted Wheat</t>
  </si>
  <si>
    <t>atta|whole wheat|whole wheat atta</t>
  </si>
  <si>
    <t>Swad Paneer</t>
  </si>
  <si>
    <t>Rack 124</t>
  </si>
  <si>
    <t>Brar's Malai Paneer</t>
  </si>
  <si>
    <t>Swad Fresh Paneer</t>
  </si>
  <si>
    <t>Laxmi Butter</t>
  </si>
  <si>
    <t>ghee</t>
  </si>
  <si>
    <t>Rack 125</t>
  </si>
  <si>
    <t>Saab Paneer</t>
  </si>
  <si>
    <t>Rack 126</t>
  </si>
  <si>
    <t>Rack 127</t>
  </si>
  <si>
    <t>Rack 128</t>
  </si>
  <si>
    <t>Shri Multi-Grains Roti</t>
  </si>
  <si>
    <t>Braj Malai Paneer</t>
  </si>
  <si>
    <t>barar s paneer|paneer cheese</t>
  </si>
  <si>
    <t>Amul Water Buffalo And Cow Milk Butter</t>
  </si>
  <si>
    <t>Nanak Malai Paneer</t>
  </si>
  <si>
    <t>Deep Milk-Mava Powder</t>
  </si>
  <si>
    <t>Rack 129</t>
  </si>
  <si>
    <t>Britannia Gobbles Vanilla flavoured cake</t>
  </si>
  <si>
    <t>almond cake</t>
  </si>
  <si>
    <t>Britannia Gobbles Double choco cake</t>
  </si>
  <si>
    <t>Daily Delight Jackfruit Cake</t>
  </si>
  <si>
    <t>Rack 130</t>
  </si>
  <si>
    <t>Daily Delight Plum Special</t>
  </si>
  <si>
    <t>Rack 131</t>
  </si>
  <si>
    <t>N/A</t>
  </si>
  <si>
    <t>Lemons (Y)</t>
  </si>
  <si>
    <t>Limes (Gr)</t>
  </si>
  <si>
    <t>Beans</t>
  </si>
  <si>
    <t>Small Chilli</t>
  </si>
  <si>
    <t>Med Chilli</t>
  </si>
  <si>
    <t>Muli</t>
  </si>
  <si>
    <t>lady s finger|bhindi</t>
  </si>
  <si>
    <t>Palak (Spinach)</t>
  </si>
  <si>
    <t>Potatoes 5lb bag</t>
  </si>
  <si>
    <t>Long Bean</t>
  </si>
  <si>
    <t>Round</t>
  </si>
  <si>
    <t>Oranges</t>
  </si>
  <si>
    <t>Floor Rack</t>
  </si>
  <si>
    <t>Spinach/Greenery</t>
  </si>
  <si>
    <t>Limes</t>
  </si>
  <si>
    <t>Display Rack</t>
  </si>
  <si>
    <t>Various produce</t>
  </si>
  <si>
    <t>product</t>
  </si>
  <si>
    <t>Background shelf</t>
  </si>
  <si>
    <t>Bananas</t>
  </si>
  <si>
    <t>Tandeljo</t>
  </si>
  <si>
    <t>Leafy Green Vegetables</t>
  </si>
  <si>
    <t>Plantains</t>
  </si>
  <si>
    <t>Coconuts</t>
  </si>
  <si>
    <t>Frozen Food Items</t>
  </si>
  <si>
    <t>Moringa leaves</t>
  </si>
  <si>
    <t>Turmeric root</t>
  </si>
  <si>
    <t>Papaya</t>
  </si>
  <si>
    <t>Moringa</t>
  </si>
  <si>
    <t>Cucumbers</t>
  </si>
  <si>
    <t>curd|yogurt|dahi|perugu</t>
  </si>
  <si>
    <t>Green papayas</t>
  </si>
  <si>
    <t>Ripe papayas</t>
  </si>
  <si>
    <t>Papayas</t>
  </si>
  <si>
    <t>Chayote</t>
  </si>
  <si>
    <t>Daikon radish</t>
  </si>
  <si>
    <t>Chayote squash</t>
  </si>
  <si>
    <t>Bitter melon</t>
  </si>
  <si>
    <t>Festival coconuts</t>
  </si>
  <si>
    <t>Daikon</t>
  </si>
  <si>
    <t>Carrots</t>
  </si>
  <si>
    <t>Turnips</t>
  </si>
  <si>
    <t>Taro root</t>
  </si>
  <si>
    <t>Red Pearl Onions</t>
  </si>
  <si>
    <t>Sweet Potatoes</t>
  </si>
  <si>
    <t>Roma Tomatoes</t>
  </si>
  <si>
    <t>Patrona Roots</t>
  </si>
  <si>
    <t>Green Chili Peppers</t>
  </si>
  <si>
    <t>chilli|mirchi</t>
  </si>
  <si>
    <t>Cabbage</t>
  </si>
  <si>
    <t>gobhi</t>
  </si>
  <si>
    <t>Beets</t>
  </si>
  <si>
    <t>ATV Farms Carrots</t>
  </si>
  <si>
    <t>Potatoes</t>
  </si>
  <si>
    <t>Idaho Potatoes</t>
  </si>
  <si>
    <t>Eggplant</t>
  </si>
  <si>
    <t>Potatoes (bulk)</t>
  </si>
  <si>
    <t>Bottle gourd</t>
  </si>
  <si>
    <t>Top Gun Onions</t>
  </si>
  <si>
    <t>Aloo Bhujia</t>
  </si>
  <si>
    <t>Bhatura Kani</t>
  </si>
  <si>
    <t>bread|atta|flatbread</t>
  </si>
  <si>
    <t>Boondi Salt</t>
  </si>
  <si>
    <t>Chitale snacks</t>
  </si>
  <si>
    <t>Green snacks</t>
  </si>
  <si>
    <t>Yellow snacks</t>
  </si>
  <si>
    <t>Aloo Sev</t>
  </si>
  <si>
    <t>Tana-Tan</t>
  </si>
  <si>
    <t>Euro snacks</t>
  </si>
  <si>
    <t>Soya snacks</t>
  </si>
  <si>
    <t>Falahari snacks</t>
  </si>
  <si>
    <t>Snack bag</t>
  </si>
  <si>
    <t>Punjab Quality Vegetables</t>
  </si>
  <si>
    <t>Jersey Fresh Peppers</t>
  </si>
  <si>
    <t>Snake gourd</t>
  </si>
  <si>
    <t>Bitter gourd</t>
  </si>
  <si>
    <t>Bell peppers</t>
  </si>
  <si>
    <t>Light green gourd</t>
  </si>
  <si>
    <t>Round eggplant</t>
  </si>
  <si>
    <t>Mangoes</t>
  </si>
  <si>
    <t>mango|fruit</t>
  </si>
  <si>
    <t>Top Gun onions</t>
  </si>
  <si>
    <t>Yellow onions</t>
  </si>
  <si>
    <t>Red onions</t>
  </si>
  <si>
    <t>Soya Sticks</t>
  </si>
  <si>
    <t>Falahari</t>
  </si>
  <si>
    <t>Toasted Corn</t>
  </si>
  <si>
    <t>Bell Peppers</t>
  </si>
  <si>
    <t>Ivy Gourd</t>
  </si>
  <si>
    <t>Sno Red Onions</t>
  </si>
  <si>
    <t>Gourd</t>
  </si>
  <si>
    <t>Guava</t>
  </si>
  <si>
    <t>Snoino Red Onions</t>
  </si>
  <si>
    <t>Snack/Pantry items</t>
  </si>
  <si>
    <t>chips|biscuit</t>
  </si>
  <si>
    <t>Frooti Mango Drink</t>
  </si>
  <si>
    <t>guava drink</t>
  </si>
  <si>
    <t>Vita Coco Coconut Water</t>
  </si>
  <si>
    <t>Amul Milk</t>
  </si>
  <si>
    <t>Kashmir Jeera Soda Can</t>
  </si>
  <si>
    <t>Neem Leaves</t>
  </si>
  <si>
    <t>White Harad</t>
  </si>
  <si>
    <t>Pipli</t>
  </si>
  <si>
    <t>Indian Brand Herb</t>
  </si>
  <si>
    <t>Krazy Super Glue</t>
  </si>
  <si>
    <t>Neem Flowers</t>
  </si>
  <si>
    <t>Boswellia</t>
  </si>
  <si>
    <t>Falooda Sev</t>
  </si>
  <si>
    <t>Tulsi Leaves</t>
  </si>
  <si>
    <t>Tayari</t>
  </si>
  <si>
    <t>Shikakai</t>
  </si>
  <si>
    <t>4 Asst Size Safety Pins</t>
  </si>
  <si>
    <t>Duracell Power Boost</t>
  </si>
  <si>
    <t>Cadbury Dairy Milk Chocolate</t>
  </si>
  <si>
    <t>Perk Chocolate</t>
  </si>
  <si>
    <t>Bounty Chocolate Bar</t>
  </si>
  <si>
    <t>Twirl Chocolate Bar</t>
  </si>
  <si>
    <t>Nestle Blast Chocolate</t>
  </si>
  <si>
    <t>Fenugreek Seeds</t>
  </si>
  <si>
    <t>Twix Chocolate</t>
  </si>
  <si>
    <t>wafers</t>
  </si>
  <si>
    <t>Unknown Candy/Snack</t>
  </si>
  <si>
    <t>cocoa|chips|chocolate|wafers</t>
  </si>
  <si>
    <t>Assorted Snack Pack</t>
  </si>
  <si>
    <t>banana|chips</t>
  </si>
  <si>
    <t>Assorted Small Item Box</t>
  </si>
  <si>
    <t>Perk</t>
  </si>
  <si>
    <t>Cadbury Blast Chocolate</t>
  </si>
  <si>
    <t>cookie|cookies</t>
  </si>
  <si>
    <t>Bounty</t>
  </si>
  <si>
    <t>Sweet &amp; Salty Swad Confectionery</t>
  </si>
  <si>
    <t>Flake</t>
  </si>
  <si>
    <t>Revel Stainless Steel Herb &amp; Spice Grinder</t>
  </si>
  <si>
    <t>Mighty Mite</t>
  </si>
  <si>
    <t>Nevik Thermometer</t>
  </si>
  <si>
    <t>Swad Shilajit Capsules</t>
  </si>
  <si>
    <t>ayurvedic supplements</t>
  </si>
  <si>
    <t>Swad Mughlai Paan</t>
  </si>
  <si>
    <t>Royal Royal Royal Royal</t>
  </si>
  <si>
    <t>Patanjali Kajal</t>
  </si>
  <si>
    <t>Shringar Sindoor</t>
  </si>
  <si>
    <t>Ziploc bags</t>
  </si>
  <si>
    <t>Bic lighter</t>
  </si>
  <si>
    <t>Vicks Inhaler</t>
  </si>
  <si>
    <t>All Purpose Matches</t>
  </si>
  <si>
    <t>Shingar Kajal</t>
  </si>
  <si>
    <t>Sahnaz Kajal</t>
  </si>
  <si>
    <t>Moov Fast Pain Relief</t>
  </si>
  <si>
    <t>Zenex Brass</t>
  </si>
  <si>
    <t>Little Trees</t>
  </si>
  <si>
    <t>Poha</t>
  </si>
  <si>
    <t>Idhayam Gingelly Oil</t>
  </si>
  <si>
    <t>Cooking Oil</t>
  </si>
  <si>
    <t>Raghav Soya Wadi</t>
  </si>
  <si>
    <t>Vermicelli</t>
  </si>
  <si>
    <t>roasted vermicelli|rice vermicelli</t>
  </si>
  <si>
    <t>vermicelli</t>
  </si>
  <si>
    <t>Bambino Immunity Boosting Vermicelli</t>
  </si>
  <si>
    <t>roasted vermicelli</t>
  </si>
  <si>
    <t>Priya Vermicelli</t>
  </si>
  <si>
    <t>Anil Roasted Semiya</t>
  </si>
  <si>
    <t>roasted rava</t>
  </si>
  <si>
    <t>Anil Finger Millet Vermicelli</t>
  </si>
  <si>
    <t>Anil Rice Vermicelli</t>
  </si>
  <si>
    <t>rice vermicelli|ani</t>
  </si>
  <si>
    <t>Anil Pearl Millet Vermicelli</t>
  </si>
  <si>
    <t>Sea Salt</t>
  </si>
  <si>
    <t>Bansi Vermicelli</t>
  </si>
  <si>
    <t>Bliss Tree Maapillai Samba Vermicelli</t>
  </si>
  <si>
    <t>Bliss Tree V-Mong Green Gram Sprout</t>
  </si>
  <si>
    <t>Shan Roasted Vermicelli</t>
  </si>
  <si>
    <t>MTR Vermicelli</t>
  </si>
  <si>
    <t>wheat|roasted vermicelli|rice vermicelli</t>
  </si>
  <si>
    <t>Arian Vermicelli</t>
  </si>
  <si>
    <t>roasted vermicelli|wheat</t>
  </si>
  <si>
    <t>Ganesh Rice Sevai</t>
  </si>
  <si>
    <t>777 Brand Roasted Vermicelli</t>
  </si>
  <si>
    <t>wheat|rice vermicelli</t>
  </si>
  <si>
    <t>Himalayan Crystal Salt</t>
  </si>
  <si>
    <t>Sobi Himalayan Pink Salt</t>
  </si>
  <si>
    <t>Sobi Pink Salt</t>
  </si>
  <si>
    <t>Himalayan Pink Salt</t>
  </si>
  <si>
    <t>Tata Salt Lite</t>
  </si>
  <si>
    <t>Patanjali Iodised Salt</t>
  </si>
  <si>
    <t>Tata Black Salt</t>
  </si>
  <si>
    <t>Laxmi Gingelly Oil</t>
  </si>
  <si>
    <t>Patanjali Peanut Oil</t>
  </si>
  <si>
    <t>Gramiyaa Wood Cold Pressed Groundnut Oil</t>
  </si>
  <si>
    <t>Patanjali Mustard Oil</t>
  </si>
  <si>
    <t>Tez Mustard Oil</t>
  </si>
  <si>
    <t>Patanjali Mustard Oil (Large Jug)</t>
  </si>
  <si>
    <t>Laxmi Peanut Oil</t>
  </si>
  <si>
    <t>groundnuts|nut oil</t>
  </si>
  <si>
    <t>Just Organik Peanut Oil</t>
  </si>
  <si>
    <t>corn|nut oil|groundnuts</t>
  </si>
  <si>
    <t>Just Organik Sunflower Oil</t>
  </si>
  <si>
    <t>vegetable oil|corn</t>
  </si>
  <si>
    <t>Idhayam Sesame Oil</t>
  </si>
  <si>
    <t>Mazola Corn Oil</t>
  </si>
  <si>
    <t>vegetable oil|nut oil</t>
  </si>
  <si>
    <t>Brio Olive Oil Pomace</t>
  </si>
  <si>
    <t>Brio Extra Virgin Olive Oil</t>
  </si>
  <si>
    <t>Laxmi Mustard Oil</t>
  </si>
  <si>
    <t>rai|aavalu|vegetable oil|nut oil</t>
  </si>
  <si>
    <t>Brio Olive Oil</t>
  </si>
  <si>
    <t>Brio Sesame Oil</t>
  </si>
  <si>
    <t>Gramiyum Peanut Oil</t>
  </si>
  <si>
    <t>nut oil|groundnuts|vegetable oil</t>
  </si>
  <si>
    <t>Laxmi Sesame Oil</t>
  </si>
  <si>
    <t>Laxmi Canola Oil</t>
  </si>
  <si>
    <t>Brio Olive Pomace Oil</t>
  </si>
  <si>
    <t>top shelf</t>
  </si>
  <si>
    <t>Swad Groundnut Oil</t>
  </si>
  <si>
    <t>Tez Groundnut Oil</t>
  </si>
  <si>
    <t>Organic Peanut Oil</t>
  </si>
  <si>
    <t>groundnuts|nut oil|vegetable oil</t>
  </si>
  <si>
    <t>bottom shelf</t>
  </si>
  <si>
    <t>Tez Sesame Oil</t>
  </si>
  <si>
    <t>Dabur Mustard Oil</t>
  </si>
  <si>
    <t>rai|aavalu|nut oil</t>
  </si>
  <si>
    <t>777 Groundnut Oil</t>
  </si>
  <si>
    <t>Patanjali Organic Peanut Oil</t>
  </si>
  <si>
    <t>Graminiya Peanut Oil</t>
  </si>
  <si>
    <t>nut oil|groundnuts</t>
  </si>
  <si>
    <t>Swad Sunflower Oil</t>
  </si>
  <si>
    <t>Graminiya Oil</t>
  </si>
  <si>
    <t>Gramiyaa Wood Cold Pressed Mustard Oil</t>
  </si>
  <si>
    <t>nut oil|rai|aavalu|vegetable oil</t>
  </si>
  <si>
    <t>Mantra Peanut Oil</t>
  </si>
  <si>
    <t>777 Peanut Oil</t>
  </si>
  <si>
    <t>Brio Sunflower Oil</t>
  </si>
  <si>
    <t>Swad High Oleic Sunflower Oil</t>
  </si>
  <si>
    <t>Saffola Gold Oil</t>
  </si>
  <si>
    <t>Swad Vegetable Oil</t>
  </si>
  <si>
    <t>Ajax Dish Soap</t>
  </si>
  <si>
    <t>Palmolive Dish Soap</t>
  </si>
  <si>
    <t>GoodSense Flap-Ties Trash Bags</t>
  </si>
  <si>
    <t>Italexpress Coffee Maker</t>
  </si>
  <si>
    <t>coffee beans|kaapi</t>
  </si>
  <si>
    <t>Famer Glassware</t>
  </si>
  <si>
    <t>Milton Thermosteel</t>
  </si>
  <si>
    <t>Marvel Stainless Steel Bottle</t>
  </si>
  <si>
    <t>Apex Multi Slicer</t>
  </si>
  <si>
    <t>Just Organik Moong Split</t>
  </si>
  <si>
    <t>Quality Ghee Pot</t>
  </si>
  <si>
    <t>neyyi</t>
  </si>
  <si>
    <t>Ketan Ghee Pot</t>
  </si>
  <si>
    <t>Super Shyne Stainless Steel Ghee Pot</t>
  </si>
  <si>
    <t>Noble Powder-Free Vinyl Gloves</t>
  </si>
  <si>
    <t>Jay Other Products</t>
  </si>
  <si>
    <t>Stainless Steel Container</t>
  </si>
  <si>
    <t>Aluminum Pot with lid</t>
  </si>
  <si>
    <t>Metal Turkish Coffee Pot</t>
  </si>
  <si>
    <t>Stainless Steel Goblets</t>
  </si>
  <si>
    <t>Stainless Steel Coffee Filter</t>
  </si>
  <si>
    <t>Super Shyne Stainless Steel Glass Set</t>
  </si>
  <si>
    <t>Stainless Steel Food Canisters</t>
  </si>
  <si>
    <t>Ajax Dishwashing Liquid</t>
  </si>
  <si>
    <t>Palmolive Dishwashing Liquid</t>
  </si>
  <si>
    <t>Famer Stainless Steel Glass</t>
  </si>
  <si>
    <t>Super Shyne Stainless Steel Idli Cooker</t>
  </si>
  <si>
    <t>Cuisinart Sandwich Grill</t>
  </si>
  <si>
    <t>Freshrite Sandwich Bag</t>
  </si>
  <si>
    <t>Reynolds Wrap</t>
  </si>
  <si>
    <t>Sure-Tuff Trash Bags</t>
  </si>
  <si>
    <t>Good'n Tuff Tall Kitchen Bags</t>
  </si>
  <si>
    <t>Kitchen's Desire Cookware</t>
  </si>
  <si>
    <t>Super Shyne Wood Chakla Belan with Rolling Pin</t>
  </si>
  <si>
    <t>Super Shyne Dosa Tawa</t>
  </si>
  <si>
    <t>Super Shyne Roaster Square</t>
  </si>
  <si>
    <t>Aadarsh Stainless Steel product</t>
  </si>
  <si>
    <t>Rena Kitchen Utility Set</t>
  </si>
  <si>
    <t>Kitchen Lighter</t>
  </si>
  <si>
    <t>Anjali Uttappa Tawa Diamond Dura</t>
  </si>
  <si>
    <t>Fresh Sandwich Bags</t>
  </si>
  <si>
    <t>La Bella Product</t>
  </si>
  <si>
    <t>Surya Gas Toaster</t>
  </si>
  <si>
    <t>Vinod Black Pearl Tadka Pan</t>
  </si>
  <si>
    <t>Egg Boiler</t>
  </si>
  <si>
    <t>Calico Press</t>
  </si>
  <si>
    <t>Super Shyne Non Stick Tava 11 inch</t>
  </si>
  <si>
    <t>Super Shyne Flat Tava 12 inch</t>
  </si>
  <si>
    <t>Super Shyne Tava 11 inch</t>
  </si>
  <si>
    <t>Super Shyne Dosa Tava 11 inch</t>
  </si>
  <si>
    <t>Super Shyne Flat Tava 10.5 inch</t>
  </si>
  <si>
    <t>Super Shyne Non Stick Cookware 8.7 inch</t>
  </si>
  <si>
    <t>Super Shyne Tava 13 inch</t>
  </si>
  <si>
    <t>Super Shyne Zinc 16 inch Barbeque Skewers</t>
  </si>
  <si>
    <t>Pooja Items</t>
  </si>
  <si>
    <t>Sumeet Non Stick Flat Tava</t>
  </si>
  <si>
    <t>electric beater</t>
  </si>
  <si>
    <t>La Bella</t>
  </si>
  <si>
    <t>Uttappa Tava</t>
  </si>
  <si>
    <t>Super Shyne Ladle</t>
  </si>
  <si>
    <t>Super Shyne Skimmer</t>
  </si>
  <si>
    <t>Super Shyne Spoon</t>
  </si>
  <si>
    <t>Super Shyne Spatula</t>
  </si>
  <si>
    <t>Super Shyne Tong</t>
  </si>
  <si>
    <t>Super Shyne Serving Spoon</t>
  </si>
  <si>
    <t>Super Shyne Ladle Small</t>
  </si>
  <si>
    <t>Super Shyne Serving Spoon Small</t>
  </si>
  <si>
    <t>Super Shyne Skimmer Small</t>
  </si>
  <si>
    <t>Super Shyne Slotted Spoon</t>
  </si>
  <si>
    <t>Super Shyne Serving Fork</t>
  </si>
  <si>
    <t>Super Shyne Peeler</t>
  </si>
  <si>
    <t>Super Shyne Vegetable Cutter</t>
  </si>
  <si>
    <t>Super Shyne Tea Strainer</t>
  </si>
  <si>
    <t>Super Shyne Potato Masher</t>
  </si>
  <si>
    <t>Super Shyne Meat Mallet</t>
  </si>
  <si>
    <t>Stainless Steel Sifter</t>
  </si>
  <si>
    <t>Stainless Steel Divided Plate</t>
  </si>
  <si>
    <t>Stainless Steel Bowls</t>
  </si>
  <si>
    <t>tableware</t>
  </si>
  <si>
    <t>Stainless Steel Small Bowls</t>
  </si>
  <si>
    <t>Stainless Steel Mixing Bowls</t>
  </si>
  <si>
    <t>Stainless Steel Dinner Plates</t>
  </si>
  <si>
    <t>Stainless Steel Divided Tray</t>
  </si>
  <si>
    <t>Vinod Uttappa Tawa</t>
  </si>
  <si>
    <t>Stainless steel bowls and containers</t>
  </si>
  <si>
    <t>Stainless steel drinking glasses</t>
  </si>
  <si>
    <t>Stainless steel nesting containers</t>
  </si>
  <si>
    <t>Stainless steel containers and pots</t>
  </si>
  <si>
    <t>Super Shyne Stainless Steel Sifter</t>
  </si>
  <si>
    <t>Stainless steel kitchenware</t>
  </si>
  <si>
    <t>Life Time stainless steel products</t>
  </si>
  <si>
    <t>Deep Food product container</t>
  </si>
  <si>
    <t>Super Shyne Stainless Steel Sauce Pan</t>
  </si>
  <si>
    <t>Prestige Cookware</t>
  </si>
  <si>
    <t>Super Shyne Black Sauce Pan</t>
  </si>
  <si>
    <t>Super Shyne Stainless Steel Containers</t>
  </si>
  <si>
    <t>Super Shyne Black Pan</t>
  </si>
  <si>
    <t>Baroly Wok Pan</t>
  </si>
  <si>
    <t>Prestige Gasket</t>
  </si>
  <si>
    <t>Super Shyne Cookware</t>
  </si>
  <si>
    <t>Super Shyne Stainless Steel Container Set</t>
  </si>
  <si>
    <t>Decorative Item</t>
  </si>
  <si>
    <t>Super Shyne Pan</t>
  </si>
  <si>
    <t>Hawkins Repair Kit</t>
  </si>
  <si>
    <t>Super Shyne Aluminum Pressure Cooker</t>
  </si>
  <si>
    <t>Hamilton Beach Food Processor</t>
  </si>
  <si>
    <t>Preethi Eco Plus Mixer Grinder</t>
  </si>
  <si>
    <t>Preethi Mixer Grinder</t>
  </si>
  <si>
    <t>Super Shyne Idli Cooker</t>
  </si>
  <si>
    <t>Super Shyne Stainless Steel Idli Stand</t>
  </si>
  <si>
    <t>ghee|pure ghee|amul</t>
  </si>
  <si>
    <t>GRB Pure Ghee</t>
  </si>
  <si>
    <t>Deep Pure Ghee</t>
  </si>
  <si>
    <t>Deep Mango Pulp</t>
  </si>
  <si>
    <t>Laxmi Kesar Mango Pulp</t>
  </si>
  <si>
    <t>alphonso mango juice concentrate|masala|spice</t>
  </si>
  <si>
    <t>Al-Shifa Natural Honey</t>
  </si>
  <si>
    <t>Dabur Honey</t>
  </si>
  <si>
    <t>Nirapod Dry Fish</t>
  </si>
  <si>
    <t>Deer Fried Onion</t>
  </si>
  <si>
    <t>pyaz|ullipaya|erragaddalu|vellulli</t>
  </si>
  <si>
    <t>Super Shyne Idli Stand</t>
  </si>
  <si>
    <t>Amul Ghee</t>
  </si>
  <si>
    <t>Ratna Mango Pulp</t>
  </si>
  <si>
    <t>Kesar Mango Pulp</t>
  </si>
  <si>
    <t>Aata Fried Onion</t>
  </si>
  <si>
    <t>Nirapod Dry Anchovy</t>
  </si>
  <si>
    <t>Deep Fried Onion</t>
  </si>
  <si>
    <t>Hajikani Poha</t>
  </si>
  <si>
    <t>Kolhapuri Mambra</t>
  </si>
  <si>
    <t>Telugu Puffed Rice</t>
  </si>
  <si>
    <t>biyyam</t>
  </si>
  <si>
    <t>Ultra Grind+ Gold Wet Grinder</t>
  </si>
  <si>
    <t>Preethi TurboVent Mixer Grinder</t>
  </si>
  <si>
    <t>GPB Pure Ghee</t>
  </si>
  <si>
    <t>Haldiram Gulab Jamun</t>
  </si>
  <si>
    <t>Haldiram Rasgulla</t>
  </si>
  <si>
    <t>Ratna Alphonso Mango Pulp</t>
  </si>
  <si>
    <t>Swad Kheel Mamra</t>
  </si>
  <si>
    <t>Laxmi Mysore Mamra</t>
  </si>
  <si>
    <t>Swad/Other Store Mamra</t>
  </si>
  <si>
    <t>Kolhapuri Mamra</t>
  </si>
  <si>
    <t>Puffed Rice</t>
  </si>
  <si>
    <t>Ultra Grind+Gold Wet Grinder</t>
  </si>
  <si>
    <t>Hamilton Beach Food Chopper</t>
  </si>
  <si>
    <t>Deep Gulab Jamun</t>
  </si>
  <si>
    <t>Deep Rasgulla</t>
  </si>
  <si>
    <t>Deep Alphonso Mango Pulp</t>
  </si>
  <si>
    <t>Deep Ghee</t>
  </si>
  <si>
    <t>Aala Fried Onion</t>
  </si>
  <si>
    <t>Swad Oats Mamra</t>
  </si>
  <si>
    <t>Suddha Telugu Puffed Rice</t>
  </si>
  <si>
    <t>Super Shyne Superior Pressure Cooker</t>
  </si>
  <si>
    <t>Ultra Grind Gold Wet Grinder</t>
  </si>
  <si>
    <t>Nanak Desi Ghee</t>
  </si>
  <si>
    <t>Laxmi Ghee</t>
  </si>
  <si>
    <t>Haldiram's Gulab Jamun</t>
  </si>
  <si>
    <t>Haldiram's Rasgulla</t>
  </si>
  <si>
    <t>Deep Fried Onions</t>
  </si>
  <si>
    <t>Prestige Deluxe Pressure Cooker</t>
  </si>
  <si>
    <t>Prestige Pressure Cooker</t>
  </si>
  <si>
    <t>Swad Ghee</t>
  </si>
  <si>
    <t>Gulab Jamun</t>
  </si>
  <si>
    <t>Amul Gulab Jamun</t>
  </si>
  <si>
    <t>Rasgulla</t>
  </si>
  <si>
    <t>RFP Muri</t>
  </si>
  <si>
    <t>Mother's Recipe Fried Onions</t>
  </si>
  <si>
    <t>Laxmi Fried Onions</t>
  </si>
  <si>
    <t>Aara Fried Onions</t>
  </si>
  <si>
    <t>Jowar Dhani</t>
  </si>
  <si>
    <t>Oats Mamra</t>
  </si>
  <si>
    <t>atta|whole wheat</t>
  </si>
  <si>
    <t>Deep Mysore Murmura</t>
  </si>
  <si>
    <t>Prestige Idli Cooker</t>
  </si>
  <si>
    <t>Amul Rosogolla</t>
  </si>
  <si>
    <t>Gits Gulab Jamun</t>
  </si>
  <si>
    <t>Mother's Fried Onions</t>
  </si>
  <si>
    <t>Raghav Jowar Dhani</t>
  </si>
  <si>
    <t>Mysore Murmura</t>
  </si>
  <si>
    <t>Basmati Mamra</t>
  </si>
  <si>
    <t>Laxmi Thick Poha</t>
  </si>
  <si>
    <t>Organic Red Poha</t>
  </si>
  <si>
    <t>Raghav Poha</t>
  </si>
  <si>
    <t>Poha Thin</t>
  </si>
  <si>
    <t>Telugu Poha Medium</t>
  </si>
  <si>
    <t>Swad Ragi Poha</t>
  </si>
  <si>
    <t>Swad Corn Poha</t>
  </si>
  <si>
    <t>corn flour</t>
  </si>
  <si>
    <t>Daivi Poha Thin</t>
  </si>
  <si>
    <t>Daivi Makhana</t>
  </si>
  <si>
    <t>Phool Makhana (Foxnuts)</t>
  </si>
  <si>
    <t>split black gram|urad dal whole|tuvar dal|pigeon pea</t>
  </si>
  <si>
    <t>Various Dal and Grain Mixes</t>
  </si>
  <si>
    <t>Various Grains and Snacks</t>
  </si>
  <si>
    <t>Swad Besan</t>
  </si>
  <si>
    <t>Telugu Foods Rice Flour</t>
  </si>
  <si>
    <t>Swad Peanuts</t>
  </si>
  <si>
    <t>Swad Idli Rava</t>
  </si>
  <si>
    <t>Telugu Foods Rice Rava</t>
  </si>
  <si>
    <t>Swetha Rice Rava</t>
  </si>
  <si>
    <t>Swad Corn Grits</t>
  </si>
  <si>
    <t>Swad Kala Chana Besan</t>
  </si>
  <si>
    <t>Aata Besan</t>
  </si>
  <si>
    <t>gram flour|chickpea flour|atta|wheat flour</t>
  </si>
  <si>
    <t>Organic Rice Flour</t>
  </si>
  <si>
    <t>Brar Sweet Corn Flour</t>
  </si>
  <si>
    <t>Swad Maida</t>
  </si>
  <si>
    <t>Organic Idli Rava</t>
  </si>
  <si>
    <t>Swad Idli Rava (Parboiled)</t>
  </si>
  <si>
    <t>Laxmi Maida</t>
  </si>
  <si>
    <t>Swad Maida (All Purpose Flour)</t>
  </si>
  <si>
    <t>Laxmi Peanuts</t>
  </si>
  <si>
    <t>Just Organik Idli Rava</t>
  </si>
  <si>
    <t>Swad Ladu Besan</t>
  </si>
  <si>
    <t>Aala Besan</t>
  </si>
  <si>
    <t>Swad Jowar Flour</t>
  </si>
  <si>
    <t>pearl millet flour</t>
  </si>
  <si>
    <t>Swad Rice Flour</t>
  </si>
  <si>
    <t>Swad Organic Rice Flour</t>
  </si>
  <si>
    <t>Chana Flour</t>
  </si>
  <si>
    <t>Laxmi Idli Rava</t>
  </si>
  <si>
    <t>Swad Dakshin Idli Rava</t>
  </si>
  <si>
    <t>Sher Besan</t>
  </si>
  <si>
    <t>Ladu Besan</t>
  </si>
  <si>
    <t>Daivi Rice Flour</t>
  </si>
  <si>
    <t>Just Organik Rice Flour</t>
  </si>
  <si>
    <t>Deep Rice Flour</t>
  </si>
  <si>
    <t>Daivi Jawar Flour</t>
  </si>
  <si>
    <t>24 Mantra Organic Rice Flour</t>
  </si>
  <si>
    <t>Sweet Corn Flour</t>
  </si>
  <si>
    <t>Aara Idli Rava</t>
  </si>
  <si>
    <t>Daivi Besan</t>
  </si>
  <si>
    <t>Daivi Juwar Flour</t>
  </si>
  <si>
    <t>Telugu Rice Flour</t>
  </si>
  <si>
    <t>Aara Roasted Upma Rava/Bombai Rava</t>
  </si>
  <si>
    <t>Idli Rava (Generic/Unbranded packaging)</t>
  </si>
  <si>
    <t>Sher Kala Chana Flour</t>
  </si>
  <si>
    <t>chickpea lentil</t>
  </si>
  <si>
    <t>Swad Gram Flour</t>
  </si>
  <si>
    <t>Ragi Flour (Generic)</t>
  </si>
  <si>
    <t>Just Organik Organic Rice Flour</t>
  </si>
  <si>
    <t>Laivi Rice Flour</t>
  </si>
  <si>
    <t>Swad Roasted Upma Sooji</t>
  </si>
  <si>
    <t>roasted rava|rava|semolina</t>
  </si>
  <si>
    <t>Swetha Telugu Roasted Upma Rava/Bombai Rava</t>
  </si>
  <si>
    <t>Swetha Telugu Idli Rava</t>
  </si>
  <si>
    <t>Swad Superfine Gram Flour (Besan)</t>
  </si>
  <si>
    <t>chickpea flour</t>
  </si>
  <si>
    <t>Daivi Natural Food Besan Gram Flour</t>
  </si>
  <si>
    <t>Just Organik 9 Grains Flour</t>
  </si>
  <si>
    <t>Swad Barley Flour</t>
  </si>
  <si>
    <t>Organic Bajra Flour</t>
  </si>
  <si>
    <t>Laxmi Ragi Flour</t>
  </si>
  <si>
    <t>Daivi Natural Food Rice Flour</t>
  </si>
  <si>
    <t>rava|semolina</t>
  </si>
  <si>
    <t>Swad Sooji Fine</t>
  </si>
  <si>
    <t>Swetha Roasted Upma Rava</t>
  </si>
  <si>
    <t>Sara Roasted Upma Rava</t>
  </si>
  <si>
    <t>Laxmi Bajri Flour</t>
  </si>
  <si>
    <t>Swad Bajri Flour</t>
  </si>
  <si>
    <t>Laxmi Jowar Flour</t>
  </si>
  <si>
    <t>Swad Superfine Gram Flour</t>
  </si>
  <si>
    <t>Anand Instant Rava Upma Mix</t>
  </si>
  <si>
    <t>Organic Barley Flour</t>
  </si>
  <si>
    <t>Laxmi Sooji Fine</t>
  </si>
  <si>
    <t>Pata Sooji Coarse</t>
  </si>
  <si>
    <t>Sooji Fine</t>
  </si>
  <si>
    <t>Svad Roasted Upma Mix</t>
  </si>
  <si>
    <t>Svad Roasted Upma Sooji</t>
  </si>
  <si>
    <t>Crack Wheat</t>
  </si>
  <si>
    <t>atta|whole wheat|whole wheat atta|flour|godhumapindi</t>
  </si>
  <si>
    <t>Anand Instant Powder Mix</t>
  </si>
  <si>
    <t>Laxmi Sooji Coarse</t>
  </si>
  <si>
    <t>Deep Sooji Fine</t>
  </si>
  <si>
    <t>rava|semolina|deep naan</t>
  </si>
  <si>
    <t>Aata Sooji Coarse</t>
  </si>
  <si>
    <t>Aata Crack Wheat</t>
  </si>
  <si>
    <t>Laxmi Fada</t>
  </si>
  <si>
    <t>Swad Kuttu Flour</t>
  </si>
  <si>
    <t>Anand Sattu Powder Mix</t>
  </si>
  <si>
    <t>Laxmi Sooji Roasted</t>
  </si>
  <si>
    <t>rava|semolina|roasted rava</t>
  </si>
  <si>
    <t>Telugu Roasted Semolina</t>
  </si>
  <si>
    <t>Deep Roasted Upma Rava</t>
  </si>
  <si>
    <t>Aata Cracked Wheat</t>
  </si>
  <si>
    <t>whole wheat atta|atta|godhumapindi|whole wheat</t>
  </si>
  <si>
    <t>Laxmi Cracked Wheat</t>
  </si>
  <si>
    <t>atta|godhumapindi|whole wheat</t>
  </si>
  <si>
    <t>Laxmi Bajra Flour</t>
  </si>
  <si>
    <t>pearl millet flour|atta</t>
  </si>
  <si>
    <t>Swad Semolina</t>
  </si>
  <si>
    <t>Telugu Buckwheat Flour</t>
  </si>
  <si>
    <t>Telugu Farali Flour</t>
  </si>
  <si>
    <t>rava|dosa|mix</t>
  </si>
  <si>
    <t>Talod Farali Atta</t>
  </si>
  <si>
    <t>Anand Instant Sattu Powder Mix</t>
  </si>
  <si>
    <t>Swad Bhakri Flour</t>
  </si>
  <si>
    <t>Swad Flour</t>
  </si>
  <si>
    <t>Swad Sooji Roasted</t>
  </si>
  <si>
    <t>Swad Wheat Coarse</t>
  </si>
  <si>
    <t>atta|flour|godhumapindi|whole wheat|whole wheat atta</t>
  </si>
  <si>
    <t>Rajat Wheat</t>
  </si>
  <si>
    <t>whole wheat atta|atta|whole wheat|flour|godhumapindi</t>
  </si>
  <si>
    <t>Swetha Rava</t>
  </si>
  <si>
    <t>Swetha Roasted Wheat Rava</t>
  </si>
  <si>
    <t>Aastha Wheat Rava</t>
  </si>
  <si>
    <t>roasted rava|atta|whole wheat|godhumapindi</t>
  </si>
  <si>
    <t>Happy Leaf Chickpea Flour</t>
  </si>
  <si>
    <t>Swetha Buckwheat Flour</t>
  </si>
  <si>
    <t>Swad Farali Flour</t>
  </si>
  <si>
    <t>Anand Rava Dosa Mix</t>
  </si>
  <si>
    <t>Swad Farali Atta</t>
  </si>
  <si>
    <t>Upvas Singoda Flour</t>
  </si>
  <si>
    <t>Laxmi Roasted Upma Rava</t>
  </si>
  <si>
    <t>Laxmi Sooji Roasted Upma Mix</t>
  </si>
  <si>
    <t>Swad Sooji Farina</t>
  </si>
  <si>
    <t>Deep Sooji Semolina</t>
  </si>
  <si>
    <t>Swad Cracked Wheat Coarse</t>
  </si>
  <si>
    <t>godhumapindi</t>
  </si>
  <si>
    <t>Swetha Sooji Coarse</t>
  </si>
  <si>
    <t>Wheat Rava</t>
  </si>
  <si>
    <t>Happy Leaf Organic Chickpea Split</t>
  </si>
  <si>
    <t>chana dal</t>
  </si>
  <si>
    <t>Happy Leaf Organic Yellow Split</t>
  </si>
  <si>
    <t>split chickpeas|chana dal</t>
  </si>
  <si>
    <t>Buckwheat Flour</t>
  </si>
  <si>
    <t>Farali Flour</t>
  </si>
  <si>
    <t>pearl millet flour|atta|godhumapindi</t>
  </si>
  <si>
    <t>Instant Rava Dosa Mix</t>
  </si>
  <si>
    <t>Kattu Flour</t>
  </si>
  <si>
    <t>atta|godhumapindi|pearl millet flour</t>
  </si>
  <si>
    <t>Swad Roasted Chana Dal</t>
  </si>
  <si>
    <t>split black gram|chickpea|chickpeas</t>
  </si>
  <si>
    <t>Swad Arrowroot Powder</t>
  </si>
  <si>
    <t>henna powder</t>
  </si>
  <si>
    <t>Swad Samo Powder</t>
  </si>
  <si>
    <t>Swad Farina</t>
  </si>
  <si>
    <t>Happy Leaf Organic Split</t>
  </si>
  <si>
    <t>Swad Buckwheat</t>
  </si>
  <si>
    <t>Upvas Morriyo</t>
  </si>
  <si>
    <t>Upvas Rajgard</t>
  </si>
  <si>
    <t>Swad Natural Koor</t>
  </si>
  <si>
    <t>Swad Samo Seeds</t>
  </si>
  <si>
    <t>Swad Araroot Powder</t>
  </si>
  <si>
    <t>Happy Leaf Upvas</t>
  </si>
  <si>
    <t>Swad White Corn Flour</t>
  </si>
  <si>
    <t>Swad Yellow Corn Flour</t>
  </si>
  <si>
    <t>Swad Rajgara Flour</t>
  </si>
  <si>
    <t>Swad Cracked Rava</t>
  </si>
  <si>
    <t>Swad Coarse Rava</t>
  </si>
  <si>
    <t>roasted rava|idli rava|rice rava</t>
  </si>
  <si>
    <t>Swad Fine Sooji</t>
  </si>
  <si>
    <t>Swad Cracked Wheat</t>
  </si>
  <si>
    <t>atta|flour|whole wheat</t>
  </si>
  <si>
    <t>Swad Buckwheat Flour</t>
  </si>
  <si>
    <t>Sattu Powder</t>
  </si>
  <si>
    <t>Swad Rajgira Flour</t>
  </si>
  <si>
    <t>Swad Dhokla Flour</t>
  </si>
  <si>
    <t>Swad Roasted Sooji</t>
  </si>
  <si>
    <t>Swad Crack Wheat</t>
  </si>
  <si>
    <t>atta|whole wheat atta|godhumapindi</t>
  </si>
  <si>
    <t>Swad Fada</t>
  </si>
  <si>
    <t>Anand Sattu Powder</t>
  </si>
  <si>
    <t>Swad Roasted Flour</t>
  </si>
  <si>
    <t>Deep Soya Bean Flour</t>
  </si>
  <si>
    <t>Swad Multigrain Flour</t>
  </si>
  <si>
    <t>Swad Idli/Dosa Batter</t>
  </si>
  <si>
    <t>Brahmins Appam/Idiyappam Powder</t>
  </si>
  <si>
    <t>chemba puttu podi|brahmins puttu powder</t>
  </si>
  <si>
    <t>Swad Sooji</t>
  </si>
  <si>
    <t>Kuttu Flour</t>
  </si>
  <si>
    <t>Swad Sattu</t>
  </si>
  <si>
    <t>Organic 9 Grains Flour</t>
  </si>
  <si>
    <t>atta|corn flour|godhumapindi|pearl millet flour</t>
  </si>
  <si>
    <t>Rajgira Flour</t>
  </si>
  <si>
    <t>pearl millet flour|corn flour|atta</t>
  </si>
  <si>
    <t>Swad Corn Flour</t>
  </si>
  <si>
    <t>Daawat Dhokla Flour</t>
  </si>
  <si>
    <t>Brahmins Chembu Puttu Podi</t>
  </si>
  <si>
    <t>Daawat Flour</t>
  </si>
  <si>
    <t>Swad Roasted Rava Sooji</t>
  </si>
  <si>
    <t>Swad Ragi Flour</t>
  </si>
  <si>
    <t>Swad Super Fine Besan</t>
  </si>
  <si>
    <t>Organik 9 Grains Flour</t>
  </si>
  <si>
    <t>24 Mantra Organic Atta</t>
  </si>
  <si>
    <t>flour|godhumapindi</t>
  </si>
  <si>
    <t>Organik Rice Flour</t>
  </si>
  <si>
    <t>powder|corn flour</t>
  </si>
  <si>
    <t>Swad Dhala Flour</t>
  </si>
  <si>
    <t>Daivi Dhala Flour</t>
  </si>
  <si>
    <t>Brahmin Appam/Idiyappam Powder</t>
  </si>
  <si>
    <t>Brahmin Chemba Puttu Podi</t>
  </si>
  <si>
    <t>Daivi Puttu Podi</t>
  </si>
  <si>
    <t>brahmins puttu powder|brahmins dosa powder|puttu powder</t>
  </si>
  <si>
    <t>Rachav Urad Flour</t>
  </si>
  <si>
    <t>urad whole|urad dal whole</t>
  </si>
  <si>
    <t>Aaraj Rava</t>
  </si>
  <si>
    <t>Brahmi Appam/Idiyappam Podi</t>
  </si>
  <si>
    <t>dosa podi|idiyappam powder|idippam powder</t>
  </si>
  <si>
    <t>Brahmi Puttu Podi</t>
  </si>
  <si>
    <t>Brahmi Chemba Puttu Podi</t>
  </si>
  <si>
    <t>Daivi Flour</t>
  </si>
  <si>
    <t>Raghav Urad Flour</t>
  </si>
  <si>
    <t>Suji Browntop Millet Flour</t>
  </si>
  <si>
    <t>Organic Raw Peanut</t>
  </si>
  <si>
    <t>Dalvi Besan</t>
  </si>
  <si>
    <t>Organic Ragi Flour</t>
  </si>
  <si>
    <t>Dalvi Rice Flour</t>
  </si>
  <si>
    <t>Brahmin Chemba Puttu</t>
  </si>
  <si>
    <t>chemba puttu podi|brahmins puttu powder|puttu powder</t>
  </si>
  <si>
    <t>Browntop Millet Flour</t>
  </si>
  <si>
    <t>Raw Peanut</t>
  </si>
  <si>
    <t>Besan (Red/White Packaging)</t>
  </si>
  <si>
    <t>Swad Gram Flour (Besan)</t>
  </si>
  <si>
    <t>atta|chickpea flour</t>
  </si>
  <si>
    <t>Brown Top Millet Flour</t>
  </si>
  <si>
    <t>Urad Flour</t>
  </si>
  <si>
    <t>Unknown Rice Flour</t>
  </si>
  <si>
    <t>Brahma Sweet Corn Flour</t>
  </si>
  <si>
    <t>Swad Organic Idli Rava</t>
  </si>
  <si>
    <t>Telugu Idli Rava</t>
  </si>
  <si>
    <t>Besan</t>
  </si>
  <si>
    <t>Aara Besan</t>
  </si>
  <si>
    <t>Swad Maida All Purpose Flour</t>
  </si>
  <si>
    <t>Corn Meal</t>
  </si>
  <si>
    <t>Laxmi Rice Flour</t>
  </si>
  <si>
    <t>Laxmi Peanuts (Skinless)</t>
  </si>
  <si>
    <t>Telugu Rice Rava</t>
  </si>
  <si>
    <t>Brar Corn Flour</t>
  </si>
  <si>
    <t>Deep Jaggery Powder</t>
  </si>
  <si>
    <t>Authentic South India Jaggery Powder</t>
  </si>
  <si>
    <t>Laxmi Jaggery</t>
  </si>
  <si>
    <t>Laxmi Jaggery Powder</t>
  </si>
  <si>
    <t>Laxmi Punjabi Masala Gud</t>
  </si>
  <si>
    <t>Laxmi Desi Jaggery</t>
  </si>
  <si>
    <t>Laxmi Punjabi Gud</t>
  </si>
  <si>
    <t>Swad Jaggery Powder</t>
  </si>
  <si>
    <t>Deep Jaggery</t>
  </si>
  <si>
    <t>Rack 96</t>
  </si>
  <si>
    <t>Laxmi Jaggery Cubes</t>
  </si>
  <si>
    <t>Jaggery Cubes</t>
  </si>
  <si>
    <t>Swad Jaggery Cubes (Light)</t>
  </si>
  <si>
    <t>Kolhapuri Jaggery</t>
  </si>
  <si>
    <t>Laxmi Lima Beans</t>
  </si>
  <si>
    <t>Blackeye Peas</t>
  </si>
  <si>
    <t>legumes|beans</t>
  </si>
  <si>
    <t>Toor Dal (Vasad Madhi)</t>
  </si>
  <si>
    <t>Laxmi Toor Dal (Vasad Madhi)</t>
  </si>
  <si>
    <t>Swad Urad Split</t>
  </si>
  <si>
    <t>urad dal whole</t>
  </si>
  <si>
    <t>Organic Urad Black Split</t>
  </si>
  <si>
    <t>urad dal whole|urad whole</t>
  </si>
  <si>
    <t>Daivi Urad Dal Chilka</t>
  </si>
  <si>
    <t>Just Organik Organic Urad Whole</t>
  </si>
  <si>
    <t>Swad Urad Whole</t>
  </si>
  <si>
    <t>Aara Toor Whole</t>
  </si>
  <si>
    <t>Swad Toor Whole</t>
  </si>
  <si>
    <t>Swad Lima Beans Large</t>
  </si>
  <si>
    <t>Swad Val Dal</t>
  </si>
  <si>
    <t>Daivi Kachadi Mix</t>
  </si>
  <si>
    <t>Laxmi Toor Dal (Vasad Madhi) 8 lb</t>
  </si>
  <si>
    <t>Laxmi Toor Dal (Vasad Madhi) 4 lb</t>
  </si>
  <si>
    <t>Laxmi Toor Dal (Vasad Madhi) 2 lb</t>
  </si>
  <si>
    <t>Lima Beans Large</t>
  </si>
  <si>
    <t>Daivi Khichdi Mix</t>
  </si>
  <si>
    <t>Deep Toor Dal Dry</t>
  </si>
  <si>
    <t>Daivi Toor Dal Dry</t>
  </si>
  <si>
    <t>Whole Urad</t>
  </si>
  <si>
    <t>Laxmi Whole Urad</t>
  </si>
  <si>
    <t>Swad Khichdi Mix</t>
  </si>
  <si>
    <t>Aara Khichadi Mix</t>
  </si>
  <si>
    <t>Mantra Organic Tur Dal</t>
  </si>
  <si>
    <t>Daivi Natural Food Toor Dal Dry</t>
  </si>
  <si>
    <t>Aara Toor Dal</t>
  </si>
  <si>
    <t>tuvar dal|pigeon pea|split black gram|chickpeas</t>
  </si>
  <si>
    <t>Aara Chana Dal</t>
  </si>
  <si>
    <t>Laxmi Whole Urad Black Matpe Beans</t>
  </si>
  <si>
    <t>urad dal whole|black lentils</t>
  </si>
  <si>
    <t>Daivi Urad Whole Black Matpe Beans</t>
  </si>
  <si>
    <t>Swad Hichdi Mix</t>
  </si>
  <si>
    <t>24 Mantra Organic Tur Dal</t>
  </si>
  <si>
    <t>24 Mantra Organic Masoor Dal</t>
  </si>
  <si>
    <t>24 Mantra Organic</t>
  </si>
  <si>
    <t>Daivi Urad Gota</t>
  </si>
  <si>
    <t>Swad Urad Gota</t>
  </si>
  <si>
    <t>Laxmi Urad Gota</t>
  </si>
  <si>
    <t>Organic Pancharatan Dal</t>
  </si>
  <si>
    <t>Organic Urad White Whole</t>
  </si>
  <si>
    <t>Organic Urad White Split</t>
  </si>
  <si>
    <t>urad whole|split black gram|urad dal whole</t>
  </si>
  <si>
    <t>Deep Chana Dal</t>
  </si>
  <si>
    <t>split black gram|chickpeas</t>
  </si>
  <si>
    <t>Daivi Chana Dal</t>
  </si>
  <si>
    <t>Daivi Urad Dal</t>
  </si>
  <si>
    <t>Mantra Organic Urad White Whole</t>
  </si>
  <si>
    <t>Mantra Organic Urad White Split</t>
  </si>
  <si>
    <t>Just Organik Urad White Split</t>
  </si>
  <si>
    <t>J. Mullu Murukku</t>
  </si>
  <si>
    <t>Deep Channa Dal</t>
  </si>
  <si>
    <t>Daivi Channa Dal - Desi</t>
  </si>
  <si>
    <t>Daivi Moong Dal</t>
  </si>
  <si>
    <t>Just Organik Organic Urad White Whole</t>
  </si>
  <si>
    <t>Just Organik Organic Urad White Split</t>
  </si>
  <si>
    <t>Just Organik Organic Urad Black Split</t>
  </si>
  <si>
    <t>Deep Moong Dal</t>
  </si>
  <si>
    <t>Aara Idli Dosa Dal</t>
  </si>
  <si>
    <t>brahmins dosa powder|pigeon pea</t>
  </si>
  <si>
    <t>Aara Urad Gota</t>
  </si>
  <si>
    <t>24 Mantra Organic Rajma</t>
  </si>
  <si>
    <t>Daivi Masoor Dal</t>
  </si>
  <si>
    <t>24 Mantra Organic Chana</t>
  </si>
  <si>
    <t>chickpea|chickpeas|split chickpeas|chana dal</t>
  </si>
  <si>
    <t>24 Mantra Organic Brown Chana</t>
  </si>
  <si>
    <t>Laxmi Masoor Dal</t>
  </si>
  <si>
    <t>Deep Masoor Dal</t>
  </si>
  <si>
    <t>Moong Whole</t>
  </si>
  <si>
    <t>Swad Masoor Whole</t>
  </si>
  <si>
    <t>Aara Moth Whole</t>
  </si>
  <si>
    <t>Swad Blackeye Peas</t>
  </si>
  <si>
    <t>Aara Masoor Dal</t>
  </si>
  <si>
    <t>Swad Masoor Malka</t>
  </si>
  <si>
    <t>Daivat Masoor Gota</t>
  </si>
  <si>
    <t>Laxmi Moong Split</t>
  </si>
  <si>
    <t>Bansi Green Lentils</t>
  </si>
  <si>
    <t>Swad Kidney Beans</t>
  </si>
  <si>
    <t>Laxmi Black Eyed Peas</t>
  </si>
  <si>
    <t>Swad Red Beans</t>
  </si>
  <si>
    <t>Swad Sabudana</t>
  </si>
  <si>
    <t>Manna Ethnic Millets</t>
  </si>
  <si>
    <t>Swadesh Malka Masoor Dal</t>
  </si>
  <si>
    <t>Daivi Masoor Gota</t>
  </si>
  <si>
    <t>Laxmi Moong Dal Split</t>
  </si>
  <si>
    <t>Moong Split</t>
  </si>
  <si>
    <t>Light Red Kidney Beans</t>
  </si>
  <si>
    <t>Upvas Sabudana</t>
  </si>
  <si>
    <t>Laxmi Sabudana</t>
  </si>
  <si>
    <t>Vad Moong Split</t>
  </si>
  <si>
    <t>Laxmi Kabuli Chana</t>
  </si>
  <si>
    <t>Laxmi Light Red Kidney Beans</t>
  </si>
  <si>
    <t>Laxmi Kidney Beans</t>
  </si>
  <si>
    <t>Swad Kidney Beans (Small)</t>
  </si>
  <si>
    <t>Swetha Sabudana</t>
  </si>
  <si>
    <t>Swetha Coconut Flakes</t>
  </si>
  <si>
    <t>Aara Kabuli Chana</t>
  </si>
  <si>
    <t>Laxmi Kala Chana</t>
  </si>
  <si>
    <t>Telugu Desiccated Coconut Flakes</t>
  </si>
  <si>
    <t>Telugu Desiccated Coconut Powder</t>
  </si>
  <si>
    <t>Subudana</t>
  </si>
  <si>
    <t>Daivi Kabuli Chana</t>
  </si>
  <si>
    <t>Swad Red Kidney Beans</t>
  </si>
  <si>
    <t>Aara Green Chana</t>
  </si>
  <si>
    <t>Swetha Telugu Coconut Flakes</t>
  </si>
  <si>
    <t>Swetha Telugu Coconut Powder</t>
  </si>
  <si>
    <t>Aara Coconut Powder</t>
  </si>
  <si>
    <t>Anand Kodo Millet</t>
  </si>
  <si>
    <t>Manna Jowar Millet</t>
  </si>
  <si>
    <t>Swetha Telugu Desiccated Coconut Flakes</t>
  </si>
  <si>
    <t>Swetha Telugu Desiccated Coconut Powder</t>
  </si>
  <si>
    <t>Anand Finger Millet</t>
  </si>
  <si>
    <t>Swadha Telugu Coconut Flakes</t>
  </si>
  <si>
    <t>Swadha Telugu Coconut Powder</t>
  </si>
  <si>
    <t>Anand Barnyard Millet</t>
  </si>
  <si>
    <t>Anand Foxtail Millet</t>
  </si>
  <si>
    <t>Anand Little Millet</t>
  </si>
  <si>
    <t>Swad Light Red Kidney Beans</t>
  </si>
  <si>
    <t>Anand Pearl Millet</t>
  </si>
  <si>
    <t>Swad Black Eye Beans</t>
  </si>
  <si>
    <t>Swad Red Beans (Small)</t>
  </si>
  <si>
    <t>Swad Rice</t>
  </si>
  <si>
    <t>Swetha Telugu Sabudana</t>
  </si>
  <si>
    <t>Swad Soft White Wheat</t>
  </si>
  <si>
    <t>Swad Dalia</t>
  </si>
  <si>
    <t>Swad Finger Millet (Ragi)</t>
  </si>
  <si>
    <t>ragi flour|flour</t>
  </si>
  <si>
    <t>Anand Green Lentils</t>
  </si>
  <si>
    <t>Swad Black Peas</t>
  </si>
  <si>
    <t>Swad Chia Seeds</t>
  </si>
  <si>
    <t>Swad Pearl Barley</t>
  </si>
  <si>
    <t>Swad Haleem Wheat</t>
  </si>
  <si>
    <t>Symeka Finger Millet</t>
  </si>
  <si>
    <t>Masoor Matki</t>
  </si>
  <si>
    <t>Horse Gram</t>
  </si>
  <si>
    <t>Laxmi Blackeye Peas</t>
  </si>
  <si>
    <t>Swad Quinoa</t>
  </si>
  <si>
    <t>Whole Moong</t>
  </si>
  <si>
    <t>Aasoor Matki</t>
  </si>
  <si>
    <t>Daivi Daliya Roasted</t>
  </si>
  <si>
    <t>Raghav Daliya Split</t>
  </si>
  <si>
    <t>Rajgara Whole</t>
  </si>
  <si>
    <t>Quinoa White</t>
  </si>
  <si>
    <t>Dami Whole Moong</t>
  </si>
  <si>
    <t>Mantra Organic Kabuli Chana</t>
  </si>
  <si>
    <t>Mantra Organic Brown Chana</t>
  </si>
  <si>
    <t>Laxmi Dalia</t>
  </si>
  <si>
    <t>Daivi Daliya (Roasted)</t>
  </si>
  <si>
    <t>Raghav Rajgira Whole</t>
  </si>
  <si>
    <t>Radhey Quinoa (White)</t>
  </si>
  <si>
    <t>24 Mantra Organic Kabuli Chana</t>
  </si>
  <si>
    <t>Navdhan</t>
  </si>
  <si>
    <t>Aara Dalia</t>
  </si>
  <si>
    <t>Swad Chana Dalia</t>
  </si>
  <si>
    <t>Daivi Dalia (Roasted)</t>
  </si>
  <si>
    <t>Raghav Dalia</t>
  </si>
  <si>
    <t>Urad Gota</t>
  </si>
  <si>
    <t>Multi Dal Mix</t>
  </si>
  <si>
    <t>24 Mantra Organic Black Gram</t>
  </si>
  <si>
    <t>24 Mantra Organic Kidney Bean</t>
  </si>
  <si>
    <t>Swad Nav Dhan</t>
  </si>
  <si>
    <t>Mula Dal Mix</t>
  </si>
  <si>
    <t>24 Mantra Organic Urad Black Whole</t>
  </si>
  <si>
    <t>Urad Black Whole</t>
  </si>
  <si>
    <t>green peas</t>
  </si>
  <si>
    <t>Laxmi Green Vatana</t>
  </si>
  <si>
    <t>Swad Salted Vatana</t>
  </si>
  <si>
    <t>Swad Vatana Green</t>
  </si>
  <si>
    <t>Dalia</t>
  </si>
  <si>
    <t>Aara Urad Dal</t>
  </si>
  <si>
    <t>split black gram|urad dal whole</t>
  </si>
  <si>
    <t>24 Mantra Organic Urad Black Split</t>
  </si>
  <si>
    <t>Aara Urad Black Whole</t>
  </si>
  <si>
    <t>Aara Vatana White</t>
  </si>
  <si>
    <t>Laxmi Yellow Vatana</t>
  </si>
  <si>
    <t>Urad Dal Black Matpe Beans</t>
  </si>
  <si>
    <t>urad dal whole|split black gram|urad whole</t>
  </si>
  <si>
    <t>Laxmi Yellow Split Peas</t>
  </si>
  <si>
    <t>Daui Urad Dal Split</t>
  </si>
  <si>
    <t>24 Mantra Organic Urad White Split</t>
  </si>
  <si>
    <t>24 Mantra Organic Urad White Whole</t>
  </si>
  <si>
    <t>Laxmi Urad White Split</t>
  </si>
  <si>
    <t>Radhey Soya Bean</t>
  </si>
  <si>
    <t>Urad Whole</t>
  </si>
  <si>
    <t>Daalvi Urad Gota</t>
  </si>
  <si>
    <t>Thin Poha</t>
  </si>
  <si>
    <t>Dali Whole Urad</t>
  </si>
  <si>
    <t>24 Mantra Organic Red Lentils</t>
  </si>
  <si>
    <t>24 Mantra Organic Pancharatan Dal</t>
  </si>
  <si>
    <t>24 Mantra Organic Chana Dal</t>
  </si>
  <si>
    <t>Organic Pancharatan Dal Mixed Lentils</t>
  </si>
  <si>
    <t>Laxmi Urad Whole</t>
  </si>
  <si>
    <t>Dalvi Urad Whole</t>
  </si>
  <si>
    <t>Swad Khichadi Mix</t>
  </si>
  <si>
    <t>Orchid Jaggery</t>
  </si>
  <si>
    <t>Organic Urad Whole Black Gram</t>
  </si>
  <si>
    <t>Dalvi Urad Whole Black Matpe Beans</t>
  </si>
  <si>
    <t>Swad Val Dal Lentils</t>
  </si>
  <si>
    <t>black lentils|chickpea lentil</t>
  </si>
  <si>
    <t>Dalvi Khichdi Mix</t>
  </si>
  <si>
    <t>Swad Khichdi Mix Split Moong Lentils</t>
  </si>
  <si>
    <t>black lentils</t>
  </si>
  <si>
    <t>Organic Urad Dal Split</t>
  </si>
  <si>
    <t>Daawat Split Black Matpe Beans</t>
  </si>
  <si>
    <t>Organic Urad Whole</t>
  </si>
  <si>
    <t>Daawat Black Matpe Beans Whole</t>
  </si>
  <si>
    <t>black lentils|urad dal whole</t>
  </si>
  <si>
    <t>Daawat Khichdi Mix</t>
  </si>
  <si>
    <t>snack mix|snacks</t>
  </si>
  <si>
    <t>Deep Food Products (Red/Green Bags)</t>
  </si>
  <si>
    <t>Unknown Dried Goods (Brown wrapped)</t>
  </si>
  <si>
    <t>Aara Red Kidney Beans</t>
  </si>
  <si>
    <t>Urad Split</t>
  </si>
  <si>
    <t>Laxmi Urad Dal Chilka</t>
  </si>
  <si>
    <t>Swad Lima Beans</t>
  </si>
  <si>
    <t>Jaggery Blocks</t>
  </si>
  <si>
    <t>Deep Red Kidney Beans</t>
  </si>
  <si>
    <t>Laxmi boxed food product</t>
  </si>
  <si>
    <t>Floor</t>
  </si>
  <si>
    <t>Jaggery (blocks)</t>
  </si>
  <si>
    <t>Tata Tea Premium</t>
  </si>
  <si>
    <t>Society Tea</t>
  </si>
  <si>
    <t>Wagh Bakri Instant Tea</t>
  </si>
  <si>
    <t>Quik Tea Ginger</t>
  </si>
  <si>
    <t>paste</t>
  </si>
  <si>
    <t>Quik Tea Masala</t>
  </si>
  <si>
    <t>Quik Tea Cardamom</t>
  </si>
  <si>
    <t>Quik Tea Green Tea</t>
  </si>
  <si>
    <t>PG Tips</t>
  </si>
  <si>
    <t>Quik Tea Ginger with Lemon</t>
  </si>
  <si>
    <t>Tapal Green Tea</t>
  </si>
  <si>
    <t>Wagh Bakri Instant Ginger Tea</t>
  </si>
  <si>
    <t>adarak|chawal|biyyam</t>
  </si>
  <si>
    <t>Quik Tea Lemongrass Ginger</t>
  </si>
  <si>
    <t>Quik Tea Madras Coffee</t>
  </si>
  <si>
    <t>kaapi|madras mix</t>
  </si>
  <si>
    <t>Nirvana Honey Ginger Tea</t>
  </si>
  <si>
    <t>Society Masala Tea</t>
  </si>
  <si>
    <t>Nescafe Classic</t>
  </si>
  <si>
    <t>Nescafe Gold</t>
  </si>
  <si>
    <t>Contico Malgudi Coffee</t>
  </si>
  <si>
    <t>Aachi Chukku Kappi</t>
  </si>
  <si>
    <t>Saab Cane Sugar</t>
  </si>
  <si>
    <t>Tata Tea Natural Care</t>
  </si>
  <si>
    <t>Lipton Darjeeling Tea</t>
  </si>
  <si>
    <t>Lipton Tea Bags</t>
  </si>
  <si>
    <t>Black Loose Leaf Tea</t>
  </si>
  <si>
    <t>Continental Special Coffee</t>
  </si>
  <si>
    <t>Narasu's Pure Instant Coffee</t>
  </si>
  <si>
    <t>Coorg Coffee</t>
  </si>
  <si>
    <t>Aachi Chukku Malli Kappi</t>
  </si>
  <si>
    <t>Just Organik Sugar</t>
  </si>
  <si>
    <t>Bansi Cane Sugar Brown</t>
  </si>
  <si>
    <t>Quik Tea Ginger Tea</t>
  </si>
  <si>
    <t>Quik Tea Masala Tea</t>
  </si>
  <si>
    <t>Quik Tea Masala Chai</t>
  </si>
  <si>
    <t>Quik Tea Ginger Chai</t>
  </si>
  <si>
    <t>Quik Tea Tea Bags</t>
  </si>
  <si>
    <t>Wagh Bakri Lemongrass Ginger Tea</t>
  </si>
  <si>
    <t>Taj Mahal Tea</t>
  </si>
  <si>
    <t>Tata Gold Tea</t>
  </si>
  <si>
    <t>Red Label Natural Care Tea</t>
  </si>
  <si>
    <t>Tata Premium Tea</t>
  </si>
  <si>
    <t>Tetley Chai Tea</t>
  </si>
  <si>
    <t>Bru Instant Coffee</t>
  </si>
  <si>
    <t>kaapi|beverage</t>
  </si>
  <si>
    <t>Araku Boomi Instant Coffee</t>
  </si>
  <si>
    <t>Nescafe Classic Coffee</t>
  </si>
  <si>
    <t>Nescafe Gold Coffee</t>
  </si>
  <si>
    <t>Dandedar Tea</t>
  </si>
  <si>
    <t>Malgudi Coffee</t>
  </si>
  <si>
    <t>Aachi Chukky Kappi Coffee</t>
  </si>
  <si>
    <t>Just Organik Sugar Brown</t>
  </si>
  <si>
    <t>Aab Cane Sugar Brown</t>
  </si>
  <si>
    <t>Tetley Ginger Tea Bags</t>
  </si>
  <si>
    <t>Tetley Black Tea</t>
  </si>
  <si>
    <t>Tetley Chai Classic</t>
  </si>
  <si>
    <t>indian bread</t>
  </si>
  <si>
    <t>Bru Gold Coffee</t>
  </si>
  <si>
    <t>Continental Speciale Coffee</t>
  </si>
  <si>
    <t>Narasus Instant Coffee</t>
  </si>
  <si>
    <t>Nestle Everyday Dairy Whitener</t>
  </si>
  <si>
    <t>milk</t>
  </si>
  <si>
    <t>Dandebar Tea</t>
  </si>
  <si>
    <t>Malgudi Filter Coffee</t>
  </si>
  <si>
    <t>Contico Malgudi Filter Coffee</t>
  </si>
  <si>
    <t>Bansi Brand Product</t>
  </si>
  <si>
    <t>Wagh Bakri Masala Chai</t>
  </si>
  <si>
    <t>Tetley Masala Tea Bags</t>
  </si>
  <si>
    <t>Tetley Chai Premium Black Tea</t>
  </si>
  <si>
    <t>tea spice|bags</t>
  </si>
  <si>
    <t>Bru Green Label Coffee</t>
  </si>
  <si>
    <t>coffee beans|kaapi|beverage</t>
  </si>
  <si>
    <t>Horlicks</t>
  </si>
  <si>
    <t>Nature's Gift Lemongrass Tea</t>
  </si>
  <si>
    <t>Coffee Mate</t>
  </si>
  <si>
    <t>Everyday Dairy Whitener</t>
  </si>
  <si>
    <t>milk|doodh|paneer</t>
  </si>
  <si>
    <t>Tapal Danedar Tea</t>
  </si>
  <si>
    <t>Jiya's Brown Sugar</t>
  </si>
  <si>
    <t>chini|coconut sugar</t>
  </si>
  <si>
    <t>Just Organik Organic Sugar</t>
  </si>
  <si>
    <t>coconut sugar|chini|brown sugar</t>
  </si>
  <si>
    <t>Just Organik Organic Sugar Brown</t>
  </si>
  <si>
    <t>3 Roses Natural Care</t>
  </si>
  <si>
    <t>Wagh Bakri Premium Tea Bags</t>
  </si>
  <si>
    <t>Tetley Masala Tea</t>
  </si>
  <si>
    <t>Tetley Elaichi Tea</t>
  </si>
  <si>
    <t>Tetley Ginger Tea</t>
  </si>
  <si>
    <t>Swad Tea</t>
  </si>
  <si>
    <t>bru coffee|green label coffee</t>
  </si>
  <si>
    <t>Cofhas Royal Blend Coffee</t>
  </si>
  <si>
    <t>Cofhas Classic Blend Coffee</t>
  </si>
  <si>
    <t>Junior Horlicks</t>
  </si>
  <si>
    <t>Nestle Everyday</t>
  </si>
  <si>
    <t>tea</t>
  </si>
  <si>
    <t>Red Label Strong Tea</t>
  </si>
  <si>
    <t>3 Roses Natural Care Tea</t>
  </si>
  <si>
    <t>Laxmi Premium Tea</t>
  </si>
  <si>
    <t>Wagh Bakri Masala Chai Tea Bags</t>
  </si>
  <si>
    <t>Cothas Specialty Blend Coffee</t>
  </si>
  <si>
    <t>Cothas Royal Blend Coffee</t>
  </si>
  <si>
    <t>Cothas Filter Coffee</t>
  </si>
  <si>
    <t>Boost Health Drink</t>
  </si>
  <si>
    <t>Horlicks Health Drink</t>
  </si>
  <si>
    <t>Horlicks Junior Health Drink</t>
  </si>
  <si>
    <t>Coffee Mate Creamer</t>
  </si>
  <si>
    <t>Jiya's Organic Sugar</t>
  </si>
  <si>
    <t>Wagh Bakri Premium Leaf Tea</t>
  </si>
  <si>
    <t>Cothas Classic Blend Coffee</t>
  </si>
  <si>
    <t>Cothas Instant Coffee</t>
  </si>
  <si>
    <t>Bru Coffee</t>
  </si>
  <si>
    <t>Complan Health Drink</t>
  </si>
  <si>
    <t>Horlicks Chocolate Health Drink</t>
  </si>
  <si>
    <t>cocoa</t>
  </si>
  <si>
    <t>Horlicks Classic Health Drink</t>
  </si>
  <si>
    <t>Lemon Gend</t>
  </si>
  <si>
    <t>Wagh Bakri Tea Bags</t>
  </si>
  <si>
    <t>Cothas Classic Blend Instant Coffee</t>
  </si>
  <si>
    <t>Gulab Rose Syrup</t>
  </si>
  <si>
    <t>Complam</t>
  </si>
  <si>
    <t>Jai Hanuman Sambrani Cup</t>
  </si>
  <si>
    <t>Devdarshan Incense</t>
  </si>
  <si>
    <t>Palm Sugar</t>
  </si>
  <si>
    <t>coconut sugar</t>
  </si>
  <si>
    <t>Cycle Puja Oil</t>
  </si>
  <si>
    <t>Cycle Lord Shiva Incense Sticks</t>
  </si>
  <si>
    <t>Cycle Vanilla Incense Sticks</t>
  </si>
  <si>
    <t>barbecue sticks</t>
  </si>
  <si>
    <t>Cycle Champa Incense Sticks</t>
  </si>
  <si>
    <t>Cycle Chandan Incense Sticks</t>
  </si>
  <si>
    <t>Cycle Jasmine Incense Sticks</t>
  </si>
  <si>
    <t>Cycle All in One Incense Sticks</t>
  </si>
  <si>
    <t>Cycle Lord Krishna Incense Sticks</t>
  </si>
  <si>
    <t>Cycle Saraswati Incense Sticks</t>
  </si>
  <si>
    <t>Cycle Gulab Incense Sticks</t>
  </si>
  <si>
    <t>Cycle Sandalwood Incense Sticks</t>
  </si>
  <si>
    <t>Gopuram Pal Sambirani</t>
  </si>
  <si>
    <t>Devdarshan Sambirani Cup</t>
  </si>
  <si>
    <t>samosas</t>
  </si>
  <si>
    <t>Cycle Three in One Incense Sticks</t>
  </si>
  <si>
    <t>Cycle Rose Incense Sticks</t>
  </si>
  <si>
    <t>Cycle 3 in 1 Incense Sticks</t>
  </si>
  <si>
    <t>Divine Deepam Lamp Oil</t>
  </si>
  <si>
    <t>Gopuram Lamp Oil</t>
  </si>
  <si>
    <t>Pure Puja Oil</t>
  </si>
  <si>
    <t>Cycle Lavender Incense Sticks</t>
  </si>
  <si>
    <t>Divine Lamp Oil</t>
  </si>
  <si>
    <t>Cycle Pure Prayer Oil</t>
  </si>
  <si>
    <t>Cycle 3-in-1 Incense Sticks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</si>
</sst>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569CD6"/>
      <name val="Consolas"/>
    </font>
    <font>
      <u/>
      <color rgb="FF0000FF"/>
    </font>
    <font>
      <color theme="1"/>
      <name val="Arial"/>
    </font>
    <font/>
    <font>
      <color rgb="FFBFBFB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  <fill>
      <patternFill patternType="solid">
        <fgColor rgb="FF980000"/>
        <bgColor rgb="FF980000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76A5AF"/>
        <bgColor rgb="FF76A5AF"/>
      </patternFill>
    </fill>
    <fill>
      <patternFill patternType="solid">
        <fgColor rgb="FFD9D2E9"/>
        <bgColor rgb="FFD9D2E9"/>
      </patternFill>
    </fill>
    <fill>
      <patternFill patternType="solid">
        <fgColor rgb="FF121314"/>
        <bgColor rgb="FF121314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/>
    </xf>
    <xf borderId="0" fillId="3" fontId="1" numFmtId="0" xfId="0" applyFill="1" applyFont="1"/>
    <xf borderId="0" fillId="3" fontId="1" numFmtId="0" xfId="0" applyAlignment="1" applyFill="1" applyFont="1">
      <alignment horizontal="left" readingOrder="0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readingOrder="0" textRotation="90" vertical="center"/>
    </xf>
    <xf borderId="2" fillId="0" fontId="1" numFmtId="0" xfId="0" applyAlignment="1" applyBorder="1" applyFont="1">
      <alignment horizontal="center" readingOrder="0"/>
    </xf>
    <xf borderId="3" fillId="3" fontId="1" numFmtId="0" xfId="0" applyAlignment="1" applyBorder="1" applyFill="1" applyFont="1">
      <alignment horizontal="center" readingOrder="0"/>
    </xf>
    <xf borderId="0" fillId="4" fontId="4" numFmtId="0" xfId="0" applyAlignment="1" applyFill="1" applyFont="1">
      <alignment textRotation="90"/>
    </xf>
    <xf borderId="0" fillId="4" fontId="4" numFmtId="0" xfId="0" applyAlignment="1" applyFill="1" applyFont="1">
      <alignment vertical="bottom"/>
    </xf>
    <xf borderId="0" fillId="5" fontId="4" numFmtId="0" xfId="0" applyAlignment="1" applyFill="1" applyFont="1">
      <alignment textRotation="90"/>
    </xf>
    <xf borderId="0" fillId="5" fontId="4" numFmtId="0" xfId="0" applyAlignment="1" applyFill="1" applyFont="1">
      <alignment vertical="bottom"/>
    </xf>
    <xf borderId="0" fillId="5" fontId="4" numFmtId="0" xfId="0" applyAlignment="1" applyFill="1" applyFont="1">
      <alignment textRotation="90"/>
    </xf>
    <xf borderId="0" fillId="6" fontId="1" numFmtId="0" xfId="0" applyAlignment="1" applyFill="1" applyFont="1">
      <alignment horizontal="left" readingOrder="0" textRotation="90" vertical="center"/>
    </xf>
    <xf borderId="0" fillId="6" fontId="1" numFmtId="0" xfId="0" applyAlignment="1" applyFill="1" applyFont="1">
      <alignment horizontal="left" readingOrder="0"/>
    </xf>
    <xf borderId="0" fillId="7" fontId="1" numFmtId="0" xfId="0" applyAlignment="1" applyFill="1" applyFont="1">
      <alignment horizontal="left" readingOrder="0" textRotation="90" vertical="center"/>
    </xf>
    <xf borderId="0" fillId="7" fontId="1" numFmtId="0" xfId="0" applyAlignment="1" applyFill="1" applyFont="1">
      <alignment horizontal="left" readingOrder="0"/>
    </xf>
    <xf borderId="0" fillId="4" fontId="4" numFmtId="0" xfId="0" applyAlignment="1" applyFill="1" applyFont="1">
      <alignment vertical="bottom"/>
    </xf>
    <xf borderId="0" fillId="5" fontId="4" numFmtId="0" xfId="0" applyAlignment="1" applyFill="1" applyFont="1">
      <alignment vertical="bottom"/>
    </xf>
    <xf borderId="0" fillId="4" fontId="4" numFmtId="0" xfId="0" applyAlignment="1" applyFill="1" applyFont="1">
      <alignment textRotation="90"/>
    </xf>
    <xf borderId="0" fillId="8" fontId="4" numFmtId="0" xfId="0" applyAlignment="1" applyFill="1" applyFont="1">
      <alignment horizontal="center" textRotation="0" vertical="center"/>
    </xf>
    <xf borderId="0" fillId="8" fontId="1" numFmtId="0" xfId="0" applyFill="1" applyFont="1"/>
    <xf borderId="0" fillId="8" fontId="4" numFmtId="0" xfId="0" applyAlignment="1" applyFill="1" applyFont="1">
      <alignment horizontal="center" readingOrder="0" textRotation="0" vertical="center"/>
    </xf>
    <xf borderId="0" fillId="9" fontId="4" numFmtId="0" xfId="0" applyAlignment="1" applyFill="1" applyFont="1">
      <alignment horizontal="center" textRotation="0" vertical="center"/>
    </xf>
    <xf borderId="0" fillId="9" fontId="1" numFmtId="0" xfId="0" applyFill="1" applyFont="1"/>
    <xf borderId="0" fillId="9" fontId="1" numFmtId="0" xfId="0" applyAlignment="1" applyFill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4" fillId="0" fontId="1" numFmtId="0" xfId="0" applyAlignment="1" applyBorder="1" applyFont="1">
      <alignment readingOrder="0" textRotation="90" vertical="center"/>
    </xf>
    <xf borderId="5" fillId="0" fontId="5" numFmtId="0" xfId="0" applyBorder="1" applyFont="1"/>
    <xf borderId="0" fillId="10" fontId="1" numFmtId="0" xfId="0" applyFill="1" applyFont="1"/>
    <xf borderId="6" fillId="0" fontId="5" numFmtId="0" xfId="0" applyBorder="1" applyFont="1"/>
    <xf borderId="7" fillId="0" fontId="5" numFmtId="0" xfId="0" applyBorder="1" applyFont="1"/>
    <xf borderId="0" fillId="10" fontId="1" numFmtId="0" xfId="0" applyAlignment="1" applyFill="1" applyFont="1">
      <alignment horizontal="center" readingOrder="0" vertical="center"/>
    </xf>
    <xf borderId="8" fillId="0" fontId="5" numFmtId="0" xfId="0" applyBorder="1" applyFont="1"/>
    <xf borderId="9" fillId="0" fontId="5" numFmtId="0" xfId="0" applyBorder="1" applyFont="1"/>
    <xf borderId="0" fillId="2" fontId="2" numFmtId="0" xfId="0" applyFill="1" applyFont="1"/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Font="1" applyNumberFormat="1"/>
    <xf borderId="10" fillId="11" fontId="6" numFmtId="0" xfId="0" applyAlignment="1" applyBorder="1" applyFill="1" applyFont="1">
      <alignment readingOrder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3">
    <tableStyle count="4" pivot="0" name="Device 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arch 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12" table="0" name="Google Sheets Pivot Table Style">
      <tableStyleElement dxfId="6" type="wholeTable"/>
      <tableStyleElement dxfId="7" type="firstRowSubheading"/>
      <tableStyleElement dxfId="7" type="secondRowSubheading"/>
      <tableStyleElement dxfId="7" type="thirdRowSubheading"/>
      <tableStyleElement dxfId="8" type="firstColumnSubheading"/>
      <tableStyleElement dxfId="8" type="secondColumnSubheading"/>
      <tableStyleElement dxfId="8" type="thirdColumnSubheading"/>
      <tableStyleElement dxfId="8" type="headerRow"/>
      <tableStyleElement dxfId="9" type="firstSubtotalRow"/>
      <tableStyleElement dxfId="9" type="secondSubtotalRow"/>
      <tableStyleElement dxfId="9" type="thirdSubtotalRow"/>
      <tableStyleElement dxfId="10" type="totalRow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14" sheet="Parsed Data"/>
  </cacheSource>
  <cacheFields>
    <cacheField name="Timestamp" numFmtId="164">
      <sharedItems containsSemiMixedTypes="0" containsDate="1" containsString="0">
        <d v="2026-08-19T00:36:57Z"/>
        <d v="2026-08-19T00:37:55Z"/>
        <d v="2026-08-19T00:38:44Z"/>
        <d v="2026-08-19T00:50:54Z"/>
        <d v="2026-08-19T01:02:11Z"/>
        <d v="2026-08-19T01:03:50Z"/>
        <d v="2026-08-19T01:12:29Z"/>
        <d v="2026-08-19T01:13:17Z"/>
        <d v="2026-08-19T01:19:33Z"/>
        <d v="2026-08-19T01:21:22Z"/>
        <d v="2026-08-19T01:21:28Z"/>
        <d v="2026-08-19T01:21:28Z"/>
        <d v="2026-08-19T01:25:53Z"/>
      </sharedItems>
    </cacheField>
    <cacheField name="Device Type" numFmtId="0">
      <sharedItems>
        <s v="Desktop"/>
        <s v="Mobile"/>
      </sharedItems>
    </cacheField>
    <cacheField name="OS" numFmtId="0">
      <sharedItems>
        <s v="Linux"/>
        <s v="iOS"/>
      </sharedItems>
    </cacheField>
    <cacheField name="Browser" numFmtId="0">
      <sharedItems>
        <s v="Chrome"/>
        <s v="Safari"/>
      </sharedItems>
    </cacheField>
    <cacheField name="Visit Count" numFmtId="0">
      <sharedItems containsSemiMixedTypes="0" containsString="0" containsNumber="1" containsInteger="1">
        <n v="1.0"/>
        <n v="2.0"/>
        <n v="18.0"/>
        <n v="13.0"/>
        <n v="12.0"/>
        <n v="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Insights Pivot" cacheId="0" dataCaption="" compact="0" compactData="0">
  <location ref="A1:D5" firstHeaderRow="0" firstDataRow="1" firstDataCol="1"/>
  <pivotFields>
    <pivotField name="Timestamp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evice Type" axis="axisRow" compact="0" outline="0" multipleItemSelectionAllowed="1" showAll="0" sortType="ascending">
      <items>
        <item x="0"/>
        <item x="1"/>
        <item t="default"/>
      </items>
    </pivotField>
    <pivotField name="OS" compact="0" outline="0" multipleItemSelectionAllowed="1" showAll="0">
      <items>
        <item x="0"/>
        <item x="1"/>
        <item t="default"/>
      </items>
    </pivotField>
    <pivotField name="Browser" axis="axisCol" compact="0" outline="0" multipleItemSelectionAllowed="1" showAll="0" sortType="ascending">
      <items>
        <item x="0"/>
        <item x="1"/>
        <item t="default"/>
      </items>
    </pivotField>
    <pivotField name="Visit 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"/>
  </rowFields>
  <colFields>
    <field x="3"/>
  </colFields>
  <dataFields>
    <dataField name="COUNTA of Timestamp" fld="0" subtotal="count" baseField="0"/>
  </dataFields>
  <pivotTableStyleInfo name="Google Sheets Pivot Table Style" showRowHeaders="1" showColHeaders="1" showLastColumn="1"/>
</pivotTableDefinition>
</file>

<file path=xl/tables/table1.xml><?xml version="1.0" encoding="utf-8"?>
<table xmlns="http://schemas.openxmlformats.org/spreadsheetml/2006/main" ref="A1:B77" displayName="Form_Responses" name="Form_Responses" id="1">
  <tableColumns count="2">
    <tableColumn name="Timestamp" id="1"/>
    <tableColumn name="Device details" id="2"/>
  </tableColumns>
  <tableStyleInfo name="Device log-style" showColumnStripes="0" showFirstColumn="1" showLastColumn="1" showRowStripes="1"/>
</table>
</file>

<file path=xl/tables/table2.xml><?xml version="1.0" encoding="utf-8"?>
<table xmlns="http://schemas.openxmlformats.org/spreadsheetml/2006/main" ref="A1:B229" displayName="Form_Responses2" name="Form_Responses2" id="2">
  <tableColumns count="2">
    <tableColumn name="Timestamp" id="1"/>
    <tableColumn name="Query" id="2"/>
  </tableColumns>
  <tableStyleInfo name="Search 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onlinelabels.com/" TargetMode="External"/><Relationship Id="rId2" Type="http://schemas.openxmlformats.org/officeDocument/2006/relationships/hyperlink" Target="http://maestro.onlinelabels.com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8.0"/>
    <col customWidth="1" min="2" max="2" width="14.13"/>
    <col customWidth="1" min="3" max="3" width="39.38"/>
    <col customWidth="1" min="4" max="4" width="11.13"/>
    <col customWidth="1" min="5" max="5" width="11.88"/>
    <col customWidth="1" min="6" max="6" width="7.25"/>
    <col customWidth="1" min="7" max="7" width="17.0"/>
    <col customWidth="1" min="8" max="8" width="74.88"/>
    <col customWidth="1" min="9" max="9" width="17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>
      <c r="A2" s="3" t="s">
        <v>7</v>
      </c>
      <c r="B2" s="4" t="str">
        <f>IFERROR(__xludf.DUMMYFUNCTION("GOOGLETRANSLATE(A2, ""en"", ""te"")"),"రాయల్ బ్రౌన్ బాస్మతి రైస్")</f>
        <v>రాయల్ బ్రౌన్ బాస్మతి రైస్</v>
      </c>
      <c r="C2" s="4" t="str">
        <f>IFERROR(__xludf.DUMMYFUNCTION("GOOGLETRANSLATE(A2, ""en"", ""hi"")"),"रॉयल ब्राउन बासमती चावल")</f>
        <v>रॉयल ब्राउन बासमती चावल</v>
      </c>
      <c r="D2" s="2" t="s">
        <v>8</v>
      </c>
      <c r="E2" s="2" t="s">
        <v>9</v>
      </c>
      <c r="F2" s="1">
        <v>1.0</v>
      </c>
      <c r="G2" s="3" t="s">
        <v>10</v>
      </c>
    </row>
    <row r="3">
      <c r="A3" s="3" t="s">
        <v>11</v>
      </c>
      <c r="B3" s="4" t="str">
        <f>IFERROR(__xludf.DUMMYFUNCTION("GOOGLETRANSLATE(A3, ""en"", ""te"")"),"గోదావరి సోనా మసూరి రైస్")</f>
        <v>గోదావరి సోనా మసూరి రైస్</v>
      </c>
      <c r="C3" s="4" t="str">
        <f>IFERROR(__xludf.DUMMYFUNCTION("GOOGLETRANSLATE(A3, ""en"", ""hi"")"),"गोदावरी सोना मसूरी चावल")</f>
        <v>गोदावरी सोना मसूरी चावल</v>
      </c>
      <c r="D3" s="2" t="s">
        <v>12</v>
      </c>
      <c r="E3" s="2" t="s">
        <v>9</v>
      </c>
      <c r="F3" s="1">
        <v>1.0</v>
      </c>
      <c r="G3" s="3" t="s">
        <v>10</v>
      </c>
    </row>
    <row r="4">
      <c r="A4" s="3" t="s">
        <v>13</v>
      </c>
      <c r="B4" s="4" t="str">
        <f>IFERROR(__xludf.DUMMYFUNCTION("GOOGLETRANSLATE(A4, ""en"", ""te"")"),"ఇండియా గేట్ బాస్మతి బియ్యం")</f>
        <v>ఇండియా గేట్ బాస్మతి బియ్యం</v>
      </c>
      <c r="C4" s="4" t="str">
        <f>IFERROR(__xludf.DUMMYFUNCTION("GOOGLETRANSLATE(A4, ""en"", ""hi"")"),"इंडिया गेट बासमती चावल")</f>
        <v>इंडिया गेट बासमती चावल</v>
      </c>
      <c r="D4" s="2" t="s">
        <v>14</v>
      </c>
      <c r="E4" s="2" t="s">
        <v>9</v>
      </c>
      <c r="F4" s="1">
        <v>1.0</v>
      </c>
      <c r="G4" s="3" t="s">
        <v>10</v>
      </c>
    </row>
    <row r="5">
      <c r="A5" s="3" t="s">
        <v>15</v>
      </c>
      <c r="B5" s="4" t="str">
        <f>IFERROR(__xludf.DUMMYFUNCTION("GOOGLETRANSLATE(A5, ""en"", ""te"")"),"లక్ష్మి సోనా మసూరి రైస్")</f>
        <v>లక్ష్మి సోనా మసూరి రైస్</v>
      </c>
      <c r="C5" s="4" t="str">
        <f>IFERROR(__xludf.DUMMYFUNCTION("GOOGLETRANSLATE(A5, ""en"", ""hi"")"),"लक्ष्मी सोना मसूरी चावल")</f>
        <v>लक्ष्मी सोना मसूरी चावल</v>
      </c>
      <c r="D5" s="2" t="s">
        <v>16</v>
      </c>
      <c r="E5" s="2" t="s">
        <v>9</v>
      </c>
      <c r="F5" s="1">
        <v>1.0</v>
      </c>
      <c r="G5" s="3" t="s">
        <v>10</v>
      </c>
    </row>
    <row r="6">
      <c r="A6" s="3" t="s">
        <v>17</v>
      </c>
      <c r="B6" s="4" t="str">
        <f>IFERROR(__xludf.DUMMYFUNCTION("GOOGLETRANSLATE(A6, ""en"", ""te"")"),"లక్ష్మి ఇడ్లీ రైస్")</f>
        <v>లక్ష్మి ఇడ్లీ రైస్</v>
      </c>
      <c r="C6" s="4" t="str">
        <f>IFERROR(__xludf.DUMMYFUNCTION("GOOGLETRANSLATE(A6, ""en"", ""hi"")"),"लक्ष्मी इडली चावल")</f>
        <v>लक्ष्मी इडली चावल</v>
      </c>
      <c r="D6" s="2" t="s">
        <v>18</v>
      </c>
      <c r="E6" s="2" t="s">
        <v>9</v>
      </c>
      <c r="F6" s="1">
        <v>1.0</v>
      </c>
      <c r="G6" s="3" t="s">
        <v>10</v>
      </c>
    </row>
    <row r="7">
      <c r="A7" s="3" t="s">
        <v>19</v>
      </c>
      <c r="B7" s="4" t="str">
        <f>IFERROR(__xludf.DUMMYFUNCTION("GOOGLETRANSLATE(A7, ""en"", ""te"")"),"లక్ష్మి ఏజ్డ్ బాస్మతి రైస్")</f>
        <v>లక్ష్మి ఏజ్డ్ బాస్మతి రైస్</v>
      </c>
      <c r="C7" s="4" t="str">
        <f>IFERROR(__xludf.DUMMYFUNCTION("GOOGLETRANSLATE(A7, ""en"", ""hi"")"),"लक्ष्मी एज्ड बासमती चावल")</f>
        <v>लक्ष्मी एज्ड बासमती चावल</v>
      </c>
      <c r="D7" s="2" t="s">
        <v>14</v>
      </c>
      <c r="E7" s="2" t="s">
        <v>9</v>
      </c>
      <c r="F7" s="1">
        <v>1.0</v>
      </c>
      <c r="G7" s="3" t="s">
        <v>20</v>
      </c>
    </row>
    <row r="8">
      <c r="A8" s="3" t="s">
        <v>21</v>
      </c>
      <c r="B8" s="4" t="str">
        <f>IFERROR(__xludf.DUMMYFUNCTION("GOOGLETRANSLATE(A8, ""en"", ""te"")"),"రాఘవ్ జీరా సాంబా రైస్")</f>
        <v>రాఘవ్ జీరా సాంబా రైస్</v>
      </c>
      <c r="C8" s="4" t="str">
        <f>IFERROR(__xludf.DUMMYFUNCTION("GOOGLETRANSLATE(A8, ""en"", ""hi"")"),"राघव जीरा सांबा राइस")</f>
        <v>राघव जीरा सांबा राइस</v>
      </c>
      <c r="D8" s="2" t="s">
        <v>22</v>
      </c>
      <c r="E8" s="2" t="s">
        <v>9</v>
      </c>
      <c r="F8" s="1">
        <v>1.0</v>
      </c>
      <c r="G8" s="3" t="s">
        <v>20</v>
      </c>
    </row>
    <row r="9">
      <c r="A9" s="3" t="s">
        <v>23</v>
      </c>
      <c r="B9" s="4" t="str">
        <f>IFERROR(__xludf.DUMMYFUNCTION("GOOGLETRANSLATE(A9, ""en"", ""te"")"),"కిచెన్ కింగ్ బాస్మతి రైస్")</f>
        <v>కిచెన్ కింగ్ బాస్మతి రైస్</v>
      </c>
      <c r="C9" s="4" t="str">
        <f>IFERROR(__xludf.DUMMYFUNCTION("GOOGLETRANSLATE(A9, ""en"", ""hi"")"),"किचन किंग बासमती चावल")</f>
        <v>किचन किंग बासमती चावल</v>
      </c>
      <c r="D9" s="2" t="s">
        <v>14</v>
      </c>
      <c r="E9" s="2" t="s">
        <v>9</v>
      </c>
      <c r="F9" s="1">
        <v>1.0</v>
      </c>
      <c r="G9" s="3" t="s">
        <v>20</v>
      </c>
    </row>
    <row r="10">
      <c r="A10" s="3" t="s">
        <v>24</v>
      </c>
      <c r="B10" s="4" t="str">
        <f>IFERROR(__xludf.DUMMYFUNCTION("GOOGLETRANSLATE(A10, ""en"", ""te"")"),"టిల్డా శుద్ధ బాస్మతి బియ్యం")</f>
        <v>టిల్డా శుద్ధ బాస్మతి బియ్యం</v>
      </c>
      <c r="C10" s="4" t="str">
        <f>IFERROR(__xludf.DUMMYFUNCTION("GOOGLETRANSLATE(A10, ""en"", ""hi"")"),"टिल्डा प्योर बासमती चावल")</f>
        <v>टिल्डा प्योर बासमती चावल</v>
      </c>
      <c r="D10" s="2" t="s">
        <v>14</v>
      </c>
      <c r="E10" s="2" t="s">
        <v>9</v>
      </c>
      <c r="F10" s="1">
        <v>1.0</v>
      </c>
      <c r="G10" s="3" t="s">
        <v>20</v>
      </c>
    </row>
    <row r="11">
      <c r="A11" s="3" t="s">
        <v>13</v>
      </c>
      <c r="B11" s="4" t="str">
        <f>IFERROR(__xludf.DUMMYFUNCTION("GOOGLETRANSLATE(A11, ""en"", ""te"")"),"ఇండియా గేట్ బాస్మతి బియ్యం")</f>
        <v>ఇండియా గేట్ బాస్మతి బియ్యం</v>
      </c>
      <c r="C11" s="4" t="str">
        <f>IFERROR(__xludf.DUMMYFUNCTION("GOOGLETRANSLATE(A11, ""en"", ""hi"")"),"इंडिया गेट बासमती चावल")</f>
        <v>इंडिया गेट बासमती चावल</v>
      </c>
      <c r="D11" s="2" t="s">
        <v>14</v>
      </c>
      <c r="E11" s="2" t="s">
        <v>9</v>
      </c>
      <c r="F11" s="1">
        <v>1.0</v>
      </c>
      <c r="G11" s="3" t="s">
        <v>20</v>
      </c>
    </row>
    <row r="12">
      <c r="A12" s="3" t="s">
        <v>25</v>
      </c>
      <c r="B12" s="4" t="str">
        <f>IFERROR(__xludf.DUMMYFUNCTION("GOOGLETRANSLATE(A12, ""en"", ""te"")"),"ఇండియా గేట్ బాస్మతి రైస్ క్లాసిక్")</f>
        <v>ఇండియా గేట్ బాస్మతి రైస్ క్లాసిక్</v>
      </c>
      <c r="C12" s="4" t="str">
        <f>IFERROR(__xludf.DUMMYFUNCTION("GOOGLETRANSLATE(A12, ""en"", ""hi"")"),"इंडिया गेट बासमती राइस क्लासिक")</f>
        <v>इंडिया गेट बासमती राइस क्लासिक</v>
      </c>
      <c r="D12" s="2" t="s">
        <v>14</v>
      </c>
      <c r="E12" s="2" t="s">
        <v>9</v>
      </c>
      <c r="F12" s="1">
        <v>1.0</v>
      </c>
      <c r="G12" s="3" t="s">
        <v>20</v>
      </c>
    </row>
    <row r="13">
      <c r="A13" s="3" t="s">
        <v>26</v>
      </c>
      <c r="B13" s="4" t="str">
        <f>IFERROR(__xludf.DUMMYFUNCTION("GOOGLETRANSLATE(A13, ""en"", ""te"")"),"ఇండియా గేట్ బాస్మతి రైస్ ఎక్సెల్")</f>
        <v>ఇండియా గేట్ బాస్మతి రైస్ ఎక్సెల్</v>
      </c>
      <c r="C13" s="4" t="str">
        <f>IFERROR(__xludf.DUMMYFUNCTION("GOOGLETRANSLATE(A13, ""en"", ""hi"")"),"इंडिया गेट बासमती राइस एक्सेल")</f>
        <v>इंडिया गेट बासमती राइस एक्सेल</v>
      </c>
      <c r="D13" s="2" t="s">
        <v>14</v>
      </c>
      <c r="E13" s="2" t="s">
        <v>9</v>
      </c>
      <c r="F13" s="1">
        <v>1.0</v>
      </c>
      <c r="G13" s="3" t="s">
        <v>20</v>
      </c>
    </row>
    <row r="14">
      <c r="A14" s="3" t="s">
        <v>27</v>
      </c>
      <c r="B14" s="4" t="str">
        <f>IFERROR(__xludf.DUMMYFUNCTION("GOOGLETRANSLATE(A14, ""en"", ""te"")"),"మెహర్బాన్ సుగంధ కలిజిరా రైస్")</f>
        <v>మెహర్బాన్ సుగంధ కలిజిరా రైస్</v>
      </c>
      <c r="C14" s="4" t="str">
        <f>IFERROR(__xludf.DUMMYFUNCTION("GOOGLETRANSLATE(A14, ""en"", ""hi"")"),"मेहरबान सुगंधित कालीजीरा चावल")</f>
        <v>मेहरबान सुगंधित कालीजीरा चावल</v>
      </c>
      <c r="D14" s="2" t="s">
        <v>28</v>
      </c>
      <c r="E14" s="2" t="s">
        <v>9</v>
      </c>
      <c r="F14" s="1">
        <v>1.0</v>
      </c>
      <c r="G14" s="3" t="s">
        <v>29</v>
      </c>
    </row>
    <row r="15">
      <c r="A15" s="3" t="s">
        <v>30</v>
      </c>
      <c r="B15" s="4" t="str">
        <f>IFERROR(__xludf.DUMMYFUNCTION("GOOGLETRANSLATE(A15, ""en"", ""te"")"),"లాల్ ఖిల్లా సాంప్రదాయ బాస్మతి రైస్")</f>
        <v>లాల్ ఖిల్లా సాంప్రదాయ బాస్మతి రైస్</v>
      </c>
      <c r="C15" s="4" t="str">
        <f>IFERROR(__xludf.DUMMYFUNCTION("GOOGLETRANSLATE(A15, ""en"", ""hi"")"),"लाल किला पारंपरिक बासमती चावल")</f>
        <v>लाल किला पारंपरिक बासमती चावल</v>
      </c>
      <c r="D15" s="2" t="s">
        <v>14</v>
      </c>
      <c r="E15" s="2" t="s">
        <v>9</v>
      </c>
      <c r="F15" s="1">
        <v>1.0</v>
      </c>
      <c r="G15" s="3" t="s">
        <v>29</v>
      </c>
    </row>
    <row r="16">
      <c r="A16" s="3" t="s">
        <v>31</v>
      </c>
      <c r="B16" s="4" t="str">
        <f>IFERROR(__xludf.DUMMYFUNCTION("GOOGLETRANSLATE(A16, ""en"", ""te"")"),"అమర్ సింగ్ చావల్ వాలా లాల్ ఖిల్లా బ్రాండ్ బాస్మతి రైస్")</f>
        <v>అమర్ సింగ్ చావల్ వాలా లాల్ ఖిల్లా బ్రాండ్ బాస్మతి రైస్</v>
      </c>
      <c r="C16" s="4" t="str">
        <f>IFERROR(__xludf.DUMMYFUNCTION("GOOGLETRANSLATE(A16, ""en"", ""hi"")"),"अमर सिंह चावल वाला लाल किला ब्रांड बासमती चावल")</f>
        <v>अमर सिंह चावल वाला लाल किला ब्रांड बासमती चावल</v>
      </c>
      <c r="D16" s="2" t="s">
        <v>32</v>
      </c>
      <c r="E16" s="2" t="s">
        <v>9</v>
      </c>
      <c r="F16" s="1">
        <v>1.0</v>
      </c>
      <c r="G16" s="3" t="s">
        <v>29</v>
      </c>
    </row>
    <row r="17">
      <c r="A17" s="3" t="s">
        <v>33</v>
      </c>
      <c r="B17" s="4" t="str">
        <f>IFERROR(__xludf.DUMMYFUNCTION("GOOGLETRANSLATE(A17, ""en"", ""te"")"),"లక్ష్మి పొన్ని రా రైస్")</f>
        <v>లక్ష్మి పొన్ని రా రైస్</v>
      </c>
      <c r="C17" s="4" t="str">
        <f>IFERROR(__xludf.DUMMYFUNCTION("GOOGLETRANSLATE(A17, ""en"", ""hi"")"),"लक्ष्मी पोन्नी कच्चा चावल")</f>
        <v>लक्ष्मी पोन्नी कच्चा चावल</v>
      </c>
      <c r="D17" s="2" t="s">
        <v>34</v>
      </c>
      <c r="E17" s="2" t="s">
        <v>9</v>
      </c>
      <c r="F17" s="1">
        <v>1.0</v>
      </c>
      <c r="G17" s="3" t="s">
        <v>29</v>
      </c>
    </row>
    <row r="18">
      <c r="A18" s="3" t="s">
        <v>35</v>
      </c>
      <c r="B18" s="4" t="str">
        <f>IFERROR(__xludf.DUMMYFUNCTION("GOOGLETRANSLATE(A18, ""en"", ""te"")"),"లక్ష్మి పొన్ని ఉడికించిన అన్నం")</f>
        <v>లక్ష్మి పొన్ని ఉడికించిన అన్నం</v>
      </c>
      <c r="C18" s="4" t="str">
        <f>IFERROR(__xludf.DUMMYFUNCTION("GOOGLETRANSLATE(A18, ""en"", ""hi"")"),"लक्ष्मी पोन्नी उबले हुए चावल")</f>
        <v>लक्ष्मी पोन्नी उबले हुए चावल</v>
      </c>
      <c r="D18" s="2" t="s">
        <v>36</v>
      </c>
      <c r="E18" s="2" t="s">
        <v>9</v>
      </c>
      <c r="F18" s="1">
        <v>1.0</v>
      </c>
      <c r="G18" s="3" t="s">
        <v>29</v>
      </c>
    </row>
    <row r="19">
      <c r="A19" s="3" t="s">
        <v>17</v>
      </c>
      <c r="B19" s="4" t="str">
        <f>IFERROR(__xludf.DUMMYFUNCTION("GOOGLETRANSLATE(A19, ""en"", ""te"")"),"లక్ష్మి ఇడ్లీ రైస్")</f>
        <v>లక్ష్మి ఇడ్లీ రైస్</v>
      </c>
      <c r="C19" s="4" t="str">
        <f>IFERROR(__xludf.DUMMYFUNCTION("GOOGLETRANSLATE(A19, ""en"", ""hi"")"),"लक्ष्मी इडली चावल")</f>
        <v>लक्ष्मी इडली चावल</v>
      </c>
      <c r="D19" s="2" t="s">
        <v>18</v>
      </c>
      <c r="E19" s="2" t="s">
        <v>9</v>
      </c>
      <c r="F19" s="1">
        <v>1.0</v>
      </c>
      <c r="G19" s="3" t="s">
        <v>29</v>
      </c>
    </row>
    <row r="20">
      <c r="A20" s="3" t="s">
        <v>37</v>
      </c>
      <c r="B20" s="4" t="str">
        <f>IFERROR(__xludf.DUMMYFUNCTION("GOOGLETRANSLATE(A20, ""en"", ""te"")"),"లక్ష్మి బ్రౌన్ సోనా మసూరి రైస్")</f>
        <v>లక్ష్మి బ్రౌన్ సోనా మసూరి రైస్</v>
      </c>
      <c r="C20" s="4" t="str">
        <f>IFERROR(__xludf.DUMMYFUNCTION("GOOGLETRANSLATE(A20, ""en"", ""hi"")"),"लक्ष्मी ब्राउन सोना मसूरी चावल")</f>
        <v>लक्ष्मी ब्राउन सोना मसूरी चावल</v>
      </c>
      <c r="D20" s="2" t="s">
        <v>38</v>
      </c>
      <c r="E20" s="2" t="s">
        <v>9</v>
      </c>
      <c r="F20" s="1">
        <v>1.0</v>
      </c>
      <c r="G20" s="3" t="s">
        <v>29</v>
      </c>
    </row>
    <row r="21">
      <c r="A21" s="3" t="s">
        <v>15</v>
      </c>
      <c r="B21" s="4" t="str">
        <f>IFERROR(__xludf.DUMMYFUNCTION("GOOGLETRANSLATE(A21, ""en"", ""te"")"),"లక్ష్మి సోనా మసూరి రైస్")</f>
        <v>లక్ష్మి సోనా మసూరి రైస్</v>
      </c>
      <c r="C21" s="4" t="str">
        <f>IFERROR(__xludf.DUMMYFUNCTION("GOOGLETRANSLATE(A21, ""en"", ""hi"")"),"लक्ष्मी सोना मसूरी चावल")</f>
        <v>लक्ष्मी सोना मसूरी चावल</v>
      </c>
      <c r="D21" s="2" t="s">
        <v>16</v>
      </c>
      <c r="E21" s="2" t="s">
        <v>9</v>
      </c>
      <c r="F21" s="1">
        <v>1.0</v>
      </c>
      <c r="G21" s="3" t="s">
        <v>29</v>
      </c>
    </row>
    <row r="22">
      <c r="A22" s="3" t="s">
        <v>15</v>
      </c>
      <c r="B22" s="4" t="str">
        <f>IFERROR(__xludf.DUMMYFUNCTION("GOOGLETRANSLATE(A22, ""en"", ""te"")"),"లక్ష్మి సోనా మసూరి రైస్")</f>
        <v>లక్ష్మి సోనా మసూరి రైస్</v>
      </c>
      <c r="C22" s="4" t="str">
        <f>IFERROR(__xludf.DUMMYFUNCTION("GOOGLETRANSLATE(A22, ""en"", ""hi"")"),"लक्ष्मी सोना मसूरी चावल")</f>
        <v>लक्ष्मी सोना मसूरी चावल</v>
      </c>
      <c r="D22" s="2" t="s">
        <v>16</v>
      </c>
      <c r="E22" s="2" t="s">
        <v>9</v>
      </c>
      <c r="F22" s="1">
        <v>1.0</v>
      </c>
      <c r="G22" s="3" t="s">
        <v>39</v>
      </c>
    </row>
    <row r="23">
      <c r="A23" s="3" t="s">
        <v>40</v>
      </c>
      <c r="B23" s="4" t="str">
        <f>IFERROR(__xludf.DUMMYFUNCTION("GOOGLETRANSLATE(A23, ""en"", ""te"")"),"లక్ష్మీ కేరళ కుఠారి మట్టా రైస్")</f>
        <v>లక్ష్మీ కేరళ కుఠారి మట్టా రైస్</v>
      </c>
      <c r="C23" s="4" t="str">
        <f>IFERROR(__xludf.DUMMYFUNCTION("GOOGLETRANSLATE(A23, ""en"", ""hi"")"),"लक्ष्मी केरल कुठारी मट्टा चावल")</f>
        <v>लक्ष्मी केरल कुठारी मट्टा चावल</v>
      </c>
      <c r="D23" s="2" t="s">
        <v>36</v>
      </c>
      <c r="E23" s="2" t="s">
        <v>9</v>
      </c>
      <c r="F23" s="1">
        <v>1.0</v>
      </c>
      <c r="G23" s="3" t="s">
        <v>39</v>
      </c>
    </row>
    <row r="24">
      <c r="A24" s="3" t="s">
        <v>35</v>
      </c>
      <c r="B24" s="4" t="str">
        <f>IFERROR(__xludf.DUMMYFUNCTION("GOOGLETRANSLATE(A24, ""en"", ""te"")"),"లక్ష్మి పొన్ని ఉడికించిన అన్నం")</f>
        <v>లక్ష్మి పొన్ని ఉడికించిన అన్నం</v>
      </c>
      <c r="C24" s="4" t="str">
        <f>IFERROR(__xludf.DUMMYFUNCTION("GOOGLETRANSLATE(A24, ""en"", ""hi"")"),"लक्ष्मी पोन्नी उबले हुए चावल")</f>
        <v>लक्ष्मी पोन्नी उबले हुए चावल</v>
      </c>
      <c r="D24" s="2" t="s">
        <v>36</v>
      </c>
      <c r="E24" s="2" t="s">
        <v>9</v>
      </c>
      <c r="F24" s="1">
        <v>1.0</v>
      </c>
      <c r="G24" s="3" t="s">
        <v>39</v>
      </c>
    </row>
    <row r="25">
      <c r="A25" s="3" t="s">
        <v>33</v>
      </c>
      <c r="B25" s="4" t="str">
        <f>IFERROR(__xludf.DUMMYFUNCTION("GOOGLETRANSLATE(A25, ""en"", ""te"")"),"లక్ష్మి పొన్ని రా రైస్")</f>
        <v>లక్ష్మి పొన్ని రా రైస్</v>
      </c>
      <c r="C25" s="4" t="str">
        <f>IFERROR(__xludf.DUMMYFUNCTION("GOOGLETRANSLATE(A25, ""en"", ""hi"")"),"लक्ष्मी पोन्नी कच्चा चावल")</f>
        <v>लक्ष्मी पोन्नी कच्चा चावल</v>
      </c>
      <c r="D25" s="2" t="s">
        <v>34</v>
      </c>
      <c r="E25" s="2" t="s">
        <v>9</v>
      </c>
      <c r="F25" s="1">
        <v>1.0</v>
      </c>
      <c r="G25" s="3" t="s">
        <v>39</v>
      </c>
    </row>
    <row r="26">
      <c r="A26" s="3" t="s">
        <v>41</v>
      </c>
      <c r="B26" s="4" t="str">
        <f>IFERROR(__xludf.DUMMYFUNCTION("GOOGLETRANSLATE(A26, ""en"", ""te"")"),"కర్నూల్ సోనా మసూరి రైస్")</f>
        <v>కర్నూల్ సోనా మసూరి రైస్</v>
      </c>
      <c r="C26" s="4" t="str">
        <f>IFERROR(__xludf.DUMMYFUNCTION("GOOGLETRANSLATE(A26, ""en"", ""hi"")"),"कुरनूल सोना मसूरी चावल")</f>
        <v>कुरनूल सोना मसूरी चावल</v>
      </c>
      <c r="D26" s="2" t="s">
        <v>38</v>
      </c>
      <c r="E26" s="2" t="s">
        <v>9</v>
      </c>
      <c r="F26" s="1">
        <v>1.0</v>
      </c>
      <c r="G26" s="3" t="s">
        <v>39</v>
      </c>
    </row>
    <row r="27">
      <c r="A27" s="3" t="s">
        <v>42</v>
      </c>
      <c r="B27" s="4" t="str">
        <f>IFERROR(__xludf.DUMMYFUNCTION("GOOGLETRANSLATE(A27, ""en"", ""te"")"),"హిమ్సన్ బ్లూ నైట్రైల్ గ్లోవ్స్")</f>
        <v>హిమ్సన్ బ్లూ నైట్రైల్ గ్లోవ్స్</v>
      </c>
      <c r="C27" s="4" t="str">
        <f>IFERROR(__xludf.DUMMYFUNCTION("GOOGLETRANSLATE(A27, ""en"", ""hi"")"),"हिमसन ब्लू नाइट्राइल ग्लव्स")</f>
        <v>हिमसन ब्लू नाइट्राइल ग्लव्स</v>
      </c>
      <c r="D27" s="5"/>
      <c r="E27" s="2" t="s">
        <v>43</v>
      </c>
      <c r="F27" s="1">
        <v>1.0</v>
      </c>
      <c r="G27" s="3" t="s">
        <v>44</v>
      </c>
    </row>
    <row r="28">
      <c r="A28" s="3" t="s">
        <v>45</v>
      </c>
      <c r="B28" s="4" t="str">
        <f>IFERROR(__xludf.DUMMYFUNCTION("GOOGLETRANSLATE(A28, ""en"", ""te"")"),"డెట్టాల్ లిక్విడ్ యాంటీసెప్టిక్")</f>
        <v>డెట్టాల్ లిక్విడ్ యాంటీసెప్టిక్</v>
      </c>
      <c r="C28" s="4" t="str">
        <f>IFERROR(__xludf.DUMMYFUNCTION("GOOGLETRANSLATE(A28, ""en"", ""hi"")"),"डेटॉल लिक्विड एंटीसेप्टिक")</f>
        <v>डेटॉल लिक्विड एंटीसेप्टिक</v>
      </c>
      <c r="D28" s="5"/>
      <c r="E28" s="2" t="s">
        <v>43</v>
      </c>
      <c r="F28" s="1">
        <v>1.0</v>
      </c>
      <c r="G28" s="3" t="s">
        <v>44</v>
      </c>
    </row>
    <row r="29">
      <c r="A29" s="3" t="s">
        <v>46</v>
      </c>
      <c r="B29" s="4" t="str">
        <f>IFERROR(__xludf.DUMMYFUNCTION("GOOGLETRANSLATE(A29, ""en"", ""te"")"),"బజాజ్ ఆల్మండ్ డ్రాప్స్ హెయిర్ ఆయిల్")</f>
        <v>బజాజ్ ఆల్మండ్ డ్రాప్స్ హెయిర్ ఆయిల్</v>
      </c>
      <c r="C29" s="4" t="str">
        <f>IFERROR(__xludf.DUMMYFUNCTION("GOOGLETRANSLATE(A29, ""en"", ""hi"")"),"बजाज आलमंड ड्रॉप्स हेयर ऑयल")</f>
        <v>बजाज आलमंड ड्रॉप्स हेयर ऑयल</v>
      </c>
      <c r="D29" s="2" t="s">
        <v>47</v>
      </c>
      <c r="E29" s="2" t="s">
        <v>48</v>
      </c>
      <c r="F29" s="1">
        <v>1.0</v>
      </c>
      <c r="G29" s="3" t="s">
        <v>49</v>
      </c>
    </row>
    <row r="30">
      <c r="A30" s="3" t="s">
        <v>50</v>
      </c>
      <c r="B30" s="4" t="str">
        <f>IFERROR(__xludf.DUMMYFUNCTION("GOOGLETRANSLATE(A30, ""en"", ""te"")"),"ఆర్గాన్ హెయిర్ ఆయిల్")</f>
        <v>ఆర్గాన్ హెయిర్ ఆయిల్</v>
      </c>
      <c r="C30" s="4" t="str">
        <f>IFERROR(__xludf.DUMMYFUNCTION("GOOGLETRANSLATE(A30, ""en"", ""hi"")"),"आर्गन हेयर ऑयल")</f>
        <v>आर्गन हेयर ऑयल</v>
      </c>
      <c r="D30" s="5"/>
      <c r="E30" s="2" t="s">
        <v>48</v>
      </c>
      <c r="F30" s="1">
        <v>1.0</v>
      </c>
      <c r="G30" s="3" t="s">
        <v>49</v>
      </c>
    </row>
    <row r="31">
      <c r="A31" s="3" t="s">
        <v>51</v>
      </c>
      <c r="B31" s="4" t="str">
        <f>IFERROR(__xludf.DUMMYFUNCTION("GOOGLETRANSLATE(A31, ""en"", ""te"")"),"పారాచూట్ బ్లాక్ సీడ్ హెయిర్ ఆయిల్")</f>
        <v>పారాచూట్ బ్లాక్ సీడ్ హెయిర్ ఆయిల్</v>
      </c>
      <c r="C31" s="4" t="str">
        <f>IFERROR(__xludf.DUMMYFUNCTION("GOOGLETRANSLATE(A31, ""en"", ""hi"")"),"पैराशूट ब्लैक सीड हेयर ऑयल")</f>
        <v>पैराशूट ब्लैक सीड हेयर ऑयल</v>
      </c>
      <c r="D31" s="5"/>
      <c r="E31" s="2" t="s">
        <v>48</v>
      </c>
      <c r="F31" s="1">
        <v>1.0</v>
      </c>
      <c r="G31" s="3" t="s">
        <v>49</v>
      </c>
    </row>
    <row r="32">
      <c r="A32" s="3" t="s">
        <v>52</v>
      </c>
      <c r="B32" s="4" t="str">
        <f>IFERROR(__xludf.DUMMYFUNCTION("GOOGLETRANSLATE(A32, ""en"", ""te"")"),"పారాచూట్ కొబ్బరి నూనె")</f>
        <v>పారాచూట్ కొబ్బరి నూనె</v>
      </c>
      <c r="C32" s="4" t="str">
        <f>IFERROR(__xludf.DUMMYFUNCTION("GOOGLETRANSLATE(A32, ""en"", ""hi"")"),"पैराशूट नारियल तेल")</f>
        <v>पैराशूट नारियल तेल</v>
      </c>
      <c r="D32" s="2" t="s">
        <v>53</v>
      </c>
      <c r="E32" s="2" t="s">
        <v>54</v>
      </c>
      <c r="F32" s="1">
        <v>1.0</v>
      </c>
      <c r="G32" s="3" t="s">
        <v>55</v>
      </c>
    </row>
    <row r="33">
      <c r="A33" s="3" t="s">
        <v>56</v>
      </c>
      <c r="B33" s="4" t="str">
        <f>IFERROR(__xludf.DUMMYFUNCTION("GOOGLETRANSLATE(A33, ""en"", ""te"")"),"నవరత్న ఆయుర్వేదిక్ ఆయిల్")</f>
        <v>నవరత్న ఆయుర్వేదిక్ ఆయిల్</v>
      </c>
      <c r="C33" s="4" t="str">
        <f>IFERROR(__xludf.DUMMYFUNCTION("GOOGLETRANSLATE(A33, ""en"", ""hi"")"),"नवरत्न आयुर्वेदिक तेल")</f>
        <v>नवरत्न आयुर्वेदिक तेल</v>
      </c>
      <c r="D33" s="5"/>
      <c r="E33" s="2" t="s">
        <v>54</v>
      </c>
      <c r="F33" s="1">
        <v>1.0</v>
      </c>
      <c r="G33" s="3" t="s">
        <v>57</v>
      </c>
    </row>
    <row r="34">
      <c r="A34" s="3" t="s">
        <v>58</v>
      </c>
      <c r="B34" s="4" t="str">
        <f>IFERROR(__xludf.DUMMYFUNCTION("GOOGLETRANSLATE(A34, ""en"", ""te"")"),"పారాచూట్ హాట్ ఆయిల్")</f>
        <v>పారాచూట్ హాట్ ఆయిల్</v>
      </c>
      <c r="C34" s="4" t="str">
        <f>IFERROR(__xludf.DUMMYFUNCTION("GOOGLETRANSLATE(A34, ""en"", ""hi"")"),"पैराशूट गर्म तेल")</f>
        <v>पैराशूट गर्म तेल</v>
      </c>
      <c r="D34" s="2" t="s">
        <v>59</v>
      </c>
      <c r="E34" s="2" t="s">
        <v>54</v>
      </c>
      <c r="F34" s="1">
        <v>1.0</v>
      </c>
      <c r="G34" s="3" t="s">
        <v>57</v>
      </c>
    </row>
    <row r="35">
      <c r="A35" s="3" t="s">
        <v>60</v>
      </c>
      <c r="B35" s="4" t="str">
        <f>IFERROR(__xludf.DUMMYFUNCTION("GOOGLETRANSLATE(A35, ""en"", ""te"")"),"పతంజలి కేశ్ కాంతి హెయిర్ ఆయిల్")</f>
        <v>పతంజలి కేశ్ కాంతి హెయిర్ ఆయిల్</v>
      </c>
      <c r="C35" s="4" t="str">
        <f>IFERROR(__xludf.DUMMYFUNCTION("GOOGLETRANSLATE(A35, ""en"", ""hi"")"),"पतंजलि केश कांति हेयर ऑयल")</f>
        <v>पतंजलि केश कांति हेयर ऑयल</v>
      </c>
      <c r="D35" s="5"/>
      <c r="E35" s="2" t="s">
        <v>48</v>
      </c>
      <c r="F35" s="1">
        <v>1.0</v>
      </c>
      <c r="G35" s="3" t="s">
        <v>57</v>
      </c>
    </row>
    <row r="36">
      <c r="A36" s="3" t="s">
        <v>61</v>
      </c>
      <c r="B36" s="4" t="str">
        <f>IFERROR(__xludf.DUMMYFUNCTION("GOOGLETRANSLATE(A36, ""en"", ""te"")"),"డాబర్ ఆమ్లా హెయిర్ ఆయిల్")</f>
        <v>డాబర్ ఆమ్లా హెయిర్ ఆయిల్</v>
      </c>
      <c r="C36" s="4" t="str">
        <f>IFERROR(__xludf.DUMMYFUNCTION("GOOGLETRANSLATE(A36, ""en"", ""hi"")"),"डाबर आंवला हेयर ऑयल")</f>
        <v>डाबर आंवला हेयर ऑयल</v>
      </c>
      <c r="D36" s="2" t="s">
        <v>62</v>
      </c>
      <c r="E36" s="2" t="s">
        <v>48</v>
      </c>
      <c r="F36" s="1">
        <v>1.0</v>
      </c>
      <c r="G36" s="3" t="s">
        <v>63</v>
      </c>
    </row>
    <row r="37">
      <c r="A37" s="3" t="s">
        <v>64</v>
      </c>
      <c r="B37" s="4" t="str">
        <f>IFERROR(__xludf.DUMMYFUNCTION("GOOGLETRANSLATE(A37, ""en"", ""te"")"),"కియో కార్పిన్ లైట్ హెయిర్ ఆయిల్")</f>
        <v>కియో కార్పిన్ లైట్ హెయిర్ ఆయిల్</v>
      </c>
      <c r="C37" s="4" t="str">
        <f>IFERROR(__xludf.DUMMYFUNCTION("GOOGLETRANSLATE(A37, ""en"", ""hi"")"),"केओ कार्पिन लाइट हेयर ऑयल")</f>
        <v>केओ कार्पिन लाइट हेयर ऑयल</v>
      </c>
      <c r="D37" s="5"/>
      <c r="E37" s="2" t="s">
        <v>48</v>
      </c>
      <c r="F37" s="1">
        <v>1.0</v>
      </c>
      <c r="G37" s="3" t="s">
        <v>63</v>
      </c>
    </row>
    <row r="38">
      <c r="A38" s="3" t="s">
        <v>65</v>
      </c>
      <c r="B38" s="4" t="str">
        <f>IFERROR(__xludf.DUMMYFUNCTION("GOOGLETRANSLATE(A38, ""en"", ""te"")"),"పారాచూట్ అడ్వాన్స్‌డ్ హెయిర్ ఆయిల్")</f>
        <v>పారాచూట్ అడ్వాన్స్‌డ్ హెయిర్ ఆయిల్</v>
      </c>
      <c r="C38" s="4" t="str">
        <f>IFERROR(__xludf.DUMMYFUNCTION("GOOGLETRANSLATE(A38, ""en"", ""hi"")"),"पैराशूट एडवांस्ड हेयर ऑयल")</f>
        <v>पैराशूट एडवांस्ड हेयर ऑयल</v>
      </c>
      <c r="D38" s="5"/>
      <c r="E38" s="2" t="s">
        <v>48</v>
      </c>
      <c r="F38" s="1">
        <v>1.0</v>
      </c>
      <c r="G38" s="3" t="s">
        <v>63</v>
      </c>
    </row>
    <row r="39">
      <c r="A39" s="3" t="s">
        <v>66</v>
      </c>
      <c r="B39" s="4" t="str">
        <f>IFERROR(__xludf.DUMMYFUNCTION("GOOGLETRANSLATE(A39, ""en"", ""te"")"),"సుజాత గోల్డ్ అట్టా")</f>
        <v>సుజాత గోల్డ్ అట్టా</v>
      </c>
      <c r="C39" s="4" t="str">
        <f>IFERROR(__xludf.DUMMYFUNCTION("GOOGLETRANSLATE(A39, ""en"", ""hi"")"),"सुजाता गोल्ड आटा")</f>
        <v>सुजाता गोल्ड आटा</v>
      </c>
      <c r="D39" s="5"/>
      <c r="E39" s="2" t="s">
        <v>67</v>
      </c>
      <c r="F39" s="1">
        <v>1.0</v>
      </c>
      <c r="G39" s="3" t="s">
        <v>68</v>
      </c>
    </row>
    <row r="40">
      <c r="A40" s="3" t="s">
        <v>69</v>
      </c>
      <c r="B40" s="4" t="str">
        <f>IFERROR(__xludf.DUMMYFUNCTION("GOOGLETRANSLATE(A40, ""en"", ""te"")"),"రాయల్ చెఫ్ యొక్క రహస్య బాస్మతి బియ్యం")</f>
        <v>రాయల్ చెఫ్ యొక్క రహస్య బాస్మతి బియ్యం</v>
      </c>
      <c r="C40" s="4" t="str">
        <f>IFERROR(__xludf.DUMMYFUNCTION("GOOGLETRANSLATE(A40, ""en"", ""hi"")"),"रॉयल शेफ का सीक्रेट बासमती चावल")</f>
        <v>रॉयल शेफ का सीक्रेट बासमती चावल</v>
      </c>
      <c r="D40" s="2" t="s">
        <v>70</v>
      </c>
      <c r="E40" s="2" t="s">
        <v>9</v>
      </c>
      <c r="F40" s="1">
        <v>1.0</v>
      </c>
      <c r="G40" s="3" t="s">
        <v>71</v>
      </c>
    </row>
    <row r="41">
      <c r="A41" s="3" t="s">
        <v>72</v>
      </c>
      <c r="B41" s="4" t="str">
        <f>IFERROR(__xludf.DUMMYFUNCTION("GOOGLETRANSLATE(A41, ""en"", ""te"")"),"ఇండియా గేట్ క్లాసిక్ బాస్మతి రైస్")</f>
        <v>ఇండియా గేట్ క్లాసిక్ బాస్మతి రైస్</v>
      </c>
      <c r="C41" s="4" t="str">
        <f>IFERROR(__xludf.DUMMYFUNCTION("GOOGLETRANSLATE(A41, ""en"", ""hi"")"),"इंडिया गेट क्लासिक बासमती चावल")</f>
        <v>इंडिया गेट क्लासिक बासमती चावल</v>
      </c>
      <c r="D41" s="2" t="s">
        <v>70</v>
      </c>
      <c r="E41" s="2" t="s">
        <v>9</v>
      </c>
      <c r="F41" s="1">
        <v>1.0</v>
      </c>
      <c r="G41" s="3" t="s">
        <v>71</v>
      </c>
    </row>
    <row r="42">
      <c r="A42" s="3" t="s">
        <v>73</v>
      </c>
      <c r="B42" s="4" t="str">
        <f>IFERROR(__xludf.DUMMYFUNCTION("GOOGLETRANSLATE(A42, ""en"", ""te"")"),"ఇండియా గేట్ విందు రోజానా బాస్మతి రైస్")</f>
        <v>ఇండియా గేట్ విందు రోజానా బాస్మతి రైస్</v>
      </c>
      <c r="C42" s="4" t="str">
        <f>IFERROR(__xludf.DUMMYFUNCTION("GOOGLETRANSLATE(A42, ""en"", ""hi"")"),"इंडिया गेट पर्व रोज़ाना बासमती चावल")</f>
        <v>इंडिया गेट पर्व रोज़ाना बासमती चावल</v>
      </c>
      <c r="D42" s="2" t="s">
        <v>74</v>
      </c>
      <c r="E42" s="2" t="s">
        <v>9</v>
      </c>
      <c r="F42" s="1">
        <v>1.0</v>
      </c>
      <c r="G42" s="3" t="s">
        <v>71</v>
      </c>
    </row>
    <row r="43">
      <c r="A43" s="3" t="s">
        <v>75</v>
      </c>
      <c r="B43" s="4" t="str">
        <f>IFERROR(__xludf.DUMMYFUNCTION("GOOGLETRANSLATE(A43, ""en"", ""te"")"),"కోహినూర్ అథెంటిక్ బాస్మతి రైస్")</f>
        <v>కోహినూర్ అథెంటిక్ బాస్మతి రైస్</v>
      </c>
      <c r="C43" s="4" t="str">
        <f>IFERROR(__xludf.DUMMYFUNCTION("GOOGLETRANSLATE(A43, ""en"", ""hi"")"),"कोहिनूर प्रामाणिक बासमती चावल")</f>
        <v>कोहिनूर प्रामाणिक बासमती चावल</v>
      </c>
      <c r="D43" s="2" t="s">
        <v>14</v>
      </c>
      <c r="E43" s="2" t="s">
        <v>9</v>
      </c>
      <c r="F43" s="1">
        <v>1.0</v>
      </c>
      <c r="G43" s="3" t="s">
        <v>76</v>
      </c>
    </row>
    <row r="44">
      <c r="A44" s="3" t="s">
        <v>77</v>
      </c>
      <c r="B44" s="4" t="str">
        <f>IFERROR(__xludf.DUMMYFUNCTION("GOOGLETRANSLATE(A44, ""en"", ""te"")"),"కోహినూర్ గోల్డ్ బాస్మతి రైస్")</f>
        <v>కోహినూర్ గోల్డ్ బాస్మతి రైస్</v>
      </c>
      <c r="C44" s="4" t="str">
        <f>IFERROR(__xludf.DUMMYFUNCTION("GOOGLETRANSLATE(A44, ""en"", ""hi"")"),"कोहिनूर गोल्ड बासमती चावल")</f>
        <v>कोहिनूर गोल्ड बासमती चावल</v>
      </c>
      <c r="D44" s="2" t="s">
        <v>14</v>
      </c>
      <c r="E44" s="2" t="s">
        <v>9</v>
      </c>
      <c r="F44" s="1">
        <v>1.0</v>
      </c>
      <c r="G44" s="3" t="s">
        <v>76</v>
      </c>
    </row>
    <row r="45">
      <c r="A45" s="3" t="s">
        <v>78</v>
      </c>
      <c r="B45" s="4" t="str">
        <f>IFERROR(__xludf.DUMMYFUNCTION("GOOGLETRANSLATE(A45, ""en"", ""te"")"),"కోహినూర్ సిల్వర్ బాస్మతి రైస్")</f>
        <v>కోహినూర్ సిల్వర్ బాస్మతి రైస్</v>
      </c>
      <c r="C45" s="4" t="str">
        <f>IFERROR(__xludf.DUMMYFUNCTION("GOOGLETRANSLATE(A45, ""en"", ""hi"")"),"कोहिनूर सिल्वर बासमती चावल")</f>
        <v>कोहिनूर सिल्वर बासमती चावल</v>
      </c>
      <c r="D45" s="2" t="s">
        <v>14</v>
      </c>
      <c r="E45" s="2" t="s">
        <v>9</v>
      </c>
      <c r="F45" s="1">
        <v>1.0</v>
      </c>
      <c r="G45" s="3" t="s">
        <v>76</v>
      </c>
    </row>
    <row r="46">
      <c r="A46" s="3" t="s">
        <v>79</v>
      </c>
      <c r="B46" s="4" t="str">
        <f>IFERROR(__xludf.DUMMYFUNCTION("GOOGLETRANSLATE(A46, ""en"", ""te"")"),"కోహినూర్ ప్లాటినం బాస్మతి రైస్")</f>
        <v>కోహినూర్ ప్లాటినం బాస్మతి రైస్</v>
      </c>
      <c r="C46" s="4" t="str">
        <f>IFERROR(__xludf.DUMMYFUNCTION("GOOGLETRANSLATE(A46, ""en"", ""hi"")"),"कोहिनूर प्लैटिनम बासमती चावल")</f>
        <v>कोहिनूर प्लैटिनम बासमती चावल</v>
      </c>
      <c r="D46" s="2" t="s">
        <v>14</v>
      </c>
      <c r="E46" s="2" t="s">
        <v>9</v>
      </c>
      <c r="F46" s="1">
        <v>1.0</v>
      </c>
      <c r="G46" s="3" t="s">
        <v>76</v>
      </c>
    </row>
    <row r="47">
      <c r="A47" s="3" t="s">
        <v>80</v>
      </c>
      <c r="B47" s="4" t="str">
        <f>IFERROR(__xludf.DUMMYFUNCTION("GOOGLETRANSLATE(A47, ""en"", ""te"")"),"రాయల్ చెఫ్ యొక్క రహస్య అదనపు పొడవైన బాస్మతి బియ్యం")</f>
        <v>రాయల్ చెఫ్ యొక్క రహస్య అదనపు పొడవైన బాస్మతి బియ్యం</v>
      </c>
      <c r="C47" s="4" t="str">
        <f>IFERROR(__xludf.DUMMYFUNCTION("GOOGLETRANSLATE(A47, ""en"", ""hi"")"),"रॉयल शेफ का सीक्रेट एक्स्ट्रा लॉन्ग बासमती चावल")</f>
        <v>रॉयल शेफ का सीक्रेट एक्स्ट्रा लॉन्ग बासमती चावल</v>
      </c>
      <c r="D47" s="2" t="s">
        <v>14</v>
      </c>
      <c r="E47" s="2" t="s">
        <v>9</v>
      </c>
      <c r="F47" s="1">
        <v>1.0</v>
      </c>
      <c r="G47" s="3" t="s">
        <v>76</v>
      </c>
    </row>
    <row r="48">
      <c r="A48" s="3" t="s">
        <v>81</v>
      </c>
      <c r="B48" s="4" t="str">
        <f>IFERROR(__xludf.DUMMYFUNCTION("GOOGLETRANSLATE(A48, ""en"", ""te"")"),"దావత్ బాస్మతి రైస్")</f>
        <v>దావత్ బాస్మతి రైస్</v>
      </c>
      <c r="C48" s="4" t="str">
        <f>IFERROR(__xludf.DUMMYFUNCTION("GOOGLETRANSLATE(A48, ""en"", ""hi"")"),"दावत बासमती चावल")</f>
        <v>दावत बासमती चावल</v>
      </c>
      <c r="D48" s="2" t="s">
        <v>14</v>
      </c>
      <c r="E48" s="2" t="s">
        <v>9</v>
      </c>
      <c r="F48" s="1">
        <v>1.0</v>
      </c>
      <c r="G48" s="3" t="s">
        <v>76</v>
      </c>
    </row>
    <row r="49">
      <c r="A49" s="3" t="s">
        <v>82</v>
      </c>
      <c r="B49" s="4" t="str">
        <f>IFERROR(__xludf.DUMMYFUNCTION("GOOGLETRANSLATE(A49, ""en"", ""te"")"),"దావత్ సాంప్రదాయ బాస్మతి బియ్యం")</f>
        <v>దావత్ సాంప్రదాయ బాస్మతి బియ్యం</v>
      </c>
      <c r="C49" s="4" t="str">
        <f>IFERROR(__xludf.DUMMYFUNCTION("GOOGLETRANSLATE(A49, ""en"", ""hi"")"),"दावत पारंपरिक बासमती चावल")</f>
        <v>दावत पारंपरिक बासमती चावल</v>
      </c>
      <c r="D49" s="2" t="s">
        <v>14</v>
      </c>
      <c r="E49" s="2" t="s">
        <v>9</v>
      </c>
      <c r="F49" s="1">
        <v>1.0</v>
      </c>
      <c r="G49" s="3" t="s">
        <v>76</v>
      </c>
    </row>
    <row r="50">
      <c r="A50" s="3" t="s">
        <v>83</v>
      </c>
      <c r="B50" s="4" t="str">
        <f>IFERROR(__xludf.DUMMYFUNCTION("GOOGLETRANSLATE(A50, ""en"", ""te"")"),"24 మంత్రం ఆర్గానిక్ సోనామసూరి బ్రౌన్ రైస్")</f>
        <v>24 మంత్రం ఆర్గానిక్ సోనామసూరి బ్రౌన్ రైస్</v>
      </c>
      <c r="C50" s="4" t="str">
        <f>IFERROR(__xludf.DUMMYFUNCTION("GOOGLETRANSLATE(A50, ""en"", ""hi"")"),"24 मंत्रा ऑर्गेनिक सोनामासुरी ब्राउन राइस")</f>
        <v>24 मंत्रा ऑर्गेनिक सोनामासुरी ब्राउन राइस</v>
      </c>
      <c r="D50" s="2" t="s">
        <v>84</v>
      </c>
      <c r="E50" s="2" t="s">
        <v>9</v>
      </c>
      <c r="F50" s="1">
        <v>1.0</v>
      </c>
      <c r="G50" s="3" t="s">
        <v>85</v>
      </c>
    </row>
    <row r="51">
      <c r="A51" s="3" t="s">
        <v>86</v>
      </c>
      <c r="B51" s="4" t="str">
        <f>IFERROR(__xludf.DUMMYFUNCTION("GOOGLETRANSLATE(A51, ""en"", ""te"")"),"రాయల్ అథెంటిక్ బాస్మతి రైస్")</f>
        <v>రాయల్ అథెంటిక్ బాస్మతి రైస్</v>
      </c>
      <c r="C51" s="4" t="str">
        <f>IFERROR(__xludf.DUMMYFUNCTION("GOOGLETRANSLATE(A51, ""en"", ""hi"")"),"रॉयल ऑथेंटिक बासमती चावल")</f>
        <v>रॉयल ऑथेंटिक बासमती चावल</v>
      </c>
      <c r="D51" s="2" t="s">
        <v>14</v>
      </c>
      <c r="E51" s="2" t="s">
        <v>9</v>
      </c>
      <c r="F51" s="1">
        <v>1.0</v>
      </c>
      <c r="G51" s="3" t="s">
        <v>85</v>
      </c>
    </row>
    <row r="52">
      <c r="A52" s="3" t="s">
        <v>87</v>
      </c>
      <c r="B52" s="4" t="str">
        <f>IFERROR(__xludf.DUMMYFUNCTION("GOOGLETRANSLATE(A52, ""en"", ""te"")"),"రాయల్ అథెంటిక్ బ్రౌన్ బాస్మతి రైస్")</f>
        <v>రాయల్ అథెంటిక్ బ్రౌన్ బాస్మతి రైస్</v>
      </c>
      <c r="C52" s="4" t="str">
        <f>IFERROR(__xludf.DUMMYFUNCTION("GOOGLETRANSLATE(A52, ""en"", ""hi"")"),"रॉयल ऑथेंटिक ब्राउन बासमती चावल")</f>
        <v>रॉयल ऑथेंटिक ब्राउन बासमती चावल</v>
      </c>
      <c r="D52" s="2" t="s">
        <v>88</v>
      </c>
      <c r="E52" s="2" t="s">
        <v>9</v>
      </c>
      <c r="F52" s="1">
        <v>1.0</v>
      </c>
      <c r="G52" s="3" t="s">
        <v>85</v>
      </c>
    </row>
    <row r="53">
      <c r="A53" s="3" t="s">
        <v>89</v>
      </c>
      <c r="B53" s="4" t="str">
        <f>IFERROR(__xludf.DUMMYFUNCTION("GOOGLETRANSLATE(A53, ""en"", ""te"")"),"24 మంత్ర ఆర్గానిక్ ఇడ్లీ రైస్")</f>
        <v>24 మంత్ర ఆర్గానిక్ ఇడ్లీ రైస్</v>
      </c>
      <c r="C53" s="4" t="str">
        <f>IFERROR(__xludf.DUMMYFUNCTION("GOOGLETRANSLATE(A53, ""en"", ""hi"")"),"24 मंत्रा ऑर्गेनिक इडली राइस")</f>
        <v>24 मंत्रा ऑर्गेनिक इडली राइस</v>
      </c>
      <c r="D53" s="2" t="s">
        <v>90</v>
      </c>
      <c r="E53" s="2" t="s">
        <v>9</v>
      </c>
      <c r="F53" s="1">
        <v>1.0</v>
      </c>
      <c r="G53" s="3" t="s">
        <v>85</v>
      </c>
    </row>
    <row r="54">
      <c r="A54" s="3" t="s">
        <v>91</v>
      </c>
      <c r="B54" s="4" t="str">
        <f>IFERROR(__xludf.DUMMYFUNCTION("GOOGLETRANSLATE(A54, ""en"", ""te"")"),"24 మంత్ర ఆర్గానిక్ పొన్ని రైస్")</f>
        <v>24 మంత్ర ఆర్గానిక్ పొన్ని రైస్</v>
      </c>
      <c r="C54" s="4" t="str">
        <f>IFERROR(__xludf.DUMMYFUNCTION("GOOGLETRANSLATE(A54, ""en"", ""hi"")"),"24 मंत्रा ऑर्गेनिक पोन्नी चावल")</f>
        <v>24 मंत्रा ऑर्गेनिक पोन्नी चावल</v>
      </c>
      <c r="D54" s="2" t="s">
        <v>92</v>
      </c>
      <c r="E54" s="2" t="s">
        <v>9</v>
      </c>
      <c r="F54" s="1">
        <v>1.0</v>
      </c>
      <c r="G54" s="3" t="s">
        <v>85</v>
      </c>
    </row>
    <row r="55">
      <c r="A55" s="3" t="s">
        <v>93</v>
      </c>
      <c r="B55" s="4" t="str">
        <f>IFERROR(__xludf.DUMMYFUNCTION("GOOGLETRANSLATE(A55, ""en"", ""te"")"),"డునార్ ఎలాంగా బాస్మతి రైస్")</f>
        <v>డునార్ ఎలాంగా బాస్మతి రైస్</v>
      </c>
      <c r="C55" s="4" t="str">
        <f>IFERROR(__xludf.DUMMYFUNCTION("GOOGLETRANSLATE(A55, ""en"", ""hi"")"),"दुनार एलोन्गा बासमती चावल")</f>
        <v>दुनार एलोन्गा बासमती चावल</v>
      </c>
      <c r="D55" s="2" t="s">
        <v>14</v>
      </c>
      <c r="E55" s="2" t="s">
        <v>9</v>
      </c>
      <c r="F55" s="1">
        <v>1.0</v>
      </c>
      <c r="G55" s="3" t="s">
        <v>85</v>
      </c>
    </row>
    <row r="56">
      <c r="A56" s="3" t="s">
        <v>99</v>
      </c>
      <c r="B56" s="4" t="str">
        <f>IFERROR(__xludf.DUMMYFUNCTION("GOOGLETRANSLATE(A56, ""en"", ""te"")"),"స్వాద్ గుజరాత్ 17 ఖిచ్డీ రైస్")</f>
        <v>స్వాద్ గుజరాత్ 17 ఖిచ్డీ రైస్</v>
      </c>
      <c r="C56" s="4" t="str">
        <f>IFERROR(__xludf.DUMMYFUNCTION("GOOGLETRANSLATE(A56, ""en"", ""hi"")"),"स्वाद गुजरात 17 खिचड़ी चावल")</f>
        <v>स्वाद गुजरात 17 खिचड़ी चावल</v>
      </c>
      <c r="D56" s="2" t="s">
        <v>104</v>
      </c>
      <c r="E56" s="2" t="s">
        <v>9</v>
      </c>
      <c r="F56" s="1">
        <v>1.0</v>
      </c>
      <c r="G56" s="3" t="s">
        <v>85</v>
      </c>
    </row>
    <row r="57">
      <c r="A57" s="3" t="s">
        <v>108</v>
      </c>
      <c r="B57" s="4" t="str">
        <f>IFERROR(__xludf.DUMMYFUNCTION("GOOGLETRANSLATE(A57, ""en"", ""te"")"),"ఇండియా గేట్ సోనా మసూరి రైస్")</f>
        <v>ఇండియా గేట్ సోనా మసూరి రైస్</v>
      </c>
      <c r="C57" s="4" t="str">
        <f>IFERROR(__xludf.DUMMYFUNCTION("GOOGLETRANSLATE(A57, ""en"", ""hi"")"),"इंडिया गेट सोना मसूरी चावल")</f>
        <v>इंडिया गेट सोना मसूरी चावल</v>
      </c>
      <c r="D57" s="2" t="s">
        <v>104</v>
      </c>
      <c r="E57" s="2" t="s">
        <v>9</v>
      </c>
      <c r="F57" s="1">
        <v>1.0</v>
      </c>
      <c r="G57" s="3" t="s">
        <v>114</v>
      </c>
    </row>
    <row r="58">
      <c r="A58" s="3" t="s">
        <v>116</v>
      </c>
      <c r="B58" s="4" t="str">
        <f>IFERROR(__xludf.DUMMYFUNCTION("GOOGLETRANSLATE(A58, ""en"", ""te"")"),"శ్వేత తెలుగు సోనా మసోరి రైస్")</f>
        <v>శ్వేత తెలుగు సోనా మసోరి రైస్</v>
      </c>
      <c r="C58" s="4" t="str">
        <f>IFERROR(__xludf.DUMMYFUNCTION("GOOGLETRANSLATE(A58, ""en"", ""hi"")"),"स्वेता तेलुगु सोना मसोरी चावल")</f>
        <v>स्वेता तेलुगु सोना मसोरी चावल</v>
      </c>
      <c r="D58" s="2" t="s">
        <v>38</v>
      </c>
      <c r="E58" s="2" t="s">
        <v>9</v>
      </c>
      <c r="F58" s="1">
        <v>1.0</v>
      </c>
      <c r="G58" s="3" t="s">
        <v>114</v>
      </c>
    </row>
    <row r="59">
      <c r="A59" s="3" t="s">
        <v>124</v>
      </c>
      <c r="B59" s="4" t="str">
        <f>IFERROR(__xludf.DUMMYFUNCTION("GOOGLETRANSLATE(A59, ""en"", ""te"")"),"24 మంత్రం ఆర్గానిక్ సోనామసూరి రైస్")</f>
        <v>24 మంత్రం ఆర్గానిక్ సోనామసూరి రైస్</v>
      </c>
      <c r="C59" s="4" t="str">
        <f>IFERROR(__xludf.DUMMYFUNCTION("GOOGLETRANSLATE(A59, ""en"", ""hi"")"),"24 मंत्र ऑर्गेनिक सोनामासुरी चावल")</f>
        <v>24 मंत्र ऑर्गेनिक सोनामासुरी चावल</v>
      </c>
      <c r="D59" s="2" t="s">
        <v>38</v>
      </c>
      <c r="E59" s="2" t="s">
        <v>9</v>
      </c>
      <c r="F59" s="1">
        <v>1.0</v>
      </c>
      <c r="G59" s="3" t="s">
        <v>114</v>
      </c>
    </row>
    <row r="60">
      <c r="A60" s="3" t="s">
        <v>86</v>
      </c>
      <c r="B60" s="4" t="str">
        <f>IFERROR(__xludf.DUMMYFUNCTION("GOOGLETRANSLATE(A60, ""en"", ""te"")"),"రాయల్ అథెంటిక్ బాస్మతి రైస్")</f>
        <v>రాయల్ అథెంటిక్ బాస్మతి రైస్</v>
      </c>
      <c r="C60" s="4" t="str">
        <f>IFERROR(__xludf.DUMMYFUNCTION("GOOGLETRANSLATE(A60, ""en"", ""hi"")"),"रॉयल ऑथेंटिक बासमती चावल")</f>
        <v>रॉयल ऑथेंटिक बासमती चावल</v>
      </c>
      <c r="D60" s="2" t="s">
        <v>14</v>
      </c>
      <c r="E60" s="2" t="s">
        <v>9</v>
      </c>
      <c r="F60" s="1">
        <v>1.0</v>
      </c>
      <c r="G60" s="3" t="s">
        <v>114</v>
      </c>
    </row>
    <row r="61">
      <c r="A61" s="3" t="s">
        <v>69</v>
      </c>
      <c r="B61" s="4" t="str">
        <f>IFERROR(__xludf.DUMMYFUNCTION("GOOGLETRANSLATE(A61, ""en"", ""te"")"),"రాయల్ చెఫ్ యొక్క రహస్య బాస్మతి బియ్యం")</f>
        <v>రాయల్ చెఫ్ యొక్క రహస్య బాస్మతి బియ్యం</v>
      </c>
      <c r="C61" s="4" t="str">
        <f>IFERROR(__xludf.DUMMYFUNCTION("GOOGLETRANSLATE(A61, ""en"", ""hi"")"),"रॉयल शेफ का सीक्रेट बासमती चावल")</f>
        <v>रॉयल शेफ का सीक्रेट बासमती चावल</v>
      </c>
      <c r="D61" s="2" t="s">
        <v>70</v>
      </c>
      <c r="E61" s="2" t="s">
        <v>9</v>
      </c>
      <c r="F61" s="1">
        <v>1.0</v>
      </c>
      <c r="G61" s="3" t="s">
        <v>114</v>
      </c>
    </row>
    <row r="62">
      <c r="A62" s="3" t="s">
        <v>80</v>
      </c>
      <c r="B62" s="4" t="str">
        <f>IFERROR(__xludf.DUMMYFUNCTION("GOOGLETRANSLATE(A62, ""en"", ""te"")"),"రాయల్ చెఫ్ యొక్క రహస్య అదనపు పొడవైన బాస్మతి బియ్యం")</f>
        <v>రాయల్ చెఫ్ యొక్క రహస్య అదనపు పొడవైన బాస్మతి బియ్యం</v>
      </c>
      <c r="C62" s="4" t="str">
        <f>IFERROR(__xludf.DUMMYFUNCTION("GOOGLETRANSLATE(A62, ""en"", ""hi"")"),"रॉयल शेफ का सीक्रेट एक्स्ट्रा लॉन्ग बासमती चावल")</f>
        <v>रॉयल शेफ का सीक्रेट एक्स्ट्रा लॉन्ग बासमती चावल</v>
      </c>
      <c r="D62" s="2" t="s">
        <v>14</v>
      </c>
      <c r="E62" s="2" t="s">
        <v>9</v>
      </c>
      <c r="F62" s="1">
        <v>1.0</v>
      </c>
      <c r="G62" s="3" t="s">
        <v>71</v>
      </c>
    </row>
    <row r="63">
      <c r="A63" s="3" t="s">
        <v>81</v>
      </c>
      <c r="B63" s="4" t="str">
        <f>IFERROR(__xludf.DUMMYFUNCTION("GOOGLETRANSLATE(A63, ""en"", ""te"")"),"దావత్ బాస్మతి రైస్")</f>
        <v>దావత్ బాస్మతి రైస్</v>
      </c>
      <c r="C63" s="4" t="str">
        <f>IFERROR(__xludf.DUMMYFUNCTION("GOOGLETRANSLATE(A63, ""en"", ""hi"")"),"दावत बासमती चावल")</f>
        <v>दावत बासमती चावल</v>
      </c>
      <c r="D63" s="2" t="s">
        <v>14</v>
      </c>
      <c r="E63" s="2" t="s">
        <v>9</v>
      </c>
      <c r="F63" s="1">
        <v>1.0</v>
      </c>
      <c r="G63" s="3" t="s">
        <v>71</v>
      </c>
    </row>
    <row r="64">
      <c r="A64" s="3" t="s">
        <v>160</v>
      </c>
      <c r="B64" s="4" t="str">
        <f>IFERROR(__xludf.DUMMYFUNCTION("GOOGLETRANSLATE(A64, ""en"", ""te"")"),"24 మంత్ర ఆర్గానిక్ బ్రౌన్ బాస్మతి రైస్")</f>
        <v>24 మంత్ర ఆర్గానిక్ బ్రౌన్ బాస్మతి రైస్</v>
      </c>
      <c r="C64" s="4" t="str">
        <f>IFERROR(__xludf.DUMMYFUNCTION("GOOGLETRANSLATE(A64, ""en"", ""hi"")"),"24 मंत्रा ऑर्गेनिक ब्राउन बासमती चावल")</f>
        <v>24 मंत्रा ऑर्गेनिक ब्राउन बासमती चावल</v>
      </c>
      <c r="D64" s="2" t="s">
        <v>166</v>
      </c>
      <c r="E64" s="2" t="s">
        <v>9</v>
      </c>
      <c r="F64" s="1">
        <v>1.0</v>
      </c>
      <c r="G64" s="3" t="s">
        <v>85</v>
      </c>
    </row>
    <row r="65">
      <c r="A65" s="3" t="s">
        <v>169</v>
      </c>
      <c r="B65" s="4" t="str">
        <f>IFERROR(__xludf.DUMMYFUNCTION("GOOGLETRANSLATE(A65, ""en"", ""te"")"),"శ్వేత తెలుగు సోనా మసూరి రైస్")</f>
        <v>శ్వేత తెలుగు సోనా మసూరి రైస్</v>
      </c>
      <c r="C65" s="4" t="str">
        <f>IFERROR(__xludf.DUMMYFUNCTION("GOOGLETRANSLATE(A65, ""en"", ""hi"")"),"स्वेता तेलुगु सोना मसूरी चावल")</f>
        <v>स्वेता तेलुगु सोना मसूरी चावल</v>
      </c>
      <c r="D65" s="2" t="s">
        <v>38</v>
      </c>
      <c r="E65" s="2" t="s">
        <v>9</v>
      </c>
      <c r="F65" s="1">
        <v>1.0</v>
      </c>
      <c r="G65" s="3" t="s">
        <v>114</v>
      </c>
    </row>
    <row r="66">
      <c r="A66" s="3" t="s">
        <v>176</v>
      </c>
      <c r="B66" s="4" t="str">
        <f>IFERROR(__xludf.DUMMYFUNCTION("GOOGLETRANSLATE(A66, ""en"", ""te"")"),"రాయల్ చెఫ్ సీక్రెట్ ఎక్స్‌ట్రా లాంగ్ గ్రెయిన్ బాస్మతి రైస్")</f>
        <v>రాయల్ చెఫ్ సీక్రెట్ ఎక్స్‌ట్రా లాంగ్ గ్రెయిన్ బాస్మతి రైస్</v>
      </c>
      <c r="C66" s="4" t="str">
        <f>IFERROR(__xludf.DUMMYFUNCTION("GOOGLETRANSLATE(A66, ""en"", ""hi"")"),"रॉयल शेफ का सीक्रेट एक्स्ट्रा लॉन्ग ग्रेन बासमती चावल")</f>
        <v>रॉयल शेफ का सीक्रेट एक्स्ट्रा लॉन्ग ग्रेन बासमती चावल</v>
      </c>
      <c r="D66" s="2" t="s">
        <v>38</v>
      </c>
      <c r="E66" s="2" t="s">
        <v>9</v>
      </c>
      <c r="F66" s="1">
        <v>1.0</v>
      </c>
      <c r="G66" s="3" t="s">
        <v>114</v>
      </c>
    </row>
    <row r="67">
      <c r="A67" s="3" t="s">
        <v>189</v>
      </c>
      <c r="B67" s="4" t="str">
        <f>IFERROR(__xludf.DUMMYFUNCTION("GOOGLETRANSLATE(A67, ""en"", ""te"")"),"జఫరానీ బాస్మతి రైస్")</f>
        <v>జఫరానీ బాస్మతి రైస్</v>
      </c>
      <c r="C67" s="4" t="str">
        <f>IFERROR(__xludf.DUMMYFUNCTION("GOOGLETRANSLATE(A67, ""en"", ""hi"")"),"ज़फ़रानी बासमती चावल")</f>
        <v>ज़फ़रानी बासमती चावल</v>
      </c>
      <c r="D67" s="2" t="s">
        <v>14</v>
      </c>
      <c r="E67" s="2" t="s">
        <v>9</v>
      </c>
      <c r="F67" s="1">
        <v>1.0</v>
      </c>
      <c r="G67" s="3" t="s">
        <v>194</v>
      </c>
    </row>
    <row r="68">
      <c r="A68" s="3" t="s">
        <v>195</v>
      </c>
      <c r="B68" s="4" t="str">
        <f>IFERROR(__xludf.DUMMYFUNCTION("GOOGLETRANSLATE(A68, ""en"", ""te"")"),"లాల్ ఖిల్లా బాస్మతి రైస్")</f>
        <v>లాల్ ఖిల్లా బాస్మతి రైస్</v>
      </c>
      <c r="C68" s="4" t="str">
        <f>IFERROR(__xludf.DUMMYFUNCTION("GOOGLETRANSLATE(A68, ""en"", ""hi"")"),"लाल किला बासमती चावल")</f>
        <v>लाल किला बासमती चावल</v>
      </c>
      <c r="D68" s="2" t="s">
        <v>14</v>
      </c>
      <c r="E68" s="2" t="s">
        <v>9</v>
      </c>
      <c r="F68" s="1">
        <v>1.0</v>
      </c>
      <c r="G68" s="3" t="s">
        <v>194</v>
      </c>
    </row>
    <row r="69">
      <c r="A69" s="3" t="s">
        <v>203</v>
      </c>
      <c r="B69" s="4" t="str">
        <f>IFERROR(__xludf.DUMMYFUNCTION("GOOGLETRANSLATE(A69, ""en"", ""te"")"),"డబుల్ హార్స్ వాడి మట్టా రైస్")</f>
        <v>డబుల్ హార్స్ వాడి మట్టా రైస్</v>
      </c>
      <c r="C69" s="4" t="str">
        <f>IFERROR(__xludf.DUMMYFUNCTION("GOOGLETRANSLATE(A69, ""en"", ""hi"")"),"डबल हॉर्स वड़ी मट्टा राइस")</f>
        <v>डबल हॉर्स वड़ी मट्टा राइस</v>
      </c>
      <c r="D69" s="2" t="s">
        <v>22</v>
      </c>
      <c r="E69" s="2" t="s">
        <v>9</v>
      </c>
      <c r="F69" s="1">
        <v>1.0</v>
      </c>
      <c r="G69" s="3" t="s">
        <v>194</v>
      </c>
    </row>
    <row r="70">
      <c r="A70" s="3" t="s">
        <v>206</v>
      </c>
      <c r="B70" s="4" t="str">
        <f>IFERROR(__xludf.DUMMYFUNCTION("GOOGLETRANSLATE(A70, ""en"", ""te"")"),"షాలిమార్ సామ్రాజ్యం బాస్మతి బియ్యం")</f>
        <v>షాలిమార్ సామ్రాజ్యం బాస్మతి బియ్యం</v>
      </c>
      <c r="C70" s="4" t="str">
        <f>IFERROR(__xludf.DUMMYFUNCTION("GOOGLETRANSLATE(A70, ""en"", ""hi"")"),"शालीमार एम्पायर बासमती चावल")</f>
        <v>शालीमार एम्पायर बासमती चावल</v>
      </c>
      <c r="D70" s="2" t="s">
        <v>14</v>
      </c>
      <c r="E70" s="2" t="s">
        <v>9</v>
      </c>
      <c r="F70" s="1">
        <v>1.0</v>
      </c>
      <c r="G70" s="3" t="s">
        <v>194</v>
      </c>
    </row>
    <row r="71">
      <c r="A71" s="3" t="s">
        <v>214</v>
      </c>
      <c r="B71" s="4" t="str">
        <f>IFERROR(__xludf.DUMMYFUNCTION("GOOGLETRANSLATE(A71, ""en"", ""te"")"),"బ్రౌన్ బాస్మతి రైస్")</f>
        <v>బ్రౌన్ బాస్మతి రైస్</v>
      </c>
      <c r="C71" s="4" t="str">
        <f>IFERROR(__xludf.DUMMYFUNCTION("GOOGLETRANSLATE(A71, ""en"", ""hi"")"),"ब्राउन बासमती चावल")</f>
        <v>ब्राउन बासमती चावल</v>
      </c>
      <c r="D71" s="2" t="s">
        <v>219</v>
      </c>
      <c r="E71" s="2" t="s">
        <v>9</v>
      </c>
      <c r="F71" s="1">
        <v>1.0</v>
      </c>
      <c r="G71" s="3" t="s">
        <v>194</v>
      </c>
    </row>
    <row r="72">
      <c r="A72" s="3" t="s">
        <v>222</v>
      </c>
      <c r="B72" s="4" t="str">
        <f>IFERROR(__xludf.DUMMYFUNCTION("GOOGLETRANSLATE(A72, ""en"", ""te"")"),"లక్ష్మి తక్కువ GI బాస్మతి బియ్యం")</f>
        <v>లక్ష్మి తక్కువ GI బాస్మతి బియ్యం</v>
      </c>
      <c r="C72" s="4" t="str">
        <f>IFERROR(__xludf.DUMMYFUNCTION("GOOGLETRANSLATE(A72, ""en"", ""hi"")"),"लक्ष्मी लो जीआई बासमती चावल")</f>
        <v>लक्ष्मी लो जीआई बासमती चावल</v>
      </c>
      <c r="D72" s="2" t="s">
        <v>14</v>
      </c>
      <c r="E72" s="2" t="s">
        <v>9</v>
      </c>
      <c r="F72" s="1">
        <v>1.0</v>
      </c>
      <c r="G72" s="3" t="s">
        <v>194</v>
      </c>
    </row>
    <row r="73">
      <c r="A73" s="3" t="s">
        <v>229</v>
      </c>
      <c r="B73" s="4" t="str">
        <f>IFERROR(__xludf.DUMMYFUNCTION("GOOGLETRANSLATE(A73, ""en"", ""te"")"),"రాఘవ్ అంబే మోహర్ రైస్")</f>
        <v>రాఘవ్ అంబే మోహర్ రైస్</v>
      </c>
      <c r="C73" s="4" t="str">
        <f>IFERROR(__xludf.DUMMYFUNCTION("GOOGLETRANSLATE(A73, ""en"", ""hi"")"),"राघव अम्बे मोहर राइस")</f>
        <v>राघव अम्बे मोहर राइस</v>
      </c>
      <c r="D73" s="2" t="s">
        <v>239</v>
      </c>
      <c r="E73" s="2" t="s">
        <v>9</v>
      </c>
      <c r="F73" s="1">
        <v>1.0</v>
      </c>
      <c r="G73" s="3" t="s">
        <v>240</v>
      </c>
    </row>
    <row r="74">
      <c r="A74" s="3" t="s">
        <v>243</v>
      </c>
      <c r="B74" s="4" t="str">
        <f>IFERROR(__xludf.DUMMYFUNCTION("GOOGLETRANSLATE(A74, ""en"", ""te"")"),"దక్కన్ కృష్ణ కామోద్ రైస్")</f>
        <v>దక్కన్ కృష్ణ కామోద్ రైస్</v>
      </c>
      <c r="C74" s="4" t="str">
        <f>IFERROR(__xludf.DUMMYFUNCTION("GOOGLETRANSLATE(A74, ""en"", ""hi"")"),"दक्कन कृष्णा कमोद चावल")</f>
        <v>दक्कन कृष्णा कमोद चावल</v>
      </c>
      <c r="D74" s="2" t="s">
        <v>239</v>
      </c>
      <c r="E74" s="2" t="s">
        <v>9</v>
      </c>
      <c r="F74" s="1">
        <v>1.0</v>
      </c>
      <c r="G74" s="3" t="s">
        <v>240</v>
      </c>
    </row>
    <row r="75">
      <c r="A75" s="3" t="s">
        <v>250</v>
      </c>
      <c r="B75" s="4" t="str">
        <f>IFERROR(__xludf.DUMMYFUNCTION("GOOGLETRANSLATE(A75, ""en"", ""te"")"),"దక్కన్ దోస రైస్")</f>
        <v>దక్కన్ దోస రైస్</v>
      </c>
      <c r="C75" s="4" t="str">
        <f>IFERROR(__xludf.DUMMYFUNCTION("GOOGLETRANSLATE(A75, ""en"", ""hi"")"),"दक्कन डोसा चावल")</f>
        <v>दक्कन डोसा चावल</v>
      </c>
      <c r="D75" s="2" t="s">
        <v>255</v>
      </c>
      <c r="E75" s="2" t="s">
        <v>9</v>
      </c>
      <c r="F75" s="1">
        <v>1.0</v>
      </c>
      <c r="G75" s="3" t="s">
        <v>258</v>
      </c>
    </row>
    <row r="76">
      <c r="A76" s="3" t="s">
        <v>260</v>
      </c>
      <c r="B76" s="4" t="str">
        <f>IFERROR(__xludf.DUMMYFUNCTION("GOOGLETRANSLATE(A76, ""en"", ""te"")"),"దక్కన్ సుర్తి కోలం రైస్")</f>
        <v>దక్కన్ సుర్తి కోలం రైస్</v>
      </c>
      <c r="C76" s="4" t="str">
        <f>IFERROR(__xludf.DUMMYFUNCTION("GOOGLETRANSLATE(A76, ""en"", ""hi"")"),"दक्कन सुरती कोलम चावल")</f>
        <v>दक्कन सुरती कोलम चावल</v>
      </c>
      <c r="D76" s="2" t="s">
        <v>266</v>
      </c>
      <c r="E76" s="2" t="s">
        <v>9</v>
      </c>
      <c r="F76" s="1">
        <v>1.0</v>
      </c>
      <c r="G76" s="3" t="s">
        <v>258</v>
      </c>
    </row>
    <row r="77">
      <c r="A77" s="3" t="s">
        <v>269</v>
      </c>
      <c r="B77" s="4" t="str">
        <f>IFERROR(__xludf.DUMMYFUNCTION("GOOGLETRANSLATE(A77, ""en"", ""te"")"),"దక్కన్ జీరా సంబా రైస్")</f>
        <v>దక్కన్ జీరా సంబా రైస్</v>
      </c>
      <c r="C77" s="4" t="str">
        <f>IFERROR(__xludf.DUMMYFUNCTION("GOOGLETRANSLATE(A77, ""en"", ""hi"")"),"डेक्कन जीरा सांबा चावल")</f>
        <v>डेक्कन जीरा सांबा चावल</v>
      </c>
      <c r="D77" s="2" t="s">
        <v>275</v>
      </c>
      <c r="E77" s="2" t="s">
        <v>9</v>
      </c>
      <c r="F77" s="1">
        <v>1.0</v>
      </c>
      <c r="G77" s="3" t="s">
        <v>258</v>
      </c>
    </row>
    <row r="78">
      <c r="A78" s="3" t="s">
        <v>277</v>
      </c>
      <c r="B78" s="4" t="str">
        <f>IFERROR(__xludf.DUMMYFUNCTION("GOOGLETRANSLATE(A78, ""en"", ""te"")"),"దక్కన్ ఇంద్రాయణి బియ్యం")</f>
        <v>దక్కన్ ఇంద్రాయణి బియ్యం</v>
      </c>
      <c r="C78" s="4" t="str">
        <f>IFERROR(__xludf.DUMMYFUNCTION("GOOGLETRANSLATE(A78, ""en"", ""hi"")"),"दक्कन इंद्रायणी चावल")</f>
        <v>दक्कन इंद्रायणी चावल</v>
      </c>
      <c r="D78" s="2" t="s">
        <v>283</v>
      </c>
      <c r="E78" s="2" t="s">
        <v>9</v>
      </c>
      <c r="F78" s="1">
        <v>1.0</v>
      </c>
      <c r="G78" s="3" t="s">
        <v>258</v>
      </c>
    </row>
    <row r="79">
      <c r="A79" s="3" t="s">
        <v>287</v>
      </c>
      <c r="B79" s="4" t="str">
        <f>IFERROR(__xludf.DUMMYFUNCTION("GOOGLETRANSLATE(A79, ""en"", ""te"")"),"సోనా మసూరి రైస్")</f>
        <v>సోనా మసూరి రైస్</v>
      </c>
      <c r="C79" s="4" t="str">
        <f>IFERROR(__xludf.DUMMYFUNCTION("GOOGLETRANSLATE(A79, ""en"", ""hi"")"),"सोना मसूरी चावल")</f>
        <v>सोना मसूरी चावल</v>
      </c>
      <c r="D79" s="2" t="s">
        <v>38</v>
      </c>
      <c r="E79" s="2" t="s">
        <v>9</v>
      </c>
      <c r="F79" s="1">
        <v>1.0</v>
      </c>
      <c r="G79" s="3" t="s">
        <v>292</v>
      </c>
    </row>
    <row r="80">
      <c r="A80" s="3" t="s">
        <v>294</v>
      </c>
      <c r="B80" s="4" t="str">
        <f>IFERROR(__xludf.DUMMYFUNCTION("GOOGLETRANSLATE(A80, ""en"", ""te"")"),"జీబ్రా బ్రాండ్ బాస్మతి బియ్యం")</f>
        <v>జీబ్రా బ్రాండ్ బాస్మతి బియ్యం</v>
      </c>
      <c r="C80" s="4" t="str">
        <f>IFERROR(__xludf.DUMMYFUNCTION("GOOGLETRANSLATE(A80, ""en"", ""hi"")"),"ज़ेबरा ब्रांड बासमती चावल")</f>
        <v>ज़ेबरा ब्रांड बासमती चावल</v>
      </c>
      <c r="D80" s="2" t="s">
        <v>283</v>
      </c>
      <c r="E80" s="2" t="s">
        <v>9</v>
      </c>
      <c r="F80" s="1">
        <v>1.0</v>
      </c>
      <c r="G80" s="3" t="s">
        <v>292</v>
      </c>
    </row>
    <row r="81">
      <c r="A81" s="3" t="s">
        <v>302</v>
      </c>
      <c r="B81" s="4" t="str">
        <f>IFERROR(__xludf.DUMMYFUNCTION("GOOGLETRANSLATE(A81, ""en"", ""te"")"),"జీబ్రా బ్రాండ్ బాస్మతి బియ్యం (పసుపు సంచి)")</f>
        <v>జీబ్రా బ్రాండ్ బాస్మతి బియ్యం (పసుపు సంచి)</v>
      </c>
      <c r="C81" s="4" t="str">
        <f>IFERROR(__xludf.DUMMYFUNCTION("GOOGLETRANSLATE(A81, ""en"", ""hi"")"),"जेब्रा ब्रांड बासमती चावल (पीले रंग का बैग)")</f>
        <v>जेब्रा ब्रांड बासमती चावल (पीले रंग का बैग)</v>
      </c>
      <c r="D81" s="2" t="s">
        <v>283</v>
      </c>
      <c r="E81" s="2" t="s">
        <v>9</v>
      </c>
      <c r="F81" s="1">
        <v>1.0</v>
      </c>
      <c r="G81" s="3" t="s">
        <v>292</v>
      </c>
    </row>
    <row r="82">
      <c r="A82" s="3" t="s">
        <v>11</v>
      </c>
      <c r="B82" s="4" t="str">
        <f>IFERROR(__xludf.DUMMYFUNCTION("GOOGLETRANSLATE(A82, ""en"", ""te"")"),"గోదావరి సోనా మసూరి రైస్")</f>
        <v>గోదావరి సోనా మసూరి రైస్</v>
      </c>
      <c r="C82" s="4" t="str">
        <f>IFERROR(__xludf.DUMMYFUNCTION("GOOGLETRANSLATE(A82, ""en"", ""hi"")"),"गोदावरी सोना मसूरी चावल")</f>
        <v>गोदावरी सोना मसूरी चावल</v>
      </c>
      <c r="D82" s="2" t="s">
        <v>12</v>
      </c>
      <c r="E82" s="2" t="s">
        <v>9</v>
      </c>
      <c r="F82" s="1">
        <v>1.0</v>
      </c>
      <c r="G82" s="3" t="s">
        <v>292</v>
      </c>
    </row>
    <row r="83">
      <c r="A83" s="3" t="s">
        <v>315</v>
      </c>
      <c r="B83" s="4" t="str">
        <f>IFERROR(__xludf.DUMMYFUNCTION("GOOGLETRANSLATE(A83, ""en"", ""te"")"),"రాజా ఫుడ్స్ సోనా మసూరి రైస్")</f>
        <v>రాజా ఫుడ్స్ సోనా మసూరి రైస్</v>
      </c>
      <c r="C83" s="4" t="str">
        <f>IFERROR(__xludf.DUMMYFUNCTION("GOOGLETRANSLATE(A83, ""en"", ""hi"")"),"राजा फूड्स सोना मसूरी चावल")</f>
        <v>राजा फूड्स सोना मसूरी चावल</v>
      </c>
      <c r="D83" s="2" t="s">
        <v>38</v>
      </c>
      <c r="E83" s="2" t="s">
        <v>9</v>
      </c>
      <c r="F83" s="1">
        <v>1.0</v>
      </c>
      <c r="G83" s="3" t="s">
        <v>292</v>
      </c>
    </row>
    <row r="84">
      <c r="A84" s="3" t="s">
        <v>17</v>
      </c>
      <c r="B84" s="4" t="str">
        <f>IFERROR(__xludf.DUMMYFUNCTION("GOOGLETRANSLATE(A84, ""en"", ""te"")"),"లక్ష్మి ఇడ్లీ రైస్")</f>
        <v>లక్ష్మి ఇడ్లీ రైస్</v>
      </c>
      <c r="C84" s="4" t="str">
        <f>IFERROR(__xludf.DUMMYFUNCTION("GOOGLETRANSLATE(A84, ""en"", ""hi"")"),"लक्ष्मी इडली चावल")</f>
        <v>लक्ष्मी इडली चावल</v>
      </c>
      <c r="D84" s="2" t="s">
        <v>18</v>
      </c>
      <c r="E84" s="2" t="s">
        <v>9</v>
      </c>
      <c r="F84" s="1">
        <v>1.0</v>
      </c>
      <c r="G84" s="3" t="s">
        <v>292</v>
      </c>
    </row>
    <row r="85">
      <c r="A85" s="3" t="s">
        <v>321</v>
      </c>
      <c r="B85" s="4" t="str">
        <f>IFERROR(__xludf.DUMMYFUNCTION("GOOGLETRANSLATE(A85, ""en"", ""te"")"),"అల్యూమినియం రేకు ప్యాన్లు")</f>
        <v>అల్యూమినియం రేకు ప్యాన్లు</v>
      </c>
      <c r="C85" s="4" t="str">
        <f>IFERROR(__xludf.DUMMYFUNCTION("GOOGLETRANSLATE(A85, ""en"", ""hi"")"),"एल्युमिनियम फॉइल पैन")</f>
        <v>एल्युमिनियम फॉइल पैन</v>
      </c>
      <c r="D85" s="2" t="s">
        <v>326</v>
      </c>
      <c r="E85" s="2" t="s">
        <v>327</v>
      </c>
      <c r="F85" s="1">
        <v>1.0</v>
      </c>
      <c r="G85" s="3" t="s">
        <v>329</v>
      </c>
    </row>
    <row r="86">
      <c r="A86" s="3" t="s">
        <v>332</v>
      </c>
      <c r="B86" s="4" t="str">
        <f>IFERROR(__xludf.DUMMYFUNCTION("GOOGLETRANSLATE(A86, ""en"", ""te"")"),"జిప్లాక్ శాండ్‌విచ్ బ్యాగులు")</f>
        <v>జిప్లాక్ శాండ్‌విచ్ బ్యాగులు</v>
      </c>
      <c r="C86" s="4" t="str">
        <f>IFERROR(__xludf.DUMMYFUNCTION("GOOGLETRANSLATE(A86, ""en"", ""hi"")"),"ज़िपलॉक सैंडविच बैग")</f>
        <v>ज़िपलॉक सैंडविच बैग</v>
      </c>
      <c r="D86" s="5"/>
      <c r="E86" s="2" t="s">
        <v>43</v>
      </c>
      <c r="F86" s="1">
        <v>1.0</v>
      </c>
      <c r="G86" s="3" t="s">
        <v>329</v>
      </c>
    </row>
    <row r="87">
      <c r="A87" s="3" t="s">
        <v>336</v>
      </c>
      <c r="B87" s="4" t="str">
        <f>IFERROR(__xludf.DUMMYFUNCTION("GOOGLETRANSLATE(A87, ""en"", ""te"")"),"కాగితపు కప్పులు")</f>
        <v>కాగితపు కప్పులు</v>
      </c>
      <c r="C87" s="4" t="str">
        <f>IFERROR(__xludf.DUMMYFUNCTION("GOOGLETRANSLATE(A87, ""en"", ""hi"")"),"कागज के कप")</f>
        <v>कागज के कप</v>
      </c>
      <c r="D87" s="5"/>
      <c r="E87" s="2" t="s">
        <v>43</v>
      </c>
      <c r="F87" s="1">
        <v>1.0</v>
      </c>
      <c r="G87" s="3" t="s">
        <v>329</v>
      </c>
    </row>
    <row r="88">
      <c r="A88" s="3" t="s">
        <v>343</v>
      </c>
      <c r="B88" s="4" t="str">
        <f>IFERROR(__xludf.DUMMYFUNCTION("GOOGLETRANSLATE(A88, ""en"", ""te"")"),"డెట్టాల్ ఒరిజినల్ హ్యాండ్‌వాష్")</f>
        <v>డెట్టాల్ ఒరిజినల్ హ్యాండ్‌వాష్</v>
      </c>
      <c r="C88" s="4" t="str">
        <f>IFERROR(__xludf.DUMMYFUNCTION("GOOGLETRANSLATE(A88, ""en"", ""hi"")"),"डेटॉल ओरिजिनल हैंडवॉश")</f>
        <v>डेटॉल ओरिजिनल हैंडवॉश</v>
      </c>
      <c r="D88" s="5"/>
      <c r="E88" s="2" t="s">
        <v>48</v>
      </c>
      <c r="F88" s="1">
        <v>1.0</v>
      </c>
      <c r="G88" s="3" t="s">
        <v>350</v>
      </c>
    </row>
    <row r="89">
      <c r="A89" s="3" t="s">
        <v>352</v>
      </c>
      <c r="B89" s="4" t="str">
        <f>IFERROR(__xludf.DUMMYFUNCTION("GOOGLETRANSLATE(A89, ""en"", ""te"")"),"ఎల్లప్పుడూ అల్ట్రా థిన్ ప్యాడ్‌లు")</f>
        <v>ఎల్లప్పుడూ అల్ట్రా థిన్ ప్యాడ్‌లు</v>
      </c>
      <c r="C89" s="4" t="str">
        <f>IFERROR(__xludf.DUMMYFUNCTION("GOOGLETRANSLATE(A89, ""en"", ""hi"")"),"ऑलवेज अल्ट्रा थिन पैड्स")</f>
        <v>ऑलवेज अल्ट्रा थिन पैड्स</v>
      </c>
      <c r="D89" s="5"/>
      <c r="E89" s="2" t="s">
        <v>48</v>
      </c>
      <c r="F89" s="1">
        <v>1.0</v>
      </c>
      <c r="G89" s="3" t="s">
        <v>350</v>
      </c>
    </row>
    <row r="90">
      <c r="A90" s="3" t="s">
        <v>361</v>
      </c>
      <c r="B90" s="4" t="str">
        <f>IFERROR(__xludf.DUMMYFUNCTION("GOOGLETRANSLATE(A90, ""en"", ""te"")"),"ట్యాంపాక్స్ కార్డ్‌బోర్డ్ పెట్టె")</f>
        <v>ట్యాంపాక్స్ కార్డ్‌బోర్డ్ పెట్టె</v>
      </c>
      <c r="C90" s="4" t="str">
        <f>IFERROR(__xludf.DUMMYFUNCTION("GOOGLETRANSLATE(A90, ""en"", ""hi"")"),"टैम्पैक्स कार्डबोर्ड बॉक्स")</f>
        <v>टैम्पैक्स कार्डबोर्ड बॉक्स</v>
      </c>
      <c r="D90" s="5"/>
      <c r="E90" s="2" t="s">
        <v>48</v>
      </c>
      <c r="F90" s="1">
        <v>1.0</v>
      </c>
      <c r="G90" s="3" t="s">
        <v>350</v>
      </c>
    </row>
    <row r="91">
      <c r="A91" s="3" t="s">
        <v>367</v>
      </c>
      <c r="B91" s="4" t="str">
        <f>IFERROR(__xludf.DUMMYFUNCTION("GOOGLETRANSLATE(A91, ""en"", ""te"")"),"టైడ్ లిక్విడ్ లాండ్రీ డిటర్జెంట్")</f>
        <v>టైడ్ లిక్విడ్ లాండ్రీ డిటర్జెంట్</v>
      </c>
      <c r="C91" s="4" t="str">
        <f>IFERROR(__xludf.DUMMYFUNCTION("GOOGLETRANSLATE(A91, ""en"", ""hi"")"),"टाइड लिक्विड लॉन्ड्री डिटर्जेंट")</f>
        <v>टाइड लिक्विड लॉन्ड्री डिटर्जेंट</v>
      </c>
      <c r="D91" s="5"/>
      <c r="E91" s="2" t="s">
        <v>43</v>
      </c>
      <c r="F91" s="1">
        <v>1.0</v>
      </c>
      <c r="G91" s="3" t="s">
        <v>350</v>
      </c>
    </row>
    <row r="92">
      <c r="A92" s="3" t="s">
        <v>375</v>
      </c>
      <c r="B92" s="4" t="str">
        <f>IFERROR(__xludf.DUMMYFUNCTION("GOOGLETRANSLATE(A92, ""en"", ""te"")"),"సర్ఫ్ ఎక్సెల్ ఈజీ వాష్ పౌడర్")</f>
        <v>సర్ఫ్ ఎక్సెల్ ఈజీ వాష్ పౌడర్</v>
      </c>
      <c r="C92" s="4" t="str">
        <f>IFERROR(__xludf.DUMMYFUNCTION("GOOGLETRANSLATE(A92, ""en"", ""hi"")"),"सर्फ एक्सेल ईज़ी वॉश पाउडर")</f>
        <v>सर्फ एक्सेल ईज़ी वॉश पाउडर</v>
      </c>
      <c r="D92" s="5"/>
      <c r="E92" s="2" t="s">
        <v>43</v>
      </c>
      <c r="F92" s="1">
        <v>1.0</v>
      </c>
      <c r="G92" s="3" t="s">
        <v>350</v>
      </c>
    </row>
    <row r="93">
      <c r="A93" s="3" t="s">
        <v>384</v>
      </c>
      <c r="B93" s="4" t="str">
        <f>IFERROR(__xludf.DUMMYFUNCTION("GOOGLETRANSLATE(A93, ""en"", ""te"")"),"మైసూర్ చందనం సబ్బు")</f>
        <v>మైసూర్ చందనం సబ్బు</v>
      </c>
      <c r="C93" s="4" t="str">
        <f>IFERROR(__xludf.DUMMYFUNCTION("GOOGLETRANSLATE(A93, ""en"", ""hi"")"),"मैसूर चंदन साबुन")</f>
        <v>मैसूर चंदन साबुन</v>
      </c>
      <c r="D93" s="5"/>
      <c r="E93" s="2" t="s">
        <v>48</v>
      </c>
      <c r="F93" s="1">
        <v>1.0</v>
      </c>
      <c r="G93" s="3" t="s">
        <v>389</v>
      </c>
    </row>
    <row r="94">
      <c r="A94" s="3" t="s">
        <v>391</v>
      </c>
      <c r="B94" s="4" t="str">
        <f>IFERROR(__xludf.DUMMYFUNCTION("GOOGLETRANSLATE(A94, ""en"", ""te"")"),"మోతీ చందనం సబ్బు")</f>
        <v>మోతీ చందనం సబ్బు</v>
      </c>
      <c r="C94" s="4" t="str">
        <f>IFERROR(__xludf.DUMMYFUNCTION("GOOGLETRANSLATE(A94, ""en"", ""hi"")"),"मोती चंदन साबुन")</f>
        <v>मोती चंदन साबुन</v>
      </c>
      <c r="D94" s="5"/>
      <c r="E94" s="2" t="s">
        <v>48</v>
      </c>
      <c r="F94" s="1">
        <v>1.0</v>
      </c>
      <c r="G94" s="3" t="s">
        <v>389</v>
      </c>
    </row>
    <row r="95">
      <c r="A95" s="3" t="s">
        <v>398</v>
      </c>
      <c r="B95" s="4" t="str">
        <f>IFERROR(__xludf.DUMMYFUNCTION("GOOGLETRANSLATE(A95, ""en"", ""te"")"),"స్లీక్ హాట్ వాక్స్")</f>
        <v>స్లీక్ హాట్ వాక్స్</v>
      </c>
      <c r="C95" s="4" t="str">
        <f>IFERROR(__xludf.DUMMYFUNCTION("GOOGLETRANSLATE(A95, ""en"", ""hi"")"),"स्लीक हॉट वैक्स")</f>
        <v>स्लीक हॉट वैक्स</v>
      </c>
      <c r="D95" s="5"/>
      <c r="E95" s="2" t="s">
        <v>48</v>
      </c>
      <c r="F95" s="1">
        <v>1.0</v>
      </c>
      <c r="G95" s="3" t="s">
        <v>389</v>
      </c>
    </row>
    <row r="96">
      <c r="A96" s="3" t="s">
        <v>404</v>
      </c>
      <c r="B96" s="4" t="str">
        <f>IFERROR(__xludf.DUMMYFUNCTION("GOOGLETRANSLATE(A96, ""en"", ""te"")"),"వీట్ ప్రొఫెషనల్ వాక్స్ స్ట్రిప్స్")</f>
        <v>వీట్ ప్రొఫెషనల్ వాక్స్ స్ట్రిప్స్</v>
      </c>
      <c r="C96" s="4" t="str">
        <f>IFERROR(__xludf.DUMMYFUNCTION("GOOGLETRANSLATE(A96, ""en"", ""hi"")"),"वीट प्रोफेशनल वैक्स स्ट्रिप्स")</f>
        <v>वीट प्रोफेशनल वैक्स स्ट्रिप्स</v>
      </c>
      <c r="D96" s="5"/>
      <c r="E96" s="2" t="s">
        <v>48</v>
      </c>
      <c r="F96" s="1">
        <v>1.0</v>
      </c>
      <c r="G96" s="3" t="s">
        <v>389</v>
      </c>
    </row>
    <row r="97">
      <c r="A97" s="3" t="s">
        <v>412</v>
      </c>
      <c r="B97" s="4" t="str">
        <f>IFERROR(__xludf.DUMMYFUNCTION("GOOGLETRANSLATE(A97, ""en"", ""te"")"),"కాంతి టూత్‌పేస్ట్")</f>
        <v>కాంతి టూత్‌పేస్ట్</v>
      </c>
      <c r="C97" s="4" t="str">
        <f>IFERROR(__xludf.DUMMYFUNCTION("GOOGLETRANSLATE(A97, ""en"", ""hi"")"),"कांति टूथपेस्ट")</f>
        <v>कांति टूथपेस्ट</v>
      </c>
      <c r="D97" s="5"/>
      <c r="E97" s="2" t="s">
        <v>48</v>
      </c>
      <c r="F97" s="1">
        <v>1.0</v>
      </c>
      <c r="G97" s="3" t="s">
        <v>418</v>
      </c>
    </row>
    <row r="98">
      <c r="A98" s="3" t="s">
        <v>419</v>
      </c>
      <c r="B98" s="4" t="str">
        <f>IFERROR(__xludf.DUMMYFUNCTION("GOOGLETRANSLATE(A98, ""en"", ""te"")"),"విక్కో వజ్రదంతి టూత్‌పేస్ట్")</f>
        <v>విక్కో వజ్రదంతి టూత్‌పేస్ట్</v>
      </c>
      <c r="C98" s="4" t="str">
        <f>IFERROR(__xludf.DUMMYFUNCTION("GOOGLETRANSLATE(A98, ""en"", ""hi"")"),"विक्को वज्रदंती टूथपेस्ट")</f>
        <v>विक्को वज्रदंती टूथपेस्ट</v>
      </c>
      <c r="D98" s="5"/>
      <c r="E98" s="2" t="s">
        <v>48</v>
      </c>
      <c r="F98" s="1">
        <v>1.0</v>
      </c>
      <c r="G98" s="3" t="s">
        <v>418</v>
      </c>
    </row>
    <row r="99">
      <c r="A99" s="3" t="s">
        <v>428</v>
      </c>
      <c r="B99" s="4" t="str">
        <f>IFERROR(__xludf.DUMMYFUNCTION("GOOGLETRANSLATE(A99, ""en"", ""te"")"),"టూత్‌పేస్ట్ క్లోజప్")</f>
        <v>టూత్‌పేస్ట్ క్లోజప్</v>
      </c>
      <c r="C99" s="4" t="str">
        <f>IFERROR(__xludf.DUMMYFUNCTION("GOOGLETRANSLATE(A99, ""en"", ""hi"")"),"टूथपेस्ट का क्लोजअप")</f>
        <v>टूथपेस्ट का क्लोजअप</v>
      </c>
      <c r="D99" s="5"/>
      <c r="E99" s="2" t="s">
        <v>48</v>
      </c>
      <c r="F99" s="1">
        <v>1.0</v>
      </c>
      <c r="G99" s="3" t="s">
        <v>418</v>
      </c>
    </row>
    <row r="100">
      <c r="A100" s="3" t="s">
        <v>435</v>
      </c>
      <c r="B100" s="4" t="str">
        <f>IFERROR(__xludf.DUMMYFUNCTION("GOOGLETRANSLATE(A100, ""en"", ""te"")"),"సెన్సోడైన్ టూత్‌పేస్ట్")</f>
        <v>సెన్సోడైన్ టూత్‌పేస్ట్</v>
      </c>
      <c r="C100" s="4" t="str">
        <f>IFERROR(__xludf.DUMMYFUNCTION("GOOGLETRANSLATE(A100, ""en"", ""hi"")"),"सेंसोडाइन टूथपेस्ट")</f>
        <v>सेंसोडाइन टूथपेस्ट</v>
      </c>
      <c r="D100" s="5"/>
      <c r="E100" s="2" t="s">
        <v>48</v>
      </c>
      <c r="F100" s="1">
        <v>1.0</v>
      </c>
      <c r="G100" s="3" t="s">
        <v>418</v>
      </c>
    </row>
    <row r="101">
      <c r="A101" s="3" t="s">
        <v>436</v>
      </c>
      <c r="B101" s="4" t="str">
        <f>IFERROR(__xludf.DUMMYFUNCTION("GOOGLETRANSLATE(A101, ""en"", ""te"")"),"బంగారు పిండి")</f>
        <v>బంగారు పిండి</v>
      </c>
      <c r="C101" s="4" t="str">
        <f>IFERROR(__xludf.DUMMYFUNCTION("GOOGLETRANSLATE(A101, ""en"", ""hi"")"),"गोल्ड आटा")</f>
        <v>गोल्ड आटा</v>
      </c>
      <c r="D101" s="5"/>
      <c r="E101" s="2" t="s">
        <v>67</v>
      </c>
      <c r="F101" s="1">
        <v>1.0</v>
      </c>
      <c r="G101" s="3" t="s">
        <v>437</v>
      </c>
    </row>
    <row r="102">
      <c r="A102" s="3" t="s">
        <v>438</v>
      </c>
      <c r="B102" s="4" t="str">
        <f>IFERROR(__xludf.DUMMYFUNCTION("GOOGLETRANSLATE(A102, ""en"", ""te"")"),"జీరా ఖిచియా కార్డ్‌బోర్డ్ పెట్టె")</f>
        <v>జీరా ఖిచియా కార్డ్‌బోర్డ్ పెట్టె</v>
      </c>
      <c r="C102" s="4" t="str">
        <f>IFERROR(__xludf.DUMMYFUNCTION("GOOGLETRANSLATE(A102, ""en"", ""hi"")"),"जीरा खिचिया कार्डबोर्ड बॉक्स")</f>
        <v>जीरा खिचिया कार्डबोर्ड बॉक्स</v>
      </c>
      <c r="D102" s="2" t="s">
        <v>440</v>
      </c>
      <c r="E102" s="2" t="s">
        <v>442</v>
      </c>
      <c r="F102" s="1">
        <v>1.0</v>
      </c>
      <c r="G102" s="3" t="s">
        <v>437</v>
      </c>
    </row>
    <row r="103">
      <c r="A103" s="3" t="s">
        <v>444</v>
      </c>
      <c r="B103" s="4" t="str">
        <f>IFERROR(__xludf.DUMMYFUNCTION("GOOGLETRANSLATE(A103, ""en"", ""te"")"),"ఆశీర్వాద్ గోధుమ పిండి")</f>
        <v>ఆశీర్వాద్ గోధుమ పిండి</v>
      </c>
      <c r="C103" s="4" t="str">
        <f>IFERROR(__xludf.DUMMYFUNCTION("GOOGLETRANSLATE(A103, ""en"", ""hi"")"),"आशीर्वाद होल व्हीट फ्लोर")</f>
        <v>आशीर्वाद होल व्हीट फ्लोर</v>
      </c>
      <c r="D103" s="2" t="s">
        <v>445</v>
      </c>
      <c r="E103" s="2" t="s">
        <v>67</v>
      </c>
      <c r="F103" s="1">
        <v>1.0</v>
      </c>
      <c r="G103" s="3" t="s">
        <v>446</v>
      </c>
    </row>
    <row r="104">
      <c r="A104" s="3" t="s">
        <v>447</v>
      </c>
      <c r="B104" s="4" t="str">
        <f>IFERROR(__xludf.DUMMYFUNCTION("GOOGLETRANSLATE(A104, ""en"", ""te"")"),"షేర్ ఫైబర్ వాలా హోల్ వీట్ ఫ్లోర్")</f>
        <v>షేర్ ఫైబర్ వాలా హోల్ వీట్ ఫ్లోర్</v>
      </c>
      <c r="C104" s="4" t="str">
        <f>IFERROR(__xludf.DUMMYFUNCTION("GOOGLETRANSLATE(A104, ""en"", ""hi"")"),"शेर फाइबर वाला साबुत गेहूं का आटा")</f>
        <v>शेर फाइबर वाला साबुत गेहूं का आटा</v>
      </c>
      <c r="D104" s="2" t="s">
        <v>445</v>
      </c>
      <c r="E104" s="2" t="s">
        <v>67</v>
      </c>
      <c r="F104" s="1">
        <v>1.0</v>
      </c>
      <c r="G104" s="3" t="s">
        <v>446</v>
      </c>
    </row>
    <row r="105">
      <c r="A105" s="3" t="s">
        <v>448</v>
      </c>
      <c r="B105" s="4" t="str">
        <f>IFERROR(__xludf.DUMMYFUNCTION("GOOGLETRANSLATE(A105, ""en"", ""te"")"),"మీరా షాంపూ")</f>
        <v>మీరా షాంపూ</v>
      </c>
      <c r="C105" s="4" t="str">
        <f>IFERROR(__xludf.DUMMYFUNCTION("GOOGLETRANSLATE(A105, ""en"", ""hi"")"),"मीरा शैम्पू")</f>
        <v>मीरा शैम्पू</v>
      </c>
      <c r="D105" s="5"/>
      <c r="E105" s="2" t="s">
        <v>48</v>
      </c>
      <c r="F105" s="1">
        <v>1.0</v>
      </c>
      <c r="G105" s="3" t="s">
        <v>449</v>
      </c>
    </row>
    <row r="106">
      <c r="A106" s="3" t="s">
        <v>450</v>
      </c>
      <c r="B106" s="4" t="str">
        <f>IFERROR(__xludf.DUMMYFUNCTION("GOOGLETRANSLATE(A106, ""en"", ""te"")"),"జిప్లాక్ శాండ్‌విచ్ బ్యాగులు (480 ప్యాక్)")</f>
        <v>జిప్లాక్ శాండ్‌విచ్ బ్యాగులు (480 ప్యాక్)</v>
      </c>
      <c r="C106" s="4" t="str">
        <f>IFERROR(__xludf.DUMMYFUNCTION("GOOGLETRANSLATE(A106, ""en"", ""hi"")"),"ज़िपलॉक सैंडविच बैग (480 का पैक)")</f>
        <v>ज़िपलॉक सैंडविच बैग (480 का पैक)</v>
      </c>
      <c r="D106" s="5"/>
      <c r="E106" s="2" t="s">
        <v>43</v>
      </c>
      <c r="F106" s="1">
        <v>1.0</v>
      </c>
      <c r="G106" s="3" t="s">
        <v>449</v>
      </c>
    </row>
    <row r="107">
      <c r="A107" s="3" t="s">
        <v>451</v>
      </c>
      <c r="B107" s="4" t="str">
        <f>IFERROR(__xludf.DUMMYFUNCTION("GOOGLETRANSLATE(A107, ""en"", ""te"")"),"జిప్లాక్ ఆన్-ది-గో ప్రొటెక్షన్ శాండ్‌విచ్ బ్యాగ్‌లు")</f>
        <v>జిప్లాక్ ఆన్-ది-గో ప్రొటెక్షన్ శాండ్‌విచ్ బ్యాగ్‌లు</v>
      </c>
      <c r="C107" s="4" t="str">
        <f>IFERROR(__xludf.DUMMYFUNCTION("GOOGLETRANSLATE(A107, ""en"", ""hi"")"),"ज़िपलॉक ऑन-द-गो प्रोटेक्शन सैंडविच बैग")</f>
        <v>ज़िपलॉक ऑन-द-गो प्रोटेक्शन सैंडविच बैग</v>
      </c>
      <c r="D107" s="5"/>
      <c r="E107" s="2" t="s">
        <v>43</v>
      </c>
      <c r="F107" s="1">
        <v>1.0</v>
      </c>
      <c r="G107" s="3" t="s">
        <v>449</v>
      </c>
    </row>
    <row r="108">
      <c r="A108" s="3" t="s">
        <v>452</v>
      </c>
      <c r="B108" s="4" t="str">
        <f>IFERROR(__xludf.DUMMYFUNCTION("GOOGLETRANSLATE(A108, ""en"", ""te"")"),"స్క్రబ్బింగ్ బబుల్స్ బాత్రూమ్ మురికి నివారిణి")</f>
        <v>స్క్రబ్బింగ్ బబుల్స్ బాత్రూమ్ మురికి నివారిణి</v>
      </c>
      <c r="C108" s="4" t="str">
        <f>IFERROR(__xludf.DUMMYFUNCTION("GOOGLETRANSLATE(A108, ""en"", ""hi"")"),"स्क्रबिंग बबल्स बाथरूम की गंदगी से लड़ने वाला")</f>
        <v>स्क्रबिंग बबल्स बाथरूम की गंदगी से लड़ने वाला</v>
      </c>
      <c r="D108" s="5"/>
      <c r="E108" s="2" t="s">
        <v>43</v>
      </c>
      <c r="F108" s="1">
        <v>1.0</v>
      </c>
      <c r="G108" s="3" t="s">
        <v>453</v>
      </c>
    </row>
    <row r="109">
      <c r="A109" s="3" t="s">
        <v>454</v>
      </c>
      <c r="B109" s="4" t="str">
        <f>IFERROR(__xludf.DUMMYFUNCTION("GOOGLETRANSLATE(A109, ""en"", ""te"")"),"గ్లాస్ &amp; సర్ఫేస్ క్లీనర్")</f>
        <v>గ్లాస్ &amp; సర్ఫేస్ క్లీనర్</v>
      </c>
      <c r="C109" s="4" t="str">
        <f>IFERROR(__xludf.DUMMYFUNCTION("GOOGLETRANSLATE(A109, ""en"", ""hi"")"),"ग्लास और सतह क्लीनर")</f>
        <v>ग्लास और सतह क्लीनर</v>
      </c>
      <c r="D109" s="5"/>
      <c r="E109" s="2" t="s">
        <v>43</v>
      </c>
      <c r="F109" s="1">
        <v>1.0</v>
      </c>
      <c r="G109" s="3" t="s">
        <v>453</v>
      </c>
    </row>
    <row r="110">
      <c r="A110" s="3" t="s">
        <v>455</v>
      </c>
      <c r="B110" s="4" t="str">
        <f>IFERROR(__xludf.DUMMYFUNCTION("GOOGLETRANSLATE(A110, ""en"", ""te"")"),"కార్పెట్ క్లీనర్")</f>
        <v>కార్పెట్ క్లీనర్</v>
      </c>
      <c r="C110" s="4" t="str">
        <f>IFERROR(__xludf.DUMMYFUNCTION("GOOGLETRANSLATE(A110, ""en"", ""hi"")"),"कालीन क्लीनर")</f>
        <v>कालीन क्लीनर</v>
      </c>
      <c r="D110" s="2" t="s">
        <v>456</v>
      </c>
      <c r="E110" s="2" t="s">
        <v>43</v>
      </c>
      <c r="F110" s="1">
        <v>1.0</v>
      </c>
      <c r="G110" s="3" t="s">
        <v>453</v>
      </c>
    </row>
    <row r="111">
      <c r="A111" s="3" t="s">
        <v>457</v>
      </c>
      <c r="B111" s="4" t="str">
        <f>IFERROR(__xludf.DUMMYFUNCTION("GOOGLETRANSLATE(A111, ""en"", ""te"")"),"మైటీ సీలర్")</f>
        <v>మైటీ సీలర్</v>
      </c>
      <c r="C111" s="4" t="str">
        <f>IFERROR(__xludf.DUMMYFUNCTION("GOOGLETRANSLATE(A111, ""en"", ""hi"")"),"शक्तिशाली सीलर")</f>
        <v>शक्तिशाली सीलर</v>
      </c>
      <c r="D111" s="5"/>
      <c r="E111" s="2" t="s">
        <v>43</v>
      </c>
      <c r="F111" s="1">
        <v>1.0</v>
      </c>
      <c r="G111" s="3" t="s">
        <v>453</v>
      </c>
    </row>
    <row r="112">
      <c r="A112" s="3" t="s">
        <v>459</v>
      </c>
      <c r="B112" s="4" t="str">
        <f>IFERROR(__xludf.DUMMYFUNCTION("GOOGLETRANSLATE(A112, ""en"", ""te"")"),"నూపుర్ హెన్నా 9 మూలికలు")</f>
        <v>నూపుర్ హెన్నా 9 మూలికలు</v>
      </c>
      <c r="C112" s="4" t="str">
        <f>IFERROR(__xludf.DUMMYFUNCTION("GOOGLETRANSLATE(A112, ""en"", ""hi"")"),"नूपुर मेहंदी में इस्तेमाल होने वाली 9 जड़ी-बूटियाँ")</f>
        <v>नूपुर मेहंदी में इस्तेमाल होने वाली 9 जड़ी-बूटियाँ</v>
      </c>
      <c r="D112" s="2" t="s">
        <v>461</v>
      </c>
      <c r="E112" s="2" t="s">
        <v>442</v>
      </c>
      <c r="F112" s="1">
        <v>1.0</v>
      </c>
      <c r="G112" s="3" t="s">
        <v>453</v>
      </c>
    </row>
    <row r="113">
      <c r="A113" s="3" t="s">
        <v>462</v>
      </c>
      <c r="B113" s="4" t="str">
        <f>IFERROR(__xludf.DUMMYFUNCTION("GOOGLETRANSLATE(A113, ""en"", ""te"")"),"మామాఎర్త్ ఉబ్తాన్ ఫేస్ వాష్")</f>
        <v>మామాఎర్త్ ఉబ్తాన్ ఫేస్ వాష్</v>
      </c>
      <c r="C113" s="4" t="str">
        <f>IFERROR(__xludf.DUMMYFUNCTION("GOOGLETRANSLATE(A113, ""en"", ""hi"")"),"मामाअर्थ उबटन फेस वॉश")</f>
        <v>मामाअर्थ उबटन फेस वॉश</v>
      </c>
      <c r="D113" s="5"/>
      <c r="E113" s="2" t="s">
        <v>48</v>
      </c>
      <c r="F113" s="1">
        <v>1.0</v>
      </c>
      <c r="G113" s="3" t="s">
        <v>463</v>
      </c>
    </row>
    <row r="114">
      <c r="A114" s="3" t="s">
        <v>464</v>
      </c>
      <c r="B114" s="4" t="str">
        <f>IFERROR(__xludf.DUMMYFUNCTION("GOOGLETRANSLATE(A114, ""en"", ""te"")"),"విక్కో అలోవెరా ఫేస్ వాష్")</f>
        <v>విక్కో అలోవెరా ఫేస్ వాష్</v>
      </c>
      <c r="C114" s="4" t="str">
        <f>IFERROR(__xludf.DUMMYFUNCTION("GOOGLETRANSLATE(A114, ""en"", ""hi"")"),"विको एलोवेरा फेस वॉश")</f>
        <v>विको एलोवेरा फेस वॉश</v>
      </c>
      <c r="D114" s="5"/>
      <c r="E114" s="2" t="s">
        <v>48</v>
      </c>
      <c r="F114" s="1">
        <v>1.0</v>
      </c>
      <c r="G114" s="3" t="s">
        <v>463</v>
      </c>
    </row>
    <row r="115">
      <c r="A115" s="3" t="s">
        <v>465</v>
      </c>
      <c r="B115" s="4" t="str">
        <f>IFERROR(__xludf.DUMMYFUNCTION("GOOGLETRANSLATE(A115, ""en"", ""te"")"),"విక్కో పసుపు ఫేస్ వాష్")</f>
        <v>విక్కో పసుపు ఫేస్ వాష్</v>
      </c>
      <c r="C115" s="4" t="str">
        <f>IFERROR(__xludf.DUMMYFUNCTION("GOOGLETRANSLATE(A115, ""en"", ""hi"")"),"विको हल्दी फेस वॉश")</f>
        <v>विको हल्दी फेस वॉश</v>
      </c>
      <c r="D115" s="2" t="s">
        <v>466</v>
      </c>
      <c r="E115" s="2" t="s">
        <v>48</v>
      </c>
      <c r="F115" s="1">
        <v>1.0</v>
      </c>
      <c r="G115" s="3" t="s">
        <v>463</v>
      </c>
    </row>
    <row r="116">
      <c r="A116" s="3" t="s">
        <v>468</v>
      </c>
      <c r="B116" s="4" t="str">
        <f>IFERROR(__xludf.DUMMYFUNCTION("GOOGLETRANSLATE(A116, ""en"", ""te"")"),"పతంజలి అలోవెరా జెల్")</f>
        <v>పతంజలి అలోవెరా జెల్</v>
      </c>
      <c r="C116" s="4" t="str">
        <f>IFERROR(__xludf.DUMMYFUNCTION("GOOGLETRANSLATE(A116, ""en"", ""hi"")"),"पतंजलि एलोवेरा जेल")</f>
        <v>पतंजलि एलोवेरा जेल</v>
      </c>
      <c r="D116" s="5"/>
      <c r="E116" s="2" t="s">
        <v>48</v>
      </c>
      <c r="F116" s="1">
        <v>1.0</v>
      </c>
      <c r="G116" s="3" t="s">
        <v>463</v>
      </c>
    </row>
    <row r="117">
      <c r="A117" s="3" t="s">
        <v>384</v>
      </c>
      <c r="B117" s="4" t="str">
        <f>IFERROR(__xludf.DUMMYFUNCTION("GOOGLETRANSLATE(A117, ""en"", ""te"")"),"మైసూర్ చందనం సబ్బు")</f>
        <v>మైసూర్ చందనం సబ్బు</v>
      </c>
      <c r="C117" s="4" t="str">
        <f>IFERROR(__xludf.DUMMYFUNCTION("GOOGLETRANSLATE(A117, ""en"", ""hi"")"),"मैसूर चंदन साबुन")</f>
        <v>मैसूर चंदन साबुन</v>
      </c>
      <c r="D117" s="5"/>
      <c r="E117" s="2" t="s">
        <v>48</v>
      </c>
      <c r="F117" s="1">
        <v>1.0</v>
      </c>
      <c r="G117" s="3" t="s">
        <v>463</v>
      </c>
    </row>
    <row r="118">
      <c r="A118" s="3" t="s">
        <v>469</v>
      </c>
      <c r="B118" s="4" t="str">
        <f>IFERROR(__xludf.DUMMYFUNCTION("GOOGLETRANSLATE(A118, ""en"", ""te"")"),"డెట్టాల్ సబ్బు")</f>
        <v>డెట్టాల్ సబ్బు</v>
      </c>
      <c r="C118" s="4" t="str">
        <f>IFERROR(__xludf.DUMMYFUNCTION("GOOGLETRANSLATE(A118, ""en"", ""hi"")"),"डेटॉल साबुन")</f>
        <v>डेटॉल साबुन</v>
      </c>
      <c r="D118" s="5"/>
      <c r="E118" s="2" t="s">
        <v>48</v>
      </c>
      <c r="F118" s="1">
        <v>1.0</v>
      </c>
      <c r="G118" s="3" t="s">
        <v>470</v>
      </c>
    </row>
    <row r="119">
      <c r="A119" s="3" t="s">
        <v>471</v>
      </c>
      <c r="B119" s="4" t="str">
        <f>IFERROR(__xludf.DUMMYFUNCTION("GOOGLETRANSLATE(A119, ""en"", ""te"")"),"పియర్స్ ప్యూర్ &amp; జెంటిల్ సోప్")</f>
        <v>పియర్స్ ప్యూర్ &amp; జెంటిల్ సోప్</v>
      </c>
      <c r="C119" s="4" t="str">
        <f>IFERROR(__xludf.DUMMYFUNCTION("GOOGLETRANSLATE(A119, ""en"", ""hi"")"),"पियर्स प्योर एंड जेंटल सोप")</f>
        <v>पियर्स प्योर एंड जेंटल सोप</v>
      </c>
      <c r="D119" s="5"/>
      <c r="E119" s="2" t="s">
        <v>48</v>
      </c>
      <c r="F119" s="1">
        <v>1.0</v>
      </c>
      <c r="G119" s="3" t="s">
        <v>470</v>
      </c>
    </row>
    <row r="120">
      <c r="A120" s="3" t="s">
        <v>472</v>
      </c>
      <c r="B120" s="4" t="str">
        <f>IFERROR(__xludf.DUMMYFUNCTION("GOOGLETRANSLATE(A120, ""en"", ""te"")"),"లక్స్ సబ్బు")</f>
        <v>లక్స్ సబ్బు</v>
      </c>
      <c r="C120" s="4" t="str">
        <f>IFERROR(__xludf.DUMMYFUNCTION("GOOGLETRANSLATE(A120, ""en"", ""hi"")"),"लक्स साबुन")</f>
        <v>लक्स साबुन</v>
      </c>
      <c r="D120" s="5"/>
      <c r="E120" s="2" t="s">
        <v>48</v>
      </c>
      <c r="F120" s="1">
        <v>1.0</v>
      </c>
      <c r="G120" s="3" t="s">
        <v>470</v>
      </c>
    </row>
    <row r="121">
      <c r="A121" s="3" t="s">
        <v>474</v>
      </c>
      <c r="B121" s="4" t="str">
        <f>IFERROR(__xludf.DUMMYFUNCTION("GOOGLETRANSLATE(A121, ""en"", ""te"")"),"ఆయుర్ షాంపూ")</f>
        <v>ఆయుర్ షాంపూ</v>
      </c>
      <c r="C121" s="4" t="str">
        <f>IFERROR(__xludf.DUMMYFUNCTION("GOOGLETRANSLATE(A121, ""en"", ""hi"")"),"आयुर् शैम्पू")</f>
        <v>आयुर् शैम्पू</v>
      </c>
      <c r="D121" s="5"/>
      <c r="E121" s="2" t="s">
        <v>48</v>
      </c>
      <c r="F121" s="1">
        <v>1.0</v>
      </c>
      <c r="G121" s="3" t="s">
        <v>475</v>
      </c>
    </row>
    <row r="122">
      <c r="A122" s="3" t="s">
        <v>476</v>
      </c>
      <c r="B122" s="4" t="str">
        <f>IFERROR(__xludf.DUMMYFUNCTION("GOOGLETRANSLATE(A122, ""en"", ""te"")"),"క్లినిక్ ప్లస్ షాంపూ")</f>
        <v>క్లినిక్ ప్లస్ షాంపూ</v>
      </c>
      <c r="C122" s="4" t="str">
        <f>IFERROR(__xludf.DUMMYFUNCTION("GOOGLETRANSLATE(A122, ""en"", ""hi"")"),"क्लिनिक प्लस शैम्पू")</f>
        <v>क्लिनिक प्लस शैम्पू</v>
      </c>
      <c r="D122" s="5"/>
      <c r="E122" s="2" t="s">
        <v>48</v>
      </c>
      <c r="F122" s="1">
        <v>1.0</v>
      </c>
      <c r="G122" s="3" t="s">
        <v>475</v>
      </c>
    </row>
    <row r="123">
      <c r="A123" s="3" t="s">
        <v>480</v>
      </c>
      <c r="B123" s="4" t="str">
        <f>IFERROR(__xludf.DUMMYFUNCTION("GOOGLETRANSLATE(A123, ""en"", ""te"")"),"హిమాలయా యాంటీ-హెయిర్ ఫాల్ షాంపూ")</f>
        <v>హిమాలయా యాంటీ-హెయిర్ ఫాల్ షాంపూ</v>
      </c>
      <c r="C123" s="4" t="str">
        <f>IFERROR(__xludf.DUMMYFUNCTION("GOOGLETRANSLATE(A123, ""en"", ""hi"")"),"हिमालय एंटी-हेयर फॉल शैम्पू")</f>
        <v>हिमालय एंटी-हेयर फॉल शैम्पू</v>
      </c>
      <c r="D123" s="5"/>
      <c r="E123" s="2" t="s">
        <v>48</v>
      </c>
      <c r="F123" s="1">
        <v>1.0</v>
      </c>
      <c r="G123" s="3" t="s">
        <v>475</v>
      </c>
    </row>
    <row r="124">
      <c r="A124" s="3" t="s">
        <v>481</v>
      </c>
      <c r="B124" s="4" t="str">
        <f>IFERROR(__xludf.DUMMYFUNCTION("GOOGLETRANSLATE(A124, ""en"", ""te"")"),"లిస్టరిన్ కూల్ మింట్ మౌత్‌వాష్")</f>
        <v>లిస్టరిన్ కూల్ మింట్ మౌత్‌వాష్</v>
      </c>
      <c r="C124" s="4" t="str">
        <f>IFERROR(__xludf.DUMMYFUNCTION("GOOGLETRANSLATE(A124, ""en"", ""hi"")"),"लिस्टरिन कूल मिंट माउथवॉश")</f>
        <v>लिस्टरिन कूल मिंट माउथवॉश</v>
      </c>
      <c r="D124" s="5"/>
      <c r="E124" s="2" t="s">
        <v>48</v>
      </c>
      <c r="F124" s="1">
        <v>1.0</v>
      </c>
      <c r="G124" s="3" t="s">
        <v>475</v>
      </c>
    </row>
    <row r="125">
      <c r="A125" s="3" t="s">
        <v>482</v>
      </c>
      <c r="B125" s="4" t="str">
        <f>IFERROR(__xludf.DUMMYFUNCTION("GOOGLETRANSLATE(A125, ""en"", ""te"")"),"లిస్టరిన్ టోటల్ కేర్ మౌత్‌వాష్")</f>
        <v>లిస్టరిన్ టోటల్ కేర్ మౌత్‌వాష్</v>
      </c>
      <c r="C125" s="4" t="str">
        <f>IFERROR(__xludf.DUMMYFUNCTION("GOOGLETRANSLATE(A125, ""en"", ""hi"")"),"लिस्टरिन टोटल केयर माउथवॉश")</f>
        <v>लिस्टरिन टोटल केयर माउथवॉश</v>
      </c>
      <c r="D125" s="5"/>
      <c r="E125" s="2" t="s">
        <v>48</v>
      </c>
      <c r="F125" s="1">
        <v>1.0</v>
      </c>
      <c r="G125" s="3" t="s">
        <v>475</v>
      </c>
    </row>
    <row r="126">
      <c r="A126" s="3" t="s">
        <v>483</v>
      </c>
      <c r="B126" s="4" t="str">
        <f>IFERROR(__xludf.DUMMYFUNCTION("GOOGLETRANSLATE(A126, ""en"", ""te"")"),"మెస్వాక్ టూత్‌పేస్ట్")</f>
        <v>మెస్వాక్ టూత్‌పేస్ట్</v>
      </c>
      <c r="C126" s="4" t="str">
        <f>IFERROR(__xludf.DUMMYFUNCTION("GOOGLETRANSLATE(A126, ""en"", ""hi"")"),"मेसवैक टूथपेस्ट")</f>
        <v>मेसवैक टूथपेस्ट</v>
      </c>
      <c r="D126" s="5"/>
      <c r="E126" s="2" t="s">
        <v>48</v>
      </c>
      <c r="F126" s="1">
        <v>1.0</v>
      </c>
      <c r="G126" s="3" t="s">
        <v>475</v>
      </c>
    </row>
    <row r="127">
      <c r="A127" s="3" t="s">
        <v>484</v>
      </c>
      <c r="B127" s="4" t="str">
        <f>IFERROR(__xludf.DUMMYFUNCTION("GOOGLETRANSLATE(A127, ""en"", ""te"")"),"వేప టూత్‌పేస్ట్")</f>
        <v>వేప టూత్‌పేస్ట్</v>
      </c>
      <c r="C127" s="4" t="str">
        <f>IFERROR(__xludf.DUMMYFUNCTION("GOOGLETRANSLATE(A127, ""en"", ""hi"")"),"नीम टूथपेस्ट")</f>
        <v>नीम टूथपेस्ट</v>
      </c>
      <c r="D127" s="5"/>
      <c r="E127" s="2" t="s">
        <v>48</v>
      </c>
      <c r="F127" s="1">
        <v>1.0</v>
      </c>
      <c r="G127" s="3" t="s">
        <v>475</v>
      </c>
    </row>
    <row r="128">
      <c r="A128" s="3" t="s">
        <v>485</v>
      </c>
      <c r="B128" s="4" t="str">
        <f>IFERROR(__xludf.DUMMYFUNCTION("GOOGLETRANSLATE(A128, ""en"", ""te"")"),"డాబర్ రెడ్ టూత్‌పేస్ట్")</f>
        <v>డాబర్ రెడ్ టూత్‌పేస్ట్</v>
      </c>
      <c r="C128" s="4" t="str">
        <f>IFERROR(__xludf.DUMMYFUNCTION("GOOGLETRANSLATE(A128, ""en"", ""hi"")"),"डाबर रेड टूथपेस्ट")</f>
        <v>डाबर रेड टूथपेस्ट</v>
      </c>
      <c r="D128" s="5"/>
      <c r="E128" s="2" t="s">
        <v>48</v>
      </c>
      <c r="F128" s="1">
        <v>1.0</v>
      </c>
      <c r="G128" s="3" t="s">
        <v>475</v>
      </c>
    </row>
    <row r="129">
      <c r="A129" s="3" t="s">
        <v>486</v>
      </c>
      <c r="B129" s="4" t="str">
        <f>IFERROR(__xludf.DUMMYFUNCTION("GOOGLETRANSLATE(A129, ""en"", ""te"")"),"పార్‌బాయిల్డ్ బాస్మతి రైస్")</f>
        <v>పార్‌బాయిల్డ్ బాస్మతి రైస్</v>
      </c>
      <c r="C129" s="4" t="str">
        <f>IFERROR(__xludf.DUMMYFUNCTION("GOOGLETRANSLATE(A129, ""en"", ""hi"")"),"उबले हुए बासमती चावल")</f>
        <v>उबले हुए बासमती चावल</v>
      </c>
      <c r="D129" s="5"/>
      <c r="E129" s="2" t="s">
        <v>9</v>
      </c>
      <c r="F129" s="1">
        <v>1.0</v>
      </c>
      <c r="G129" s="3" t="s">
        <v>488</v>
      </c>
    </row>
    <row r="130">
      <c r="A130" s="3" t="s">
        <v>444</v>
      </c>
      <c r="B130" s="4" t="str">
        <f>IFERROR(__xludf.DUMMYFUNCTION("GOOGLETRANSLATE(A130, ""en"", ""te"")"),"ఆశీర్వాద్ గోధుమ పిండి")</f>
        <v>ఆశీర్వాద్ గోధుమ పిండి</v>
      </c>
      <c r="C130" s="4" t="str">
        <f>IFERROR(__xludf.DUMMYFUNCTION("GOOGLETRANSLATE(A130, ""en"", ""hi"")"),"आशीर्वाद होल व्हीट फ्लोर")</f>
        <v>आशीर्वाद होल व्हीट फ्लोर</v>
      </c>
      <c r="D130" s="2" t="s">
        <v>445</v>
      </c>
      <c r="E130" s="2" t="s">
        <v>67</v>
      </c>
      <c r="F130" s="1">
        <v>1.0</v>
      </c>
      <c r="G130" s="3" t="s">
        <v>488</v>
      </c>
    </row>
    <row r="131">
      <c r="A131" s="3" t="s">
        <v>489</v>
      </c>
      <c r="B131" s="4" t="str">
        <f>IFERROR(__xludf.DUMMYFUNCTION("GOOGLETRANSLATE(A131, ""en"", ""te"")"),"ఆశీర్వాద్ శుద్ధ చక్కి అట్టా")</f>
        <v>ఆశీర్వాద్ శుద్ధ చక్కి అట్టా</v>
      </c>
      <c r="C131" s="4" t="str">
        <f>IFERROR(__xludf.DUMMYFUNCTION("GOOGLETRANSLATE(A131, ""en"", ""hi"")"),"आशीर्वाद शुद्ध चक्की आटा")</f>
        <v>आशीर्वाद शुद्ध चक्की आटा</v>
      </c>
      <c r="D131" s="5"/>
      <c r="E131" s="2" t="s">
        <v>67</v>
      </c>
      <c r="F131" s="1">
        <v>1.0</v>
      </c>
      <c r="G131" s="3" t="s">
        <v>490</v>
      </c>
    </row>
    <row r="132">
      <c r="A132" s="3" t="s">
        <v>444</v>
      </c>
      <c r="B132" s="4" t="str">
        <f>IFERROR(__xludf.DUMMYFUNCTION("GOOGLETRANSLATE(A132, ""en"", ""te"")"),"ఆశీర్వాద్ గోధుమ పిండి")</f>
        <v>ఆశీర్వాద్ గోధుమ పిండి</v>
      </c>
      <c r="C132" s="4" t="str">
        <f>IFERROR(__xludf.DUMMYFUNCTION("GOOGLETRANSLATE(A132, ""en"", ""hi"")"),"आशीर्वाद होल व्हीट फ्लोर")</f>
        <v>आशीर्वाद होल व्हीट फ्लोर</v>
      </c>
      <c r="D132" s="2" t="s">
        <v>445</v>
      </c>
      <c r="E132" s="2" t="s">
        <v>67</v>
      </c>
      <c r="F132" s="1">
        <v>1.0</v>
      </c>
      <c r="G132" s="3" t="s">
        <v>490</v>
      </c>
    </row>
    <row r="133">
      <c r="A133" s="3" t="s">
        <v>491</v>
      </c>
      <c r="B133" s="4" t="str">
        <f>IFERROR(__xludf.DUMMYFUNCTION("GOOGLETRANSLATE(A133, ""en"", ""te"")"),"హిమ్సన్ క్రాఫ్ట్ కిరాణా సంచి #4")</f>
        <v>హిమ్సన్ క్రాఫ్ట్ కిరాణా సంచి #4</v>
      </c>
      <c r="C133" s="4" t="str">
        <f>IFERROR(__xludf.DUMMYFUNCTION("GOOGLETRANSLATE(A133, ""en"", ""hi"")"),"हिमसन क्राफ्ट किराना बैग #4")</f>
        <v>हिमसन क्राफ्ट किराना बैग #4</v>
      </c>
      <c r="D133" s="5"/>
      <c r="E133" s="2" t="s">
        <v>43</v>
      </c>
      <c r="F133" s="1">
        <v>1.0</v>
      </c>
      <c r="G133" s="3" t="s">
        <v>492</v>
      </c>
    </row>
    <row r="134">
      <c r="A134" s="3" t="s">
        <v>493</v>
      </c>
      <c r="B134" s="4" t="str">
        <f>IFERROR(__xludf.DUMMYFUNCTION("GOOGLETRANSLATE(A134, ""en"", ""te"")"),"బ్రౌన్ పేపర్ ప్యాకేజీ")</f>
        <v>బ్రౌన్ పేపర్ ప్యాకేజీ</v>
      </c>
      <c r="C134" s="4" t="str">
        <f>IFERROR(__xludf.DUMMYFUNCTION("GOOGLETRANSLATE(A134, ""en"", ""hi"")"),"भूरे रंग के कागज का पैकेज")</f>
        <v>भूरे रंग के कागज का पैकेज</v>
      </c>
      <c r="D134" s="5"/>
      <c r="E134" s="2" t="s">
        <v>43</v>
      </c>
      <c r="F134" s="1">
        <v>1.0</v>
      </c>
      <c r="G134" s="3" t="s">
        <v>492</v>
      </c>
    </row>
    <row r="135">
      <c r="A135" s="3" t="s">
        <v>321</v>
      </c>
      <c r="B135" s="4" t="str">
        <f>IFERROR(__xludf.DUMMYFUNCTION("GOOGLETRANSLATE(A135, ""en"", ""te"")"),"అల్యూమినియం రేకు ప్యాన్లు")</f>
        <v>అల్యూమినియం రేకు ప్యాన్లు</v>
      </c>
      <c r="C135" s="4" t="str">
        <f>IFERROR(__xludf.DUMMYFUNCTION("GOOGLETRANSLATE(A135, ""en"", ""hi"")"),"एल्युमिनियम फॉइल पैन")</f>
        <v>एल्युमिनियम फॉइल पैन</v>
      </c>
      <c r="D135" s="2" t="s">
        <v>326</v>
      </c>
      <c r="E135" s="2" t="s">
        <v>327</v>
      </c>
      <c r="F135" s="1">
        <v>1.0</v>
      </c>
      <c r="G135" s="3" t="s">
        <v>492</v>
      </c>
    </row>
    <row r="136">
      <c r="A136" s="3" t="s">
        <v>496</v>
      </c>
      <c r="B136" s="4" t="str">
        <f>IFERROR(__xludf.DUMMYFUNCTION("GOOGLETRANSLATE(A136, ""en"", ""te"")"),"గోద్రెజ్ నూపూర్ హెన్నా 100% స్వచ్ఛమైన హెన్నా")</f>
        <v>గోద్రెజ్ నూపూర్ హెన్నా 100% స్వచ్ఛమైన హెన్నా</v>
      </c>
      <c r="C136" s="4" t="str">
        <f>IFERROR(__xludf.DUMMYFUNCTION("GOOGLETRANSLATE(A136, ""en"", ""hi"")"),"गोदरेज नुपुर मेंहदी 100% शुद्ध मेंहदी")</f>
        <v>गोदरेज नुपुर मेंहदी 100% शुद्ध मेंहदी</v>
      </c>
      <c r="D136" s="5"/>
      <c r="E136" s="2" t="s">
        <v>48</v>
      </c>
      <c r="F136" s="1">
        <v>1.0</v>
      </c>
      <c r="G136" s="3" t="s">
        <v>497</v>
      </c>
    </row>
    <row r="137">
      <c r="A137" s="3" t="s">
        <v>498</v>
      </c>
      <c r="B137" s="4" t="str">
        <f>IFERROR(__xludf.DUMMYFUNCTION("GOOGLETRANSLATE(A137, ""en"", ""te"")"),"గోద్రెజ్ కాళీ మెహందీ")</f>
        <v>గోద్రెజ్ కాళీ మెహందీ</v>
      </c>
      <c r="C137" s="4" t="str">
        <f>IFERROR(__xludf.DUMMYFUNCTION("GOOGLETRANSLATE(A137, ""en"", ""hi"")"),"गोदरेज काली मेहंदी")</f>
        <v>गोदरेज काली मेहंदी</v>
      </c>
      <c r="D137" s="2" t="s">
        <v>499</v>
      </c>
      <c r="E137" s="2" t="s">
        <v>48</v>
      </c>
      <c r="F137" s="1">
        <v>1.0</v>
      </c>
      <c r="G137" s="3" t="s">
        <v>497</v>
      </c>
    </row>
    <row r="138">
      <c r="A138" s="3" t="s">
        <v>500</v>
      </c>
      <c r="B138" s="4" t="str">
        <f>IFERROR(__xludf.DUMMYFUNCTION("GOOGLETRANSLATE(A138, ""en"", ""te"")"),"నల్ల గులాబీ కాళీ మెహందీ")</f>
        <v>నల్ల గులాబీ కాళీ మెహందీ</v>
      </c>
      <c r="C138" s="4" t="str">
        <f>IFERROR(__xludf.DUMMYFUNCTION("GOOGLETRANSLATE(A138, ""en"", ""hi"")"),"काली गुलाब कली मेहंदी")</f>
        <v>काली गुलाब कली मेहंदी</v>
      </c>
      <c r="D138" s="5"/>
      <c r="E138" s="2" t="s">
        <v>48</v>
      </c>
      <c r="F138" s="1">
        <v>1.0</v>
      </c>
      <c r="G138" s="3" t="s">
        <v>497</v>
      </c>
    </row>
    <row r="139">
      <c r="A139" s="3" t="s">
        <v>502</v>
      </c>
      <c r="B139" s="4" t="str">
        <f>IFERROR(__xludf.DUMMYFUNCTION("GOOGLETRANSLATE(A139, ""en"", ""te"")"),"గోద్రెజ్ ఎక్స్‌పర్ట్ రిచ్ క్రీమ్ హెయిర్ కలర్")</f>
        <v>గోద్రెజ్ ఎక్స్‌పర్ట్ రిచ్ క్రీమ్ హెయిర్ కలర్</v>
      </c>
      <c r="C139" s="4" t="str">
        <f>IFERROR(__xludf.DUMMYFUNCTION("GOOGLETRANSLATE(A139, ""en"", ""hi"")"),"गोदरेज एक्सपर्ट रिच क्रीम हेयर कलर")</f>
        <v>गोदरेज एक्सपर्ट रिच क्रीम हेयर कलर</v>
      </c>
      <c r="D139" s="5"/>
      <c r="E139" s="2" t="s">
        <v>48</v>
      </c>
      <c r="F139" s="1">
        <v>1.0</v>
      </c>
      <c r="G139" s="3" t="s">
        <v>497</v>
      </c>
    </row>
    <row r="140">
      <c r="A140" s="3" t="s">
        <v>503</v>
      </c>
      <c r="B140" s="4" t="str">
        <f>IFERROR(__xludf.DUMMYFUNCTION("GOOGLETRANSLATE(A140, ""en"", ""te"")"),"ఫ్లాస్ పిక్స్")</f>
        <v>ఫ్లాస్ పిక్స్</v>
      </c>
      <c r="C140" s="4" t="str">
        <f>IFERROR(__xludf.DUMMYFUNCTION("GOOGLETRANSLATE(A140, ""en"", ""hi"")"),"फ्लॉस पिक्स")</f>
        <v>फ्लॉस पिक्स</v>
      </c>
      <c r="D140" s="5"/>
      <c r="E140" s="2" t="s">
        <v>43</v>
      </c>
      <c r="F140" s="1">
        <v>1.0</v>
      </c>
      <c r="G140" s="3" t="s">
        <v>497</v>
      </c>
    </row>
    <row r="141">
      <c r="A141" s="3" t="s">
        <v>504</v>
      </c>
      <c r="B141" s="4" t="str">
        <f>IFERROR(__xludf.DUMMYFUNCTION("GOOGLETRANSLATE(A141, ""en"", ""te"")"),"విల్కిన్సన్ స్వోర్డ్ క్లాసిక్ డబుల్ ఎడ్జ్ బ్లేడ్లు")</f>
        <v>విల్కిన్సన్ స్వోర్డ్ క్లాసిక్ డబుల్ ఎడ్జ్ బ్లేడ్లు</v>
      </c>
      <c r="C141" s="4" t="str">
        <f>IFERROR(__xludf.DUMMYFUNCTION("GOOGLETRANSLATE(A141, ""en"", ""hi"")"),"विल्किंसन स्वॉर्ड क्लासिक डबल एज ब्लेड्स")</f>
        <v>विल्किंसन स्वॉर्ड क्लासिक डबल एज ब्लेड्स</v>
      </c>
      <c r="D141" s="5"/>
      <c r="E141" s="2" t="s">
        <v>48</v>
      </c>
      <c r="F141" s="1">
        <v>1.0</v>
      </c>
      <c r="G141" s="3" t="s">
        <v>497</v>
      </c>
    </row>
    <row r="142">
      <c r="A142" s="3" t="s">
        <v>505</v>
      </c>
      <c r="B142" s="4" t="str">
        <f>IFERROR(__xludf.DUMMYFUNCTION("GOOGLETRANSLATE(A142, ""en"", ""te"")"),"జిల్లెట్ బ్లూ II రేజర్లు")</f>
        <v>జిల్లెట్ బ్లూ II రేజర్లు</v>
      </c>
      <c r="C142" s="4" t="str">
        <f>IFERROR(__xludf.DUMMYFUNCTION("GOOGLETRANSLATE(A142, ""en"", ""hi"")"),"जिलेट ब्लू II रेज़र")</f>
        <v>जिलेट ब्लू II रेज़र</v>
      </c>
      <c r="D142" s="5"/>
      <c r="E142" s="2" t="s">
        <v>48</v>
      </c>
      <c r="F142" s="1">
        <v>1.0</v>
      </c>
      <c r="G142" s="3" t="s">
        <v>497</v>
      </c>
    </row>
    <row r="143">
      <c r="A143" s="3" t="s">
        <v>506</v>
      </c>
      <c r="B143" s="4" t="str">
        <f>IFERROR(__xludf.DUMMYFUNCTION("GOOGLETRANSLATE(A143, ""en"", ""te"")"),"డెట్టాల్ ఒరిజినల్ లిక్విడ్ హ్యాండ్‌వాష్")</f>
        <v>డెట్టాల్ ఒరిజినల్ లిక్విడ్ హ్యాండ్‌వాష్</v>
      </c>
      <c r="C143" s="4" t="str">
        <f>IFERROR(__xludf.DUMMYFUNCTION("GOOGLETRANSLATE(A143, ""en"", ""hi"")"),"डेटॉल ओरिजिनल लिक्विड हैंडवॉश")</f>
        <v>डेटॉल ओरिजिनल लिक्विड हैंडवॉश</v>
      </c>
      <c r="D143" s="5"/>
      <c r="E143" s="2" t="s">
        <v>48</v>
      </c>
      <c r="F143" s="1">
        <v>1.0</v>
      </c>
      <c r="G143" s="3" t="s">
        <v>497</v>
      </c>
    </row>
    <row r="144">
      <c r="A144" s="3" t="s">
        <v>507</v>
      </c>
      <c r="B144" s="4" t="str">
        <f>IFERROR(__xludf.DUMMYFUNCTION("GOOGLETRANSLATE(A144, ""en"", ""te"")"),"లక్స్ వెల్వెట్ టచ్ సోప్")</f>
        <v>లక్స్ వెల్వెట్ టచ్ సోప్</v>
      </c>
      <c r="C144" s="4" t="str">
        <f>IFERROR(__xludf.DUMMYFUNCTION("GOOGLETRANSLATE(A144, ""en"", ""hi"")"),"लक्स वेलवेट टच साबुन")</f>
        <v>लक्स वेलवेट टच साबुन</v>
      </c>
      <c r="D144" s="5"/>
      <c r="E144" s="2" t="s">
        <v>48</v>
      </c>
      <c r="F144" s="1">
        <v>1.0</v>
      </c>
      <c r="G144" s="3" t="s">
        <v>508</v>
      </c>
    </row>
    <row r="145">
      <c r="A145" s="3" t="s">
        <v>509</v>
      </c>
      <c r="B145" s="4" t="str">
        <f>IFERROR(__xludf.DUMMYFUNCTION("GOOGLETRANSLATE(A145, ""en"", ""te"")"),"సంతూర్ చెప్పులు &amp; పసుపు సబ్బు")</f>
        <v>సంతూర్ చెప్పులు &amp; పసుపు సబ్బు</v>
      </c>
      <c r="C145" s="4" t="str">
        <f>IFERROR(__xludf.DUMMYFUNCTION("GOOGLETRANSLATE(A145, ""en"", ""hi"")"),"संतूर चंदन और हल्दी साबुन")</f>
        <v>संतूर चंदन और हल्दी साबुन</v>
      </c>
      <c r="D145" s="5"/>
      <c r="E145" s="2" t="s">
        <v>48</v>
      </c>
      <c r="F145" s="1">
        <v>1.0</v>
      </c>
      <c r="G145" s="3" t="s">
        <v>508</v>
      </c>
    </row>
    <row r="146">
      <c r="A146" s="3" t="s">
        <v>510</v>
      </c>
      <c r="B146" s="4" t="str">
        <f>IFERROR(__xludf.DUMMYFUNCTION("GOOGLETRANSLATE(A146, ""en"", ""te"")"),"డోవ్ క్రీమ్ బ్యూటీ బార్")</f>
        <v>డోవ్ క్రీమ్ బ్యూటీ బార్</v>
      </c>
      <c r="C146" s="4" t="str">
        <f>IFERROR(__xludf.DUMMYFUNCTION("GOOGLETRANSLATE(A146, ""en"", ""hi"")"),"डोव क्रीम ब्यूटी बार")</f>
        <v>डोव क्रीम ब्यूटी बार</v>
      </c>
      <c r="D146" s="5"/>
      <c r="E146" s="2" t="s">
        <v>48</v>
      </c>
      <c r="F146" s="1">
        <v>1.0</v>
      </c>
      <c r="G146" s="3" t="s">
        <v>508</v>
      </c>
    </row>
    <row r="147">
      <c r="A147" s="3" t="s">
        <v>511</v>
      </c>
      <c r="B147" s="4" t="str">
        <f>IFERROR(__xludf.DUMMYFUNCTION("GOOGLETRANSLATE(A147, ""en"", ""te"")"),"డోవ్ బ్యూటీ క్రీమ్ బార్ ఒరిజినల్")</f>
        <v>డోవ్ బ్యూటీ క్రీమ్ బార్ ఒరిజినల్</v>
      </c>
      <c r="C147" s="4" t="str">
        <f>IFERROR(__xludf.DUMMYFUNCTION("GOOGLETRANSLATE(A147, ""en"", ""hi"")"),"डोव ब्यूटी क्रीम बार ओरिजिनल")</f>
        <v>डोव ब्यूटी क्रीम बार ओरिजिनल</v>
      </c>
      <c r="D147" s="2" t="s">
        <v>512</v>
      </c>
      <c r="E147" s="2" t="s">
        <v>48</v>
      </c>
      <c r="F147" s="1">
        <v>1.0</v>
      </c>
      <c r="G147" s="3" t="s">
        <v>508</v>
      </c>
    </row>
    <row r="148">
      <c r="A148" s="3" t="s">
        <v>513</v>
      </c>
      <c r="B148" s="4" t="str">
        <f>IFERROR(__xludf.DUMMYFUNCTION("GOOGLETRANSLATE(A148, ""en"", ""te"")"),"డోవ్ పింక్ బ్యూటీ బార్")</f>
        <v>డోవ్ పింక్ బ్యూటీ బార్</v>
      </c>
      <c r="C148" s="4" t="str">
        <f>IFERROR(__xludf.DUMMYFUNCTION("GOOGLETRANSLATE(A148, ""en"", ""hi"")"),"डोव पिंक ब्यूटी बार")</f>
        <v>डोव पिंक ब्यूटी बार</v>
      </c>
      <c r="D148" s="5"/>
      <c r="E148" s="2" t="s">
        <v>48</v>
      </c>
      <c r="F148" s="1">
        <v>1.0</v>
      </c>
      <c r="G148" s="3" t="s">
        <v>508</v>
      </c>
    </row>
    <row r="149">
      <c r="A149" s="3" t="s">
        <v>514</v>
      </c>
      <c r="B149" s="4" t="str">
        <f>IFERROR(__xludf.DUMMYFUNCTION("GOOGLETRANSLATE(A149, ""en"", ""te"")"),"డోవ్ సెన్సిటివ్ బ్యూటీ బార్")</f>
        <v>డోవ్ సెన్సిటివ్ బ్యూటీ బార్</v>
      </c>
      <c r="C149" s="4" t="str">
        <f>IFERROR(__xludf.DUMMYFUNCTION("GOOGLETRANSLATE(A149, ""en"", ""hi"")"),"डव सेंसिटिव ब्यूटी बार")</f>
        <v>डव सेंसिटिव ब्यूटी बार</v>
      </c>
      <c r="D149" s="5"/>
      <c r="E149" s="2" t="s">
        <v>48</v>
      </c>
      <c r="F149" s="1">
        <v>1.0</v>
      </c>
      <c r="G149" s="3" t="s">
        <v>508</v>
      </c>
    </row>
    <row r="150">
      <c r="A150" s="3" t="s">
        <v>515</v>
      </c>
      <c r="B150" s="4" t="str">
        <f>IFERROR(__xludf.DUMMYFUNCTION("GOOGLETRANSLATE(A150, ""en"", ""te"")"),"డోవ్ మెన్+కేర్ క్లీన్ కంఫర్ట్ ఫేస్ &amp; బాడీ బార్")</f>
        <v>డోవ్ మెన్+కేర్ క్లీన్ కంఫర్ట్ ఫేస్ &amp; బాడీ బార్</v>
      </c>
      <c r="C150" s="4" t="str">
        <f>IFERROR(__xludf.DUMMYFUNCTION("GOOGLETRANSLATE(A150, ""en"", ""hi"")"),"डव मेन+केयर क्लीन कम्फर्ट फेस एंड बॉडी बार")</f>
        <v>डव मेन+केयर क्लीन कम्फर्ट फेस एंड बॉडी बार</v>
      </c>
      <c r="D150" s="5"/>
      <c r="E150" s="2" t="s">
        <v>48</v>
      </c>
      <c r="F150" s="1">
        <v>1.0</v>
      </c>
      <c r="G150" s="3" t="s">
        <v>508</v>
      </c>
    </row>
    <row r="151">
      <c r="A151" s="3" t="s">
        <v>471</v>
      </c>
      <c r="B151" s="4" t="str">
        <f>IFERROR(__xludf.DUMMYFUNCTION("GOOGLETRANSLATE(A151, ""en"", ""te"")"),"పియర్స్ ప్యూర్ &amp; జెంటిల్ సోప్")</f>
        <v>పియర్స్ ప్యూర్ &amp; జెంటిల్ సోప్</v>
      </c>
      <c r="C151" s="4" t="str">
        <f>IFERROR(__xludf.DUMMYFUNCTION("GOOGLETRANSLATE(A151, ""en"", ""hi"")"),"पियर्स प्योर एंड जेंटल सोप")</f>
        <v>पियर्स प्योर एंड जेंटल सोप</v>
      </c>
      <c r="D151" s="5"/>
      <c r="E151" s="2" t="s">
        <v>48</v>
      </c>
      <c r="F151" s="1">
        <v>1.0</v>
      </c>
      <c r="G151" s="3" t="s">
        <v>508</v>
      </c>
    </row>
    <row r="152">
      <c r="A152" s="3" t="s">
        <v>516</v>
      </c>
      <c r="B152" s="4" t="str">
        <f>IFERROR(__xludf.DUMMYFUNCTION("GOOGLETRANSLATE(A152, ""en"", ""te"")"),"కోల్గేట్ చార్కోల్ క్లీన్ టూత్‌పేస్ట్")</f>
        <v>కోల్గేట్ చార్కోల్ క్లీన్ టూత్‌పేస్ట్</v>
      </c>
      <c r="C152" s="4" t="str">
        <f>IFERROR(__xludf.DUMMYFUNCTION("GOOGLETRANSLATE(A152, ""en"", ""hi"")"),"कोलगेट चारकोल क्लीन टूथपेस्ट")</f>
        <v>कोलगेट चारकोल क्लीन टूथपेस्ट</v>
      </c>
      <c r="D152" s="2" t="s">
        <v>517</v>
      </c>
      <c r="E152" s="2" t="s">
        <v>48</v>
      </c>
      <c r="F152" s="1">
        <v>1.0</v>
      </c>
      <c r="G152" s="3" t="s">
        <v>518</v>
      </c>
    </row>
    <row r="153">
      <c r="A153" s="3" t="s">
        <v>519</v>
      </c>
      <c r="B153" s="4" t="str">
        <f>IFERROR(__xludf.DUMMYFUNCTION("GOOGLETRANSLATE(A153, ""en"", ""te"")"),"కోల్గేట్ హెర్బల్ టూత్‌పేస్ట్")</f>
        <v>కోల్గేట్ హెర్బల్ టూత్‌పేస్ట్</v>
      </c>
      <c r="C153" s="4" t="str">
        <f>IFERROR(__xludf.DUMMYFUNCTION("GOOGLETRANSLATE(A153, ""en"", ""hi"")"),"कोलगेट हर्बल टूथपेस्ट")</f>
        <v>कोलगेट हर्बल टूथपेस्ट</v>
      </c>
      <c r="D153" s="5"/>
      <c r="E153" s="2" t="s">
        <v>48</v>
      </c>
      <c r="F153" s="1">
        <v>1.0</v>
      </c>
      <c r="G153" s="3" t="s">
        <v>518</v>
      </c>
    </row>
    <row r="154">
      <c r="A154" s="3" t="s">
        <v>520</v>
      </c>
      <c r="B154" s="4" t="str">
        <f>IFERROR(__xludf.DUMMYFUNCTION("GOOGLETRANSLATE(A154, ""en"", ""te"")"),"కోల్గేట్ యాక్టివ్ సాల్ట్ టూత్‌పేస్ట్")</f>
        <v>కోల్గేట్ యాక్టివ్ సాల్ట్ టూత్‌పేస్ట్</v>
      </c>
      <c r="C154" s="4" t="str">
        <f>IFERROR(__xludf.DUMMYFUNCTION("GOOGLETRANSLATE(A154, ""en"", ""hi"")"),"कोलगेट एक्टिव सॉल्ट टूथपेस्ट")</f>
        <v>कोलगेट एक्टिव सॉल्ट टूथपेस्ट</v>
      </c>
      <c r="D154" s="5"/>
      <c r="E154" s="2" t="s">
        <v>48</v>
      </c>
      <c r="F154" s="1">
        <v>1.0</v>
      </c>
      <c r="G154" s="3" t="s">
        <v>518</v>
      </c>
    </row>
    <row r="155">
      <c r="A155" s="3" t="s">
        <v>521</v>
      </c>
      <c r="B155" s="4" t="str">
        <f>IFERROR(__xludf.DUMMYFUNCTION("GOOGLETRANSLATE(A155, ""en"", ""te"")"),"కోల్గేట్ స్ట్రాంగ్ టీత్ టూత్‌పేస్ట్")</f>
        <v>కోల్గేట్ స్ట్రాంగ్ టీత్ టూత్‌పేస్ట్</v>
      </c>
      <c r="C155" s="4" t="str">
        <f>IFERROR(__xludf.DUMMYFUNCTION("GOOGLETRANSLATE(A155, ""en"", ""hi"")"),"कोलगेट स्ट्रॉन्ग टीथ टूथपेस्ट")</f>
        <v>कोलगेट स्ट्रॉन्ग टीथ टूथपेस्ट</v>
      </c>
      <c r="D155" s="5"/>
      <c r="E155" s="2" t="s">
        <v>48</v>
      </c>
      <c r="F155" s="1">
        <v>1.0</v>
      </c>
      <c r="G155" s="3" t="s">
        <v>518</v>
      </c>
    </row>
    <row r="156">
      <c r="A156" s="3" t="s">
        <v>522</v>
      </c>
      <c r="B156" s="4" t="str">
        <f>IFERROR(__xludf.DUMMYFUNCTION("GOOGLETRANSLATE(A156, ""en"", ""te"")"),"పతంజలి దాంట్ కాంతి సహజ టూత్‌పేస్ట్")</f>
        <v>పతంజలి దాంట్ కాంతి సహజ టూత్‌పేస్ట్</v>
      </c>
      <c r="C156" s="4" t="str">
        <f>IFERROR(__xludf.DUMMYFUNCTION("GOOGLETRANSLATE(A156, ""en"", ""hi"")"),"पतंजलि दंत कांति प्राकृतिक टूथपेस्ट")</f>
        <v>पतंजलि दंत कांति प्राकृतिक टूथपेस्ट</v>
      </c>
      <c r="D156" s="5"/>
      <c r="E156" s="2" t="s">
        <v>48</v>
      </c>
      <c r="F156" s="1">
        <v>1.0</v>
      </c>
      <c r="G156" s="3" t="s">
        <v>518</v>
      </c>
    </row>
    <row r="157">
      <c r="A157" s="3" t="s">
        <v>489</v>
      </c>
      <c r="B157" s="4" t="str">
        <f>IFERROR(__xludf.DUMMYFUNCTION("GOOGLETRANSLATE(A157, ""en"", ""te"")"),"ఆశీర్వాద్ శుద్ధ చక్కి అట్టా")</f>
        <v>ఆశీర్వాద్ శుద్ధ చక్కి అట్టా</v>
      </c>
      <c r="C157" s="4" t="str">
        <f>IFERROR(__xludf.DUMMYFUNCTION("GOOGLETRANSLATE(A157, ""en"", ""hi"")"),"आशीर्वाद शुद्ध चक्की आटा")</f>
        <v>आशीर्वाद शुद्ध चक्की आटा</v>
      </c>
      <c r="D157" s="5"/>
      <c r="E157" s="2" t="s">
        <v>67</v>
      </c>
      <c r="F157" s="1">
        <v>1.0</v>
      </c>
      <c r="G157" s="3" t="s">
        <v>524</v>
      </c>
    </row>
    <row r="158">
      <c r="A158" s="3" t="s">
        <v>436</v>
      </c>
      <c r="B158" s="4" t="str">
        <f>IFERROR(__xludf.DUMMYFUNCTION("GOOGLETRANSLATE(A158, ""en"", ""te"")"),"బంగారు పిండి")</f>
        <v>బంగారు పిండి</v>
      </c>
      <c r="C158" s="4" t="str">
        <f>IFERROR(__xludf.DUMMYFUNCTION("GOOGLETRANSLATE(A158, ""en"", ""hi"")"),"गोल्ड आटा")</f>
        <v>गोल्ड आटा</v>
      </c>
      <c r="D158" s="5"/>
      <c r="E158" s="2" t="s">
        <v>67</v>
      </c>
      <c r="F158" s="1">
        <v>1.0</v>
      </c>
      <c r="G158" s="3" t="s">
        <v>524</v>
      </c>
    </row>
    <row r="159">
      <c r="A159" s="3" t="s">
        <v>444</v>
      </c>
      <c r="B159" s="4" t="str">
        <f>IFERROR(__xludf.DUMMYFUNCTION("GOOGLETRANSLATE(A159, ""en"", ""te"")"),"ఆశీర్వాద్ గోధుమ పిండి")</f>
        <v>ఆశీర్వాద్ గోధుమ పిండి</v>
      </c>
      <c r="C159" s="4" t="str">
        <f>IFERROR(__xludf.DUMMYFUNCTION("GOOGLETRANSLATE(A159, ""en"", ""hi"")"),"आशीर्वाद होल व्हीट फ्लोर")</f>
        <v>आशीर्वाद होल व्हीट फ्लोर</v>
      </c>
      <c r="D159" s="2" t="s">
        <v>445</v>
      </c>
      <c r="E159" s="2" t="s">
        <v>67</v>
      </c>
      <c r="F159" s="1">
        <v>1.0</v>
      </c>
      <c r="G159" s="3" t="s">
        <v>530</v>
      </c>
    </row>
    <row r="160">
      <c r="A160" s="3" t="s">
        <v>532</v>
      </c>
      <c r="B160" s="4" t="str">
        <f>IFERROR(__xludf.DUMMYFUNCTION("GOOGLETRANSLATE(A160, ""en"", ""te"")"),"హింబ్సన్ బ్లూ నైట్రైల్ గ్లోవ్స్ ఎక్స్-లార్జ్")</f>
        <v>హింబ్సన్ బ్లూ నైట్రైల్ గ్లోవ్స్ ఎక్స్-లార్జ్</v>
      </c>
      <c r="C160" s="4" t="str">
        <f>IFERROR(__xludf.DUMMYFUNCTION("GOOGLETRANSLATE(A160, ""en"", ""hi"")"),"हिम्सॉन ब्लू नाइट्राइल ग्लव्स एक्स-लार्ज")</f>
        <v>हिम्सॉन ब्लू नाइट्राइल ग्लव्स एक्स-लार्ज</v>
      </c>
      <c r="D160" s="5"/>
      <c r="E160" s="2" t="s">
        <v>43</v>
      </c>
      <c r="F160" s="1">
        <v>1.0</v>
      </c>
      <c r="G160" s="3" t="s">
        <v>44</v>
      </c>
    </row>
    <row r="161">
      <c r="A161" s="3" t="s">
        <v>535</v>
      </c>
      <c r="B161" s="4" t="str">
        <f>IFERROR(__xludf.DUMMYFUNCTION("GOOGLETRANSLATE(A161, ""en"", ""te"")"),"డెట్టాల్ యాంటీసెప్టిక్ వాల్యూ రీఫిల్")</f>
        <v>డెట్టాల్ యాంటీసెప్టిక్ వాల్యూ రీఫిల్</v>
      </c>
      <c r="C161" s="4" t="str">
        <f>IFERROR(__xludf.DUMMYFUNCTION("GOOGLETRANSLATE(A161, ""en"", ""hi"")"),"डेटॉल एंटीसेप्टिक वैल्यू रिफिल")</f>
        <v>डेटॉल एंटीसेप्टिक वैल्यू रिफिल</v>
      </c>
      <c r="D161" s="5"/>
      <c r="E161" s="2" t="s">
        <v>43</v>
      </c>
      <c r="F161" s="1">
        <v>1.0</v>
      </c>
      <c r="G161" s="3" t="s">
        <v>44</v>
      </c>
    </row>
    <row r="162">
      <c r="A162" s="3" t="s">
        <v>537</v>
      </c>
      <c r="B162" s="4" t="str">
        <f>IFERROR(__xludf.DUMMYFUNCTION("GOOGLETRANSLATE(A162, ""en"", ""te"")"),"వాటికా అర్గాన్ సుసంపన్నమైన హెయిర్ ఆయిల్")</f>
        <v>వాటికా అర్గాన్ సుసంపన్నమైన హెయిర్ ఆయిల్</v>
      </c>
      <c r="C162" s="4" t="str">
        <f>IFERROR(__xludf.DUMMYFUNCTION("GOOGLETRANSLATE(A162, ""en"", ""hi"")"),"वाटिका आर्गन समृद्ध हेयर ऑयल")</f>
        <v>वाटिका आर्गन समृद्ध हेयर ऑयल</v>
      </c>
      <c r="D162" s="5"/>
      <c r="E162" s="2" t="s">
        <v>48</v>
      </c>
      <c r="F162" s="1">
        <v>1.0</v>
      </c>
      <c r="G162" s="3" t="s">
        <v>49</v>
      </c>
    </row>
    <row r="163">
      <c r="A163" s="3" t="s">
        <v>540</v>
      </c>
      <c r="B163" s="4" t="str">
        <f>IFERROR(__xludf.DUMMYFUNCTION("GOOGLETRANSLATE(A163, ""en"", ""te"")"),"వాటికా బ్లాక్ సీడ్ ఎన్రిచ్డ్ హెయిర్ ఆయిల్")</f>
        <v>వాటికా బ్లాక్ సీడ్ ఎన్రిచ్డ్ హెయిర్ ఆయిల్</v>
      </c>
      <c r="C163" s="4" t="str">
        <f>IFERROR(__xludf.DUMMYFUNCTION("GOOGLETRANSLATE(A163, ""en"", ""hi"")"),"वाटिका ब्लैक सीड एनरिच्ड हेयर ऑयल")</f>
        <v>वाटिका ब्लैक सीड एनरिच्ड हेयर ऑयल</v>
      </c>
      <c r="D163" s="2" t="s">
        <v>62</v>
      </c>
      <c r="E163" s="2" t="s">
        <v>48</v>
      </c>
      <c r="F163" s="1">
        <v>1.0</v>
      </c>
      <c r="G163" s="3" t="s">
        <v>49</v>
      </c>
    </row>
    <row r="164">
      <c r="A164" s="3" t="s">
        <v>542</v>
      </c>
      <c r="B164" s="4" t="str">
        <f>IFERROR(__xludf.DUMMYFUNCTION("GOOGLETRANSLATE(A164, ""en"", ""te"")"),"హిమానీ నవరత్న ఆయుర్వేదిక్ ఆయిల్")</f>
        <v>హిమానీ నవరత్న ఆయుర్వేదిక్ ఆయిల్</v>
      </c>
      <c r="C164" s="4" t="str">
        <f>IFERROR(__xludf.DUMMYFUNCTION("GOOGLETRANSLATE(A164, ""en"", ""hi"")"),"हिमानी नवरत्न आयुर्वेदिक तेल")</f>
        <v>हिमानी नवरत्न आयुर्वेदिक तेल</v>
      </c>
      <c r="D164" s="5"/>
      <c r="E164" s="2" t="s">
        <v>54</v>
      </c>
      <c r="F164" s="1">
        <v>1.0</v>
      </c>
      <c r="G164" s="3" t="s">
        <v>57</v>
      </c>
    </row>
    <row r="165">
      <c r="A165" s="3" t="s">
        <v>546</v>
      </c>
      <c r="B165" s="4" t="str">
        <f>IFERROR(__xludf.DUMMYFUNCTION("GOOGLETRANSLATE(A165, ""en"", ""te"")"),"పారాచూట్ అడ్వాన్స్‌డ్ హాట్ ఆయిల్")</f>
        <v>పారాచూట్ అడ్వాన్స్‌డ్ హాట్ ఆయిల్</v>
      </c>
      <c r="C165" s="4" t="str">
        <f>IFERROR(__xludf.DUMMYFUNCTION("GOOGLETRANSLATE(A165, ""en"", ""hi"")"),"पैराशूट एडवांस्ड हॉट ऑयल")</f>
        <v>पैराशूट एडवांस्ड हॉट ऑयल</v>
      </c>
      <c r="D165" s="2" t="s">
        <v>62</v>
      </c>
      <c r="E165" s="2" t="s">
        <v>54</v>
      </c>
      <c r="F165" s="1">
        <v>1.0</v>
      </c>
      <c r="G165" s="3" t="s">
        <v>57</v>
      </c>
    </row>
    <row r="166">
      <c r="A166" s="3" t="s">
        <v>548</v>
      </c>
      <c r="B166" s="4" t="str">
        <f>IFERROR(__xludf.DUMMYFUNCTION("GOOGLETRANSLATE(A166, ""en"", ""te"")"),"పతంజలి కేశ కాంతి టెల్")</f>
        <v>పతంజలి కేశ కాంతి టెల్</v>
      </c>
      <c r="C166" s="4" t="str">
        <f>IFERROR(__xludf.DUMMYFUNCTION("GOOGLETRANSLATE(A166, ""en"", ""hi"")"),"पतंजलि केश कांति दूरभाष")</f>
        <v>पतंजलि केश कांति दूरभाष</v>
      </c>
      <c r="D166" s="5"/>
      <c r="E166" s="2" t="s">
        <v>54</v>
      </c>
      <c r="F166" s="1">
        <v>1.0</v>
      </c>
      <c r="G166" s="3" t="s">
        <v>57</v>
      </c>
    </row>
    <row r="167">
      <c r="A167" s="3" t="s">
        <v>555</v>
      </c>
      <c r="B167" s="4" t="str">
        <f>IFERROR(__xludf.DUMMYFUNCTION("GOOGLETRANSLATE(A167, ""en"", ""te"")"),"డాబర్ ఆమ్లా జాస్మిన్ హెయిర్ ఆయిల్")</f>
        <v>డాబర్ ఆమ్లా జాస్మిన్ హెయిర్ ఆయిల్</v>
      </c>
      <c r="C167" s="4" t="str">
        <f>IFERROR(__xludf.DUMMYFUNCTION("GOOGLETRANSLATE(A167, ""en"", ""hi"")"),"डाबर आंवला जैस्मीन हेयर ऑयल")</f>
        <v>डाबर आंवला जैस्मीन हेयर ऑयल</v>
      </c>
      <c r="D167" s="2" t="s">
        <v>62</v>
      </c>
      <c r="E167" s="2" t="s">
        <v>48</v>
      </c>
      <c r="F167" s="1">
        <v>1.0</v>
      </c>
      <c r="G167" s="3" t="s">
        <v>63</v>
      </c>
    </row>
    <row r="168">
      <c r="A168" s="3" t="s">
        <v>560</v>
      </c>
      <c r="B168" s="4" t="str">
        <f>IFERROR(__xludf.DUMMYFUNCTION("GOOGLETRANSLATE(A168, ""en"", ""te"")"),"కియో కార్పిన్ నాన్-స్టిక్కీ హెయిర్ ఆయిల్")</f>
        <v>కియో కార్పిన్ నాన్-స్టిక్కీ హెయిర్ ఆయిల్</v>
      </c>
      <c r="C168" s="4" t="str">
        <f>IFERROR(__xludf.DUMMYFUNCTION("GOOGLETRANSLATE(A168, ""en"", ""hi"")"),"केओ कार्पिन नॉन-स्टिकी हेयर ऑयल")</f>
        <v>केओ कार्पिन नॉन-स्टिकी हेयर ऑयल</v>
      </c>
      <c r="D168" s="2" t="s">
        <v>62</v>
      </c>
      <c r="E168" s="2" t="s">
        <v>48</v>
      </c>
      <c r="F168" s="1">
        <v>1.0</v>
      </c>
      <c r="G168" s="3" t="s">
        <v>63</v>
      </c>
    </row>
    <row r="169">
      <c r="A169" s="3" t="s">
        <v>565</v>
      </c>
      <c r="B169" s="4" t="str">
        <f>IFERROR(__xludf.DUMMYFUNCTION("GOOGLETRANSLATE(A169, ""en"", ""te"")"),"డాబర్ ఆమ్లా హెయిర్ ఫాల్ కంట్రోల్ హెయిర్ ఆయిల్")</f>
        <v>డాబర్ ఆమ్లా హెయిర్ ఫాల్ కంట్రోల్ హెయిర్ ఆయిల్</v>
      </c>
      <c r="C169" s="4" t="str">
        <f>IFERROR(__xludf.DUMMYFUNCTION("GOOGLETRANSLATE(A169, ""en"", ""hi"")"),"डाबर आंवला हेयर फॉल कंट्रोल हेयर ऑयल")</f>
        <v>डाबर आंवला हेयर फॉल कंट्रोल हेयर ऑयल</v>
      </c>
      <c r="D169" s="5"/>
      <c r="E169" s="2" t="s">
        <v>48</v>
      </c>
      <c r="F169" s="1">
        <v>1.0</v>
      </c>
      <c r="G169" s="3" t="s">
        <v>63</v>
      </c>
    </row>
    <row r="170">
      <c r="A170" s="3" t="s">
        <v>586</v>
      </c>
      <c r="B170" s="4" t="str">
        <f>IFERROR(__xludf.DUMMYFUNCTION("GOOGLETRANSLATE(A170, ""en"", ""te"")"),"మ్యాజిక్ బిన్స్ పొడవైన వంటగది సంచులు 13 గ్యాలన్లు")</f>
        <v>మ్యాజిక్ బిన్స్ పొడవైన వంటగది సంచులు 13 గ్యాలన్లు</v>
      </c>
      <c r="C170" s="4" t="str">
        <f>IFERROR(__xludf.DUMMYFUNCTION("GOOGLETRANSLATE(A170, ""en"", ""hi"")"),"मैजिक बिन्स टॉल किचन बैग 13 गैलन")</f>
        <v>मैजिक बिन्स टॉल किचन बैग 13 गैलन</v>
      </c>
      <c r="D170" s="5"/>
      <c r="E170" s="2" t="s">
        <v>43</v>
      </c>
      <c r="F170" s="1">
        <v>1.0</v>
      </c>
      <c r="G170" s="3" t="s">
        <v>588</v>
      </c>
    </row>
    <row r="171">
      <c r="A171" s="3" t="s">
        <v>589</v>
      </c>
      <c r="B171" s="4" t="str">
        <f>IFERROR(__xludf.DUMMYFUNCTION("GOOGLETRANSLATE(A171, ""en"", ""te"")"),"ఆయుర్ హెర్బల్ స్కిన్ టోనర్ &amp; ఆస్ట్రింజెంట్ (బాక్సులు)")</f>
        <v>ఆయుర్ హెర్బల్ స్కిన్ టోనర్ &amp; ఆస్ట్రింజెంట్ (బాక్సులు)</v>
      </c>
      <c r="C171" s="4" t="str">
        <f>IFERROR(__xludf.DUMMYFUNCTION("GOOGLETRANSLATE(A171, ""en"", ""hi"")"),"आयुर् हर्बल स्किन टोनर और एस्ट्रिंजेंट (बॉक्स)")</f>
        <v>आयुर् हर्बल स्किन टोनर और एस्ट्रिंजेंट (बॉक्स)</v>
      </c>
      <c r="D171" s="5"/>
      <c r="E171" s="2" t="s">
        <v>48</v>
      </c>
      <c r="F171" s="1">
        <v>1.0</v>
      </c>
      <c r="G171" s="3" t="s">
        <v>588</v>
      </c>
    </row>
    <row r="172">
      <c r="A172" s="3" t="s">
        <v>591</v>
      </c>
      <c r="B172" s="4" t="str">
        <f>IFERROR(__xludf.DUMMYFUNCTION("GOOGLETRANSLATE(A172, ""en"", ""te"")"),"హార్పిక్ పవర్ ప్లస్ 10x టాయిలెట్ క్లీనర్")</f>
        <v>హార్పిక్ పవర్ ప్లస్ 10x టాయిలెట్ క్లీనర్</v>
      </c>
      <c r="C172" s="4" t="str">
        <f>IFERROR(__xludf.DUMMYFUNCTION("GOOGLETRANSLATE(A172, ""en"", ""hi"")"),"हार्पिक पावर प्लस 10x टॉयलेट क्लीनर")</f>
        <v>हार्पिक पावर प्लस 10x टॉयलेट क्लीनर</v>
      </c>
      <c r="D172" s="2" t="s">
        <v>593</v>
      </c>
      <c r="E172" s="2" t="s">
        <v>43</v>
      </c>
      <c r="F172" s="1">
        <v>1.0</v>
      </c>
      <c r="G172" s="3" t="s">
        <v>594</v>
      </c>
    </row>
    <row r="173">
      <c r="A173" s="3" t="s">
        <v>595</v>
      </c>
      <c r="B173" s="4" t="str">
        <f>IFERROR(__xludf.DUMMYFUNCTION("GOOGLETRANSLATE(A173, ""en"", ""te"")"),"లత్తాఫా పెర్ఫ్యూమ్డ్ బాడీ స్ప్రే")</f>
        <v>లత్తాఫా పెర్ఫ్యూమ్డ్ బాడీ స్ప్రే</v>
      </c>
      <c r="C173" s="4" t="str">
        <f>IFERROR(__xludf.DUMMYFUNCTION("GOOGLETRANSLATE(A173, ""en"", ""hi"")"),"लत्ताफा परफ्यूम्ड बॉडी स्प्रे")</f>
        <v>लत्ताफा परफ्यूम्ड बॉडी स्प्रे</v>
      </c>
      <c r="D173" s="5"/>
      <c r="E173" s="2" t="s">
        <v>48</v>
      </c>
      <c r="F173" s="1">
        <v>1.0</v>
      </c>
      <c r="G173" s="3" t="s">
        <v>594</v>
      </c>
    </row>
    <row r="174">
      <c r="A174" s="3" t="s">
        <v>597</v>
      </c>
      <c r="B174" s="4" t="str">
        <f>IFERROR(__xludf.DUMMYFUNCTION("GOOGLETRANSLATE(A174, ""en"", ""te"")"),"ఎంచాంట్యూర్ పెర్ఫ్యూమ్డ్ డియో స్ప్రే")</f>
        <v>ఎంచాంట్యూర్ పెర్ఫ్యూమ్డ్ డియో స్ప్రే</v>
      </c>
      <c r="C174" s="4" t="str">
        <f>IFERROR(__xludf.DUMMYFUNCTION("GOOGLETRANSLATE(A174, ""en"", ""hi"")"),"एनचैंटर परफ्यूम्ड डियो स्प्रे")</f>
        <v>एनचैंटर परफ्यूम्ड डियो स्प्रे</v>
      </c>
      <c r="D174" s="5"/>
      <c r="E174" s="2" t="s">
        <v>48</v>
      </c>
      <c r="F174" s="1">
        <v>1.0</v>
      </c>
      <c r="G174" s="3" t="s">
        <v>594</v>
      </c>
    </row>
    <row r="175">
      <c r="A175" s="3" t="s">
        <v>599</v>
      </c>
      <c r="B175" s="4" t="str">
        <f>IFERROR(__xludf.DUMMYFUNCTION("GOOGLETRANSLATE(A175, ""en"", ""te"")"),"డెట్టాల్ లాథర్ షేవింగ్ క్రీమ్")</f>
        <v>డెట్టాల్ లాథర్ షేవింగ్ క్రీమ్</v>
      </c>
      <c r="C175" s="4" t="str">
        <f>IFERROR(__xludf.DUMMYFUNCTION("GOOGLETRANSLATE(A175, ""en"", ""hi"")"),"डेटॉल लैदर शेविंग क्रीम")</f>
        <v>डेटॉल लैदर शेविंग क्रीम</v>
      </c>
      <c r="D175" s="5"/>
      <c r="E175" s="2" t="s">
        <v>48</v>
      </c>
      <c r="F175" s="1">
        <v>1.0</v>
      </c>
      <c r="G175" s="3" t="s">
        <v>600</v>
      </c>
    </row>
    <row r="176">
      <c r="A176" s="3" t="s">
        <v>601</v>
      </c>
      <c r="B176" s="4" t="str">
        <f>IFERROR(__xludf.DUMMYFUNCTION("GOOGLETRANSLATE(A176, ""en"", ""te"")"),"యాక్స్ డియోడరెంట్ బాడీ స్ప్రే")</f>
        <v>యాక్స్ డియోడరెంట్ బాడీ స్ప్రే</v>
      </c>
      <c r="C176" s="4" t="str">
        <f>IFERROR(__xludf.DUMMYFUNCTION("GOOGLETRANSLATE(A176, ""en"", ""hi"")"),"एक्स डिओडोरेंट बॉडी स्प्रे")</f>
        <v>एक्स डिओडोरेंट बॉडी स्प्रे</v>
      </c>
      <c r="D176" s="5"/>
      <c r="E176" s="2" t="s">
        <v>48</v>
      </c>
      <c r="F176" s="1">
        <v>1.0</v>
      </c>
      <c r="G176" s="3" t="s">
        <v>600</v>
      </c>
    </row>
    <row r="177">
      <c r="A177" s="3" t="s">
        <v>603</v>
      </c>
      <c r="B177" s="4" t="str">
        <f>IFERROR(__xludf.DUMMYFUNCTION("GOOGLETRANSLATE(A177, ""en"", ""te"")"),"లత్తాఫా యారా పెర్ఫ్యూమ్ స్ప్రే")</f>
        <v>లత్తాఫా యారా పెర్ఫ్యూమ్ స్ప్రే</v>
      </c>
      <c r="C177" s="4" t="str">
        <f>IFERROR(__xludf.DUMMYFUNCTION("GOOGLETRANSLATE(A177, ""en"", ""hi"")"),"लत्ताफा यारा परफ्यूम स्प्रे")</f>
        <v>लत्ताफा यारा परफ्यूम स्प्रे</v>
      </c>
      <c r="D177" s="5"/>
      <c r="E177" s="2" t="s">
        <v>48</v>
      </c>
      <c r="F177" s="1">
        <v>1.0</v>
      </c>
      <c r="G177" s="3" t="s">
        <v>600</v>
      </c>
    </row>
    <row r="178">
      <c r="A178" s="3" t="s">
        <v>606</v>
      </c>
      <c r="B178" s="4" t="str">
        <f>IFERROR(__xludf.DUMMYFUNCTION("GOOGLETRANSLATE(A178, ""en"", ""te"")"),"రిన్ డిటర్జెంట్ బార్")</f>
        <v>రిన్ డిటర్జెంట్ బార్</v>
      </c>
      <c r="C178" s="4" t="str">
        <f>IFERROR(__xludf.DUMMYFUNCTION("GOOGLETRANSLATE(A178, ""en"", ""hi"")"),"रिन डिटर्जेंट बार")</f>
        <v>रिन डिटर्जेंट बार</v>
      </c>
      <c r="D178" s="5"/>
      <c r="E178" s="2" t="s">
        <v>43</v>
      </c>
      <c r="F178" s="1">
        <v>1.0</v>
      </c>
      <c r="G178" s="3" t="s">
        <v>608</v>
      </c>
    </row>
    <row r="179">
      <c r="A179" s="3" t="s">
        <v>609</v>
      </c>
      <c r="B179" s="4" t="str">
        <f>IFERROR(__xludf.DUMMYFUNCTION("GOOGLETRANSLATE(A179, ""en"", ""te"")"),"ఆయుర్ దోసకాయ ఫేస్ ప్యాక్")</f>
        <v>ఆయుర్ దోసకాయ ఫేస్ ప్యాక్</v>
      </c>
      <c r="C179" s="4" t="str">
        <f>IFERROR(__xludf.DUMMYFUNCTION("GOOGLETRANSLATE(A179, ""en"", ""hi"")"),"आयुर् खीरा फेस पैक")</f>
        <v>आयुर् खीरा फेस पैक</v>
      </c>
      <c r="D179" s="2" t="s">
        <v>610</v>
      </c>
      <c r="E179" s="2" t="s">
        <v>48</v>
      </c>
      <c r="F179" s="1">
        <v>1.0</v>
      </c>
      <c r="G179" s="3" t="s">
        <v>608</v>
      </c>
    </row>
    <row r="180">
      <c r="A180" s="3" t="s">
        <v>611</v>
      </c>
      <c r="B180" s="4" t="str">
        <f>IFERROR(__xludf.DUMMYFUNCTION("GOOGLETRANSLATE(A180, ""en"", ""te"")"),"ఆయుర్ రోజ్ ఫేస్ ప్యాక్")</f>
        <v>ఆయుర్ రోజ్ ఫేస్ ప్యాక్</v>
      </c>
      <c r="C180" s="4" t="str">
        <f>IFERROR(__xludf.DUMMYFUNCTION("GOOGLETRANSLATE(A180, ""en"", ""hi"")"),"आयुर् रोज़ फेस पैक")</f>
        <v>आयुर् रोज़ फेस पैक</v>
      </c>
      <c r="D180" s="2" t="s">
        <v>613</v>
      </c>
      <c r="E180" s="2" t="s">
        <v>48</v>
      </c>
      <c r="F180" s="1">
        <v>1.0</v>
      </c>
      <c r="G180" s="3" t="s">
        <v>608</v>
      </c>
    </row>
    <row r="181">
      <c r="A181" s="3" t="s">
        <v>614</v>
      </c>
      <c r="B181" s="4" t="str">
        <f>IFERROR(__xludf.DUMMYFUNCTION("GOOGLETRANSLATE(A181, ""en"", ""te"")"),"ఆయుర్ వేప ఫేస్ ప్యాక్")</f>
        <v>ఆయుర్ వేప ఫేస్ ప్యాక్</v>
      </c>
      <c r="C181" s="4" t="str">
        <f>IFERROR(__xludf.DUMMYFUNCTION("GOOGLETRANSLATE(A181, ""en"", ""hi"")"),"आयुर् नीम फेस पैक")</f>
        <v>आयुर् नीम फेस पैक</v>
      </c>
      <c r="D181" s="2" t="s">
        <v>616</v>
      </c>
      <c r="E181" s="2" t="s">
        <v>48</v>
      </c>
      <c r="F181" s="1">
        <v>1.0</v>
      </c>
      <c r="G181" s="3" t="s">
        <v>608</v>
      </c>
    </row>
    <row r="182">
      <c r="A182" s="3" t="s">
        <v>617</v>
      </c>
      <c r="B182" s="4" t="str">
        <f>IFERROR(__xludf.DUMMYFUNCTION("GOOGLETRANSLATE(A182, ""en"", ""te"")"),"ఆయుర్ ముల్తానీ మిట్టి ఫేస్ ప్యాక్")</f>
        <v>ఆయుర్ ముల్తానీ మిట్టి ఫేస్ ప్యాక్</v>
      </c>
      <c r="C182" s="4" t="str">
        <f>IFERROR(__xludf.DUMMYFUNCTION("GOOGLETRANSLATE(A182, ""en"", ""hi"")"),"आयुर् मुल्तानी मिट्टी फेस पैक")</f>
        <v>आयुर् मुल्तानी मिट्टी फेस पैक</v>
      </c>
      <c r="D182" s="2" t="s">
        <v>616</v>
      </c>
      <c r="E182" s="2" t="s">
        <v>48</v>
      </c>
      <c r="F182" s="1">
        <v>1.0</v>
      </c>
      <c r="G182" s="3" t="s">
        <v>608</v>
      </c>
    </row>
    <row r="183">
      <c r="A183" s="3" t="s">
        <v>619</v>
      </c>
      <c r="B183" s="4" t="str">
        <f>IFERROR(__xludf.DUMMYFUNCTION("GOOGLETRANSLATE(A183, ""en"", ""te"")"),"సింథోల్ లైమ్ సబ్బు")</f>
        <v>సింథోల్ లైమ్ సబ్బు</v>
      </c>
      <c r="C183" s="4" t="str">
        <f>IFERROR(__xludf.DUMMYFUNCTION("GOOGLETRANSLATE(A183, ""en"", ""hi"")"),"सिंथोल लाइम साबुन")</f>
        <v>सिंथोल लाइम साबुन</v>
      </c>
      <c r="D183" s="5"/>
      <c r="E183" s="2" t="s">
        <v>48</v>
      </c>
      <c r="F183" s="1">
        <v>1.0</v>
      </c>
      <c r="G183" s="3" t="s">
        <v>608</v>
      </c>
    </row>
    <row r="184">
      <c r="A184" s="3" t="s">
        <v>644</v>
      </c>
      <c r="B184" s="4" t="str">
        <f>IFERROR(__xludf.DUMMYFUNCTION("GOOGLETRANSLATE(A184, ""en"", ""te"")"),"సింథోల్ కూల్ సోప్")</f>
        <v>సింథోల్ కూల్ సోప్</v>
      </c>
      <c r="C184" s="4" t="str">
        <f>IFERROR(__xludf.DUMMYFUNCTION("GOOGLETRANSLATE(A184, ""en"", ""hi"")"),"सिंथोल कूल साबुन")</f>
        <v>सिंथोल कूल साबुन</v>
      </c>
      <c r="D184" s="5"/>
      <c r="E184" s="2" t="s">
        <v>48</v>
      </c>
      <c r="F184" s="1">
        <v>1.0</v>
      </c>
      <c r="G184" s="3" t="s">
        <v>608</v>
      </c>
    </row>
    <row r="185">
      <c r="A185" s="3" t="s">
        <v>659</v>
      </c>
      <c r="B185" s="4" t="str">
        <f>IFERROR(__xludf.DUMMYFUNCTION("GOOGLETRANSLATE(A185, ""en"", ""te"")"),"సింథోల్ ఒరిజినల్ సోప్")</f>
        <v>సింథోల్ ఒరిజినల్ సోప్</v>
      </c>
      <c r="C185" s="4" t="str">
        <f>IFERROR(__xludf.DUMMYFUNCTION("GOOGLETRANSLATE(A185, ""en"", ""hi"")"),"सिंथोल ओरिजिनल साबुन")</f>
        <v>सिंथोल ओरिजिनल साबुन</v>
      </c>
      <c r="D185" s="5"/>
      <c r="E185" s="2" t="s">
        <v>48</v>
      </c>
      <c r="F185" s="1">
        <v>1.0</v>
      </c>
      <c r="G185" s="3" t="s">
        <v>608</v>
      </c>
    </row>
    <row r="186">
      <c r="A186" s="3" t="s">
        <v>692</v>
      </c>
      <c r="B186" s="4" t="str">
        <f>IFERROR(__xludf.DUMMYFUNCTION("GOOGLETRANSLATE(A186, ""en"", ""te"")"),"లైఫ్‌బాయ్ టోటల్ సోప్")</f>
        <v>లైఫ్‌బాయ్ టోటల్ సోప్</v>
      </c>
      <c r="C186" s="4" t="str">
        <f>IFERROR(__xludf.DUMMYFUNCTION("GOOGLETRANSLATE(A186, ""en"", ""hi"")"),"लाइफबॉय टोटल सोप")</f>
        <v>लाइफबॉय टोटल सोप</v>
      </c>
      <c r="D186" s="5"/>
      <c r="E186" s="2" t="s">
        <v>48</v>
      </c>
      <c r="F186" s="1">
        <v>1.0</v>
      </c>
      <c r="G186" s="3" t="s">
        <v>608</v>
      </c>
    </row>
    <row r="187">
      <c r="A187" s="3" t="s">
        <v>699</v>
      </c>
      <c r="B187" s="4" t="str">
        <f>IFERROR(__xludf.DUMMYFUNCTION("GOOGLETRANSLATE(A187, ""en"", ""te"")"),"రేష్మా పసుపు సబ్బు")</f>
        <v>రేష్మా పసుపు సబ్బు</v>
      </c>
      <c r="C187" s="4" t="str">
        <f>IFERROR(__xludf.DUMMYFUNCTION("GOOGLETRANSLATE(A187, ""en"", ""hi"")"),"रेशमा हल्दी साबुन")</f>
        <v>रेशमा हल्दी साबुन</v>
      </c>
      <c r="D187" s="2" t="s">
        <v>708</v>
      </c>
      <c r="E187" s="2" t="s">
        <v>48</v>
      </c>
      <c r="F187" s="1">
        <v>1.0</v>
      </c>
      <c r="G187" s="3" t="s">
        <v>608</v>
      </c>
    </row>
    <row r="188">
      <c r="A188" s="3" t="s">
        <v>710</v>
      </c>
      <c r="B188" s="4" t="str">
        <f>IFERROR(__xludf.DUMMYFUNCTION("GOOGLETRANSLATE(A188, ""en"", ""te"")"),"ఆయుర్ హెర్బల్ షాంపూ")</f>
        <v>ఆయుర్ హెర్బల్ షాంపూ</v>
      </c>
      <c r="C188" s="4" t="str">
        <f>IFERROR(__xludf.DUMMYFUNCTION("GOOGLETRANSLATE(A188, ""en"", ""hi"")"),"आयुर् हर्बल शैम्पू")</f>
        <v>आयुर् हर्बल शैम्पू</v>
      </c>
      <c r="D188" s="5"/>
      <c r="E188" s="2" t="s">
        <v>48</v>
      </c>
      <c r="F188" s="1">
        <v>1.0</v>
      </c>
      <c r="G188" s="3" t="s">
        <v>740</v>
      </c>
    </row>
    <row r="189">
      <c r="A189" s="3" t="s">
        <v>742</v>
      </c>
      <c r="B189" s="4" t="str">
        <f>IFERROR(__xludf.DUMMYFUNCTION("GOOGLETRANSLATE(A189, ""en"", ""te"")"),"మీరా హెర్బల్ షాంపూ")</f>
        <v>మీరా హెర్బల్ షాంపూ</v>
      </c>
      <c r="C189" s="4" t="str">
        <f>IFERROR(__xludf.DUMMYFUNCTION("GOOGLETRANSLATE(A189, ""en"", ""hi"")"),"मीरा हर्बल शैम्पू")</f>
        <v>मीरा हर्बल शैम्पू</v>
      </c>
      <c r="D189" s="5"/>
      <c r="E189" s="2" t="s">
        <v>48</v>
      </c>
      <c r="F189" s="1">
        <v>1.0</v>
      </c>
      <c r="G189" s="3" t="s">
        <v>740</v>
      </c>
    </row>
    <row r="190">
      <c r="A190" s="3" t="s">
        <v>749</v>
      </c>
      <c r="B190" s="4" t="str">
        <f>IFERROR(__xludf.DUMMYFUNCTION("GOOGLETRANSLATE(A190, ""en"", ""te"")"),"సన్‌సిల్క్ సాఫ్ట్ &amp; స్మూత్ షాంపూ")</f>
        <v>సన్‌సిల్క్ సాఫ్ట్ &amp; స్మూత్ షాంపూ</v>
      </c>
      <c r="C190" s="4" t="str">
        <f>IFERROR(__xludf.DUMMYFUNCTION("GOOGLETRANSLATE(A190, ""en"", ""hi"")"),"सनसिल्क सॉफ्ट एंड स्मूथ शैम्पू")</f>
        <v>सनसिल्क सॉफ्ट एंड स्मूथ शैम्पू</v>
      </c>
      <c r="D190" s="5"/>
      <c r="E190" s="2" t="s">
        <v>48</v>
      </c>
      <c r="F190" s="1">
        <v>1.0</v>
      </c>
      <c r="G190" s="3" t="s">
        <v>740</v>
      </c>
    </row>
    <row r="191">
      <c r="A191" s="3" t="s">
        <v>755</v>
      </c>
      <c r="B191" s="4" t="str">
        <f>IFERROR(__xludf.DUMMYFUNCTION("GOOGLETRANSLATE(A191, ""en"", ""te"")"),"సన్‌సిల్క్ స్టన్నింగ్ బ్లాక్ షైన్ షాంపూ")</f>
        <v>సన్‌సిల్క్ స్టన్నింగ్ బ్లాక్ షైన్ షాంపూ</v>
      </c>
      <c r="C191" s="4" t="str">
        <f>IFERROR(__xludf.DUMMYFUNCTION("GOOGLETRANSLATE(A191, ""en"", ""hi"")"),"सनसिल्क स्टनिंग ब्लैक शाइन शैम्पू")</f>
        <v>सनसिल्क स्टनिंग ब्लैक शाइन शैम्पू</v>
      </c>
      <c r="D191" s="5"/>
      <c r="E191" s="2" t="s">
        <v>48</v>
      </c>
      <c r="F191" s="1">
        <v>1.0</v>
      </c>
      <c r="G191" s="3" t="s">
        <v>740</v>
      </c>
    </row>
    <row r="192">
      <c r="A192" s="3" t="s">
        <v>783</v>
      </c>
      <c r="B192" s="4" t="str">
        <f>IFERROR(__xludf.DUMMYFUNCTION("GOOGLETRANSLATE(A192, ""en"", ""te"")"),"సన్‌సిల్క్ లూసియస్లీ థిక్ &amp; లాంగ్ షాంపూ")</f>
        <v>సన్‌సిల్క్ లూసియస్లీ థిక్ &amp; లాంగ్ షాంపూ</v>
      </c>
      <c r="C192" s="4" t="str">
        <f>IFERROR(__xludf.DUMMYFUNCTION("GOOGLETRANSLATE(A192, ""en"", ""hi"")"),"सनसिल्क लशियसली थिक एंड लॉन्ग शैम्पू")</f>
        <v>सनसिल्क लशियसली थिक एंड लॉन्ग शैम्पू</v>
      </c>
      <c r="D192" s="5"/>
      <c r="E192" s="2" t="s">
        <v>48</v>
      </c>
      <c r="F192" s="1">
        <v>1.0</v>
      </c>
      <c r="G192" s="3" t="s">
        <v>740</v>
      </c>
    </row>
    <row r="193">
      <c r="A193" s="3" t="s">
        <v>792</v>
      </c>
      <c r="B193" s="4" t="str">
        <f>IFERROR(__xludf.DUMMYFUNCTION("GOOGLETRANSLATE(A193, ""en"", ""te"")"),"క్లినిక్ ప్లస్ స్ట్రాంగ్ &amp; లాంగ్ షాంపూ")</f>
        <v>క్లినిక్ ప్లస్ స్ట్రాంగ్ &amp; లాంగ్ షాంపూ</v>
      </c>
      <c r="C193" s="4" t="str">
        <f>IFERROR(__xludf.DUMMYFUNCTION("GOOGLETRANSLATE(A193, ""en"", ""hi"")"),"क्लिनिक प्लस स्ट्रॉन्ग एंड लॉन्ग शैम्पू")</f>
        <v>क्लिनिक प्लस स्ट्रॉन्ग एंड लॉन्ग शैम्पू</v>
      </c>
      <c r="D193" s="5"/>
      <c r="E193" s="2" t="s">
        <v>48</v>
      </c>
      <c r="F193" s="1">
        <v>1.0</v>
      </c>
      <c r="G193" s="3" t="s">
        <v>740</v>
      </c>
    </row>
    <row r="194">
      <c r="A194" s="3" t="s">
        <v>15</v>
      </c>
      <c r="B194" s="4" t="str">
        <f>IFERROR(__xludf.DUMMYFUNCTION("GOOGLETRANSLATE(A194, ""en"", ""te"")"),"లక్ష్మి సోనా మసూరి రైస్")</f>
        <v>లక్ష్మి సోనా మసూరి రైస్</v>
      </c>
      <c r="C194" s="4" t="str">
        <f>IFERROR(__xludf.DUMMYFUNCTION("GOOGLETRANSLATE(A194, ""en"", ""hi"")"),"लक्ष्मी सोना मसूरी चावल")</f>
        <v>लक्ष्मी सोना मसूरी चावल</v>
      </c>
      <c r="D194" s="2" t="s">
        <v>16</v>
      </c>
      <c r="E194" s="2" t="s">
        <v>9</v>
      </c>
      <c r="F194" s="1">
        <v>1.0</v>
      </c>
      <c r="G194" s="3" t="s">
        <v>806</v>
      </c>
    </row>
    <row r="195">
      <c r="A195" s="3" t="s">
        <v>86</v>
      </c>
      <c r="B195" s="4" t="str">
        <f>IFERROR(__xludf.DUMMYFUNCTION("GOOGLETRANSLATE(A195, ""en"", ""te"")"),"రాయల్ అథెంటిక్ బాస్మతి రైస్")</f>
        <v>రాయల్ అథెంటిక్ బాస్మతి రైస్</v>
      </c>
      <c r="C195" s="4" t="str">
        <f>IFERROR(__xludf.DUMMYFUNCTION("GOOGLETRANSLATE(A195, ""en"", ""hi"")"),"रॉयल ऑथेंटिक बासमती चावल")</f>
        <v>रॉयल ऑथेंटिक बासमती चावल</v>
      </c>
      <c r="D195" s="2" t="s">
        <v>14</v>
      </c>
      <c r="E195" s="2" t="s">
        <v>9</v>
      </c>
      <c r="F195" s="1">
        <v>1.0</v>
      </c>
      <c r="G195" s="3" t="s">
        <v>806</v>
      </c>
    </row>
    <row r="196">
      <c r="A196" s="3" t="s">
        <v>808</v>
      </c>
      <c r="B196" s="4" t="str">
        <f>IFERROR(__xludf.DUMMYFUNCTION("GOOGLETRANSLATE(A196, ""en"", ""te"")"),"డెహ్రాడూని బాస్మతి బియ్యం")</f>
        <v>డెహ్రాడూని బాస్మతి బియ్యం</v>
      </c>
      <c r="C196" s="4" t="str">
        <f>IFERROR(__xludf.DUMMYFUNCTION("GOOGLETRANSLATE(A196, ""en"", ""hi"")"),"देहरादून बासमती चावल")</f>
        <v>देहरादून बासमती चावल</v>
      </c>
      <c r="D196" s="2" t="s">
        <v>14</v>
      </c>
      <c r="E196" s="2" t="s">
        <v>9</v>
      </c>
      <c r="F196" s="1">
        <v>1.0</v>
      </c>
      <c r="G196" s="3" t="s">
        <v>806</v>
      </c>
    </row>
    <row r="197">
      <c r="A197" s="3" t="s">
        <v>66</v>
      </c>
      <c r="B197" s="4" t="str">
        <f>IFERROR(__xludf.DUMMYFUNCTION("GOOGLETRANSLATE(A197, ""en"", ""te"")"),"సుజాత గోల్డ్ అట్టా")</f>
        <v>సుజాత గోల్డ్ అట్టా</v>
      </c>
      <c r="C197" s="4" t="str">
        <f>IFERROR(__xludf.DUMMYFUNCTION("GOOGLETRANSLATE(A197, ""en"", ""hi"")"),"सुजाता गोल्ड आटा")</f>
        <v>सुजाता गोल्ड आटा</v>
      </c>
      <c r="D197" s="5"/>
      <c r="E197" s="2" t="s">
        <v>67</v>
      </c>
      <c r="F197" s="1">
        <v>1.0</v>
      </c>
      <c r="G197" s="3" t="s">
        <v>837</v>
      </c>
    </row>
    <row r="198">
      <c r="A198" s="3" t="s">
        <v>848</v>
      </c>
      <c r="B198" s="4" t="str">
        <f>IFERROR(__xludf.DUMMYFUNCTION("GOOGLETRANSLATE(A198, ""en"", ""te"")"),"సుజాత చక్కి అట్ట")</f>
        <v>సుజాత చక్కి అట్ట</v>
      </c>
      <c r="C198" s="4" t="str">
        <f>IFERROR(__xludf.DUMMYFUNCTION("GOOGLETRANSLATE(A198, ""en"", ""hi"")"),"सुजाता चक्की आटा")</f>
        <v>सुजाता चक्की आटा</v>
      </c>
      <c r="D198" s="5"/>
      <c r="E198" s="2" t="s">
        <v>67</v>
      </c>
      <c r="F198" s="1">
        <v>1.0</v>
      </c>
      <c r="G198" s="3" t="s">
        <v>837</v>
      </c>
    </row>
    <row r="199">
      <c r="A199" s="3" t="s">
        <v>856</v>
      </c>
      <c r="B199" s="4" t="str">
        <f>IFERROR(__xludf.DUMMYFUNCTION("GOOGLETRANSLATE(A199, ""en"", ""te"")"),"మల్టీగ్రెయిన్‌లతో ఆశీర్వాదం అట్టా")</f>
        <v>మల్టీగ్రెయిన్‌లతో ఆశీర్వాదం అట్టా</v>
      </c>
      <c r="C199" s="4" t="str">
        <f>IFERROR(__xludf.DUMMYFUNCTION("GOOGLETRANSLATE(A199, ""en"", ""hi"")"),"मल्टीग्रेन के साथ आशीर्वाद आटा")</f>
        <v>मल्टीग्रेन के साथ आशीर्वाद आटा</v>
      </c>
      <c r="D199" s="2" t="s">
        <v>863</v>
      </c>
      <c r="E199" s="2" t="s">
        <v>67</v>
      </c>
      <c r="F199" s="1">
        <v>1.0</v>
      </c>
      <c r="G199" s="3" t="s">
        <v>837</v>
      </c>
    </row>
    <row r="200">
      <c r="A200" s="3" t="s">
        <v>866</v>
      </c>
      <c r="B200" s="4" t="str">
        <f>IFERROR(__xludf.DUMMYFUNCTION("GOOGLETRANSLATE(A200, ""en"", ""te"")"),"హార్పిక్ పవర్ ప్లస్ టాయిలెట్ క్లీనర్")</f>
        <v>హార్పిక్ పవర్ ప్లస్ టాయిలెట్ క్లీనర్</v>
      </c>
      <c r="C200" s="4" t="str">
        <f>IFERROR(__xludf.DUMMYFUNCTION("GOOGLETRANSLATE(A200, ""en"", ""hi"")"),"हार्पिक पावर प्लस टॉयलेट क्लीनर")</f>
        <v>हार्पिक पावर प्लस टॉयलेट क्लीनर</v>
      </c>
      <c r="D200" s="2" t="s">
        <v>593</v>
      </c>
      <c r="E200" s="2" t="s">
        <v>43</v>
      </c>
      <c r="F200" s="1">
        <v>1.0</v>
      </c>
      <c r="G200" s="3" t="s">
        <v>71</v>
      </c>
    </row>
    <row r="201">
      <c r="A201" s="3" t="s">
        <v>885</v>
      </c>
      <c r="B201" s="4" t="str">
        <f>IFERROR(__xludf.DUMMYFUNCTION("GOOGLETRANSLATE(A201, ""en"", ""te"")"),"జిప్లాక్ డబుల్ జిప్పర్ ఫ్రీజర్ బ్యాగులు")</f>
        <v>జిప్లాక్ డబుల్ జిప్పర్ ఫ్రీజర్ బ్యాగులు</v>
      </c>
      <c r="C201" s="4" t="str">
        <f>IFERROR(__xludf.DUMMYFUNCTION("GOOGLETRANSLATE(A201, ""en"", ""hi"")"),"ज़िपलॉक डबल ज़िपर फ्रीज़र बैग")</f>
        <v>ज़िपलॉक डबल ज़िपर फ्रीज़र बैग</v>
      </c>
      <c r="D201" s="5"/>
      <c r="E201" s="2" t="s">
        <v>43</v>
      </c>
      <c r="F201" s="1">
        <v>1.0</v>
      </c>
      <c r="G201" s="3" t="s">
        <v>71</v>
      </c>
    </row>
    <row r="202">
      <c r="A202" s="3" t="s">
        <v>892</v>
      </c>
      <c r="B202" s="4" t="str">
        <f>IFERROR(__xludf.DUMMYFUNCTION("GOOGLETRANSLATE(A202, ""en"", ""te"")"),"విక్కో పసుపు చర్మ క్రీమ్")</f>
        <v>విక్కో పసుపు చర్మ క్రీమ్</v>
      </c>
      <c r="C202" s="4" t="str">
        <f>IFERROR(__xludf.DUMMYFUNCTION("GOOGLETRANSLATE(A202, ""en"", ""hi"")"),"विको हल्दी त्वचा क्रीम")</f>
        <v>विको हल्दी त्वचा क्रीम</v>
      </c>
      <c r="D202" s="2" t="s">
        <v>708</v>
      </c>
      <c r="E202" s="2" t="s">
        <v>48</v>
      </c>
      <c r="F202" s="1">
        <v>1.0</v>
      </c>
      <c r="G202" s="3" t="s">
        <v>76</v>
      </c>
    </row>
    <row r="203">
      <c r="A203" s="3" t="s">
        <v>897</v>
      </c>
      <c r="B203" s="4" t="str">
        <f>IFERROR(__xludf.DUMMYFUNCTION("GOOGLETRANSLATE(A203, ""en"", ""te"")"),"హిమాలయా ప్యూరిఫైయింగ్ నీమ్ ఫేస్ వాష్")</f>
        <v>హిమాలయా ప్యూరిఫైయింగ్ నీమ్ ఫేస్ వాష్</v>
      </c>
      <c r="C203" s="4" t="str">
        <f>IFERROR(__xludf.DUMMYFUNCTION("GOOGLETRANSLATE(A203, ""en"", ""hi"")"),"हिमालय प्यूरिफाइंग नीम फेस वॉश")</f>
        <v>हिमालय प्यूरिफाइंग नीम फेस वॉश</v>
      </c>
      <c r="D203" s="5"/>
      <c r="E203" s="2" t="s">
        <v>48</v>
      </c>
      <c r="F203" s="1">
        <v>1.0</v>
      </c>
      <c r="G203" s="3" t="s">
        <v>76</v>
      </c>
    </row>
    <row r="204">
      <c r="A204" s="3" t="s">
        <v>521</v>
      </c>
      <c r="B204" s="4" t="str">
        <f>IFERROR(__xludf.DUMMYFUNCTION("GOOGLETRANSLATE(A204, ""en"", ""te"")"),"కోల్గేట్ స్ట్రాంగ్ టీత్ టూత్‌పేస్ట్")</f>
        <v>కోల్గేట్ స్ట్రాంగ్ టీత్ టూత్‌పేస్ట్</v>
      </c>
      <c r="C204" s="4" t="str">
        <f>IFERROR(__xludf.DUMMYFUNCTION("GOOGLETRANSLATE(A204, ""en"", ""hi"")"),"कोलगेट स्ट्रॉन्ग टीथ टूथपेस्ट")</f>
        <v>कोलगेट स्ट्रॉन्ग टीथ टूथपेस्ट</v>
      </c>
      <c r="D204" s="5"/>
      <c r="E204" s="2" t="s">
        <v>48</v>
      </c>
      <c r="F204" s="1">
        <v>1.0</v>
      </c>
      <c r="G204" s="3" t="s">
        <v>85</v>
      </c>
    </row>
    <row r="205">
      <c r="A205" s="3" t="s">
        <v>906</v>
      </c>
      <c r="B205" s="4" t="str">
        <f>IFERROR(__xludf.DUMMYFUNCTION("GOOGLETRANSLATE(A205, ""en"", ""te"")"),"క్లినిక్ ప్లస్ స్ట్రాంగ్ &amp; లాంగ్ హెల్త్ షాంపూ")</f>
        <v>క్లినిక్ ప్లస్ స్ట్రాంగ్ &amp; లాంగ్ హెల్త్ షాంపూ</v>
      </c>
      <c r="C205" s="4" t="str">
        <f>IFERROR(__xludf.DUMMYFUNCTION("GOOGLETRANSLATE(A205, ""en"", ""hi"")"),"क्लिनिक प्लस स्ट्रॉन्ग एंड लॉन्ग हेल्थ शैम्पू")</f>
        <v>क्लिनिक प्लस स्ट्रॉन्ग एंड लॉन्ग हेल्थ शैम्पू</v>
      </c>
      <c r="D205" s="5"/>
      <c r="E205" s="2" t="s">
        <v>48</v>
      </c>
      <c r="F205" s="1">
        <v>1.0</v>
      </c>
      <c r="G205" s="3" t="s">
        <v>114</v>
      </c>
    </row>
    <row r="206">
      <c r="A206" s="3" t="s">
        <v>912</v>
      </c>
      <c r="B206" s="4" t="str">
        <f>IFERROR(__xludf.DUMMYFUNCTION("GOOGLETRANSLATE(A206, ""en"", ""te"")"),"వాటికా నాచురల్స్ షాంపూ")</f>
        <v>వాటికా నాచురల్స్ షాంపూ</v>
      </c>
      <c r="C206" s="4" t="str">
        <f>IFERROR(__xludf.DUMMYFUNCTION("GOOGLETRANSLATE(A206, ""en"", ""hi"")"),"वाटिका नैचुरल्स शैम्पू")</f>
        <v>वाटिका नैचुरल्स शैम्पू</v>
      </c>
      <c r="D206" s="5"/>
      <c r="E206" s="2" t="s">
        <v>48</v>
      </c>
      <c r="F206" s="1">
        <v>1.0</v>
      </c>
      <c r="G206" s="3" t="s">
        <v>114</v>
      </c>
    </row>
    <row r="207">
      <c r="A207" s="3" t="s">
        <v>914</v>
      </c>
      <c r="B207" s="4" t="str">
        <f>IFERROR(__xludf.DUMMYFUNCTION("GOOGLETRANSLATE(A207, ""en"", ""te"")"),"ఆశీర్వాద్ సుపీరియర్ ఎంపీ అట్టా")</f>
        <v>ఆశీర్వాద్ సుపీరియర్ ఎంపీ అట్టా</v>
      </c>
      <c r="C207" s="4" t="str">
        <f>IFERROR(__xludf.DUMMYFUNCTION("GOOGLETRANSLATE(A207, ""en"", ""hi"")"),"आशीर्वाद सुपीरियर एमपी अट्टा")</f>
        <v>आशीर्वाद सुपीरियर एमपी अट्टा</v>
      </c>
      <c r="D207" s="5"/>
      <c r="E207" s="2" t="s">
        <v>67</v>
      </c>
      <c r="F207" s="1">
        <v>1.0</v>
      </c>
      <c r="G207" s="3" t="s">
        <v>20</v>
      </c>
    </row>
    <row r="208">
      <c r="A208" s="3" t="s">
        <v>931</v>
      </c>
      <c r="B208" s="4" t="str">
        <f>IFERROR(__xludf.DUMMYFUNCTION("GOOGLETRANSLATE(A208, ""en"", ""te"")"),"రాయల్ బాస్మతి రైస్")</f>
        <v>రాయల్ బాస్మతి రైస్</v>
      </c>
      <c r="C208" s="4" t="str">
        <f>IFERROR(__xludf.DUMMYFUNCTION("GOOGLETRANSLATE(A208, ""en"", ""hi"")"),"रॉयल बासमती चावल")</f>
        <v>रॉयल बासमती चावल</v>
      </c>
      <c r="D208" s="2" t="s">
        <v>14</v>
      </c>
      <c r="E208" s="2" t="s">
        <v>9</v>
      </c>
      <c r="F208" s="1">
        <v>1.0</v>
      </c>
      <c r="G208" s="3" t="s">
        <v>85</v>
      </c>
    </row>
    <row r="209">
      <c r="A209" s="44"/>
      <c r="B209" s="44" t="str">
        <f>IFERROR(__xludf.DUMMYFUNCTION("GOOGLETRANSLATE(A209, ""en"", ""te"")"),"#VALUE!")</f>
        <v>#VALUE!</v>
      </c>
      <c r="C209" s="4" t="str">
        <f>IFERROR(__xludf.DUMMYFUNCTION("GOOGLETRANSLATE(A209, ""en"", ""hi"")"),"#VALUE!")</f>
        <v>#VALUE!</v>
      </c>
      <c r="D209" s="5"/>
      <c r="E209" s="5"/>
    </row>
    <row r="210">
      <c r="A210" s="3" t="s">
        <v>939</v>
      </c>
      <c r="B210" s="4" t="str">
        <f>IFERROR(__xludf.DUMMYFUNCTION("GOOGLETRANSLATE(A210, ""en"", ""te"")"),"అమ్మ వంటకం పనీర్ టిక్కా మసాలా వండటానికి సిద్ధంగా ఉంది")</f>
        <v>అమ్మ వంటకం పనీర్ టిక్కా మసాలా వండటానికి సిద్ధంగా ఉంది</v>
      </c>
      <c r="C210" s="4" t="str">
        <f>IFERROR(__xludf.DUMMYFUNCTION("GOOGLETRANSLATE(A210, ""en"", ""hi"")"),"माँ की रेसिपी से बना पनीर टिक्का मसाला (पकाने के लिए तैयार)")</f>
        <v>माँ की रेसिपी से बना पनीर टिक्का मसाला (पकाने के लिए तैयार)</v>
      </c>
      <c r="D210" s="5"/>
      <c r="E210" s="2" t="s">
        <v>940</v>
      </c>
      <c r="F210" s="1">
        <v>2.0</v>
      </c>
      <c r="G210" s="3" t="s">
        <v>71</v>
      </c>
    </row>
    <row r="211">
      <c r="A211" s="3" t="s">
        <v>941</v>
      </c>
      <c r="B211" s="4" t="str">
        <f>IFERROR(__xludf.DUMMYFUNCTION("GOOGLETRANSLATE(A211, ""en"", ""te"")"),"రసోయ్ మ్యాజిక్ పనీర్ భుర్జీ మసాలా మిక్స్")</f>
        <v>రసోయ్ మ్యాజిక్ పనీర్ భుర్జీ మసాలా మిక్స్</v>
      </c>
      <c r="C211" s="4" t="str">
        <f>IFERROR(__xludf.DUMMYFUNCTION("GOOGLETRANSLATE(A211, ""en"", ""hi"")"),"रसोई मैजिक पनीर भुर्जी मसाला मिक्स")</f>
        <v>रसोई मैजिक पनीर भुर्जी मसाला मिक्स</v>
      </c>
      <c r="D211" s="5"/>
      <c r="E211" s="2" t="s">
        <v>442</v>
      </c>
      <c r="F211" s="1">
        <v>2.0</v>
      </c>
      <c r="G211" s="3" t="s">
        <v>71</v>
      </c>
    </row>
    <row r="212">
      <c r="A212" s="3" t="s">
        <v>942</v>
      </c>
      <c r="B212" s="4" t="str">
        <f>IFERROR(__xludf.DUMMYFUNCTION("GOOGLETRANSLATE(A212, ""en"", ""te"")"),"రసోయి మ్యాజిక్ మిసల్ రస్సా స్పైస్ మిక్స్")</f>
        <v>రసోయి మ్యాజిక్ మిసల్ రస్సా స్పైస్ మిక్స్</v>
      </c>
      <c r="C212" s="4" t="str">
        <f>IFERROR(__xludf.DUMMYFUNCTION("GOOGLETRANSLATE(A212, ""en"", ""hi"")"),"रसोई मैजिक मिसल रस्सा मसाला मिश्रण")</f>
        <v>रसोई मैजिक मिसल रस्सा मसाला मिश्रण</v>
      </c>
      <c r="D212" s="5"/>
      <c r="E212" s="2" t="s">
        <v>442</v>
      </c>
      <c r="F212" s="1">
        <v>2.0</v>
      </c>
      <c r="G212" s="3" t="s">
        <v>71</v>
      </c>
    </row>
    <row r="213">
      <c r="A213" s="3" t="s">
        <v>943</v>
      </c>
      <c r="B213" s="4" t="str">
        <f>IFERROR(__xludf.DUMMYFUNCTION("GOOGLETRANSLATE(A213, ""en"", ""te"")"),"రసోయ్ మ్యాజిక్ వెజ్ స్పెషల్స్ చికెన్ కర్రీ స్పైస్ మిక్స్")</f>
        <v>రసోయ్ మ్యాజిక్ వెజ్ స్పెషల్స్ చికెన్ కర్రీ స్పైస్ మిక్స్</v>
      </c>
      <c r="C213" s="4" t="str">
        <f>IFERROR(__xludf.DUMMYFUNCTION("GOOGLETRANSLATE(A213, ""en"", ""hi"")"),"रसोई मैजिक वेज स्पेशल चिकन करी मसाला मिक्स")</f>
        <v>रसोई मैजिक वेज स्पेशल चिकन करी मसाला मिक्स</v>
      </c>
      <c r="D213" s="5"/>
      <c r="E213" s="2" t="s">
        <v>442</v>
      </c>
      <c r="F213" s="1">
        <v>2.0</v>
      </c>
      <c r="G213" s="3" t="s">
        <v>71</v>
      </c>
    </row>
    <row r="214">
      <c r="A214" s="3" t="s">
        <v>944</v>
      </c>
      <c r="B214" s="4" t="str">
        <f>IFERROR(__xludf.DUMMYFUNCTION("GOOGLETRANSLATE(A214, ""en"", ""te"")"),"జొన్న వేరుశెనగ చట్నీ పొడి")</f>
        <v>జొన్న వేరుశెనగ చట్నీ పొడి</v>
      </c>
      <c r="C214" s="4" t="str">
        <f>IFERROR(__xludf.DUMMYFUNCTION("GOOGLETRANSLATE(A214, ""en"", ""hi"")"),"ज्वारी मूंगफली चटनी पाउडर")</f>
        <v>ज्वारी मूंगफली चटनी पाउडर</v>
      </c>
      <c r="D214" s="2" t="s">
        <v>945</v>
      </c>
      <c r="E214" s="2" t="s">
        <v>946</v>
      </c>
      <c r="F214" s="1">
        <v>2.0</v>
      </c>
      <c r="G214" s="3" t="s">
        <v>71</v>
      </c>
    </row>
    <row r="215">
      <c r="A215" s="3" t="s">
        <v>947</v>
      </c>
      <c r="B215" s="4" t="str">
        <f>IFERROR(__xludf.DUMMYFUNCTION("GOOGLETRANSLATE(A215, ""en"", ""te"")"),"జొన్న అవిసె గింజల చట్నీ పొడి")</f>
        <v>జొన్న అవిసె గింజల చట్నీ పొడి</v>
      </c>
      <c r="C215" s="4" t="str">
        <f>IFERROR(__xludf.DUMMYFUNCTION("GOOGLETRANSLATE(A215, ""en"", ""hi"")"),"ज्वारी अलसी चटनी पाउडर")</f>
        <v>ज्वारी अलसी चटनी पाउडर</v>
      </c>
      <c r="D215" s="5"/>
      <c r="E215" s="2" t="s">
        <v>946</v>
      </c>
      <c r="F215" s="1">
        <v>2.0</v>
      </c>
      <c r="G215" s="3" t="s">
        <v>71</v>
      </c>
    </row>
    <row r="216">
      <c r="A216" s="3" t="s">
        <v>949</v>
      </c>
      <c r="B216" s="4" t="str">
        <f>IFERROR(__xludf.DUMMYFUNCTION("GOOGLETRANSLATE(A216, ""en"", ""te"")"),"షాన్ చికెన్ బ్రోస్ట్ మిక్స్")</f>
        <v>షాన్ చికెన్ బ్రోస్ట్ మిక్స్</v>
      </c>
      <c r="C216" s="4" t="str">
        <f>IFERROR(__xludf.DUMMYFUNCTION("GOOGLETRANSLATE(A216, ""en"", ""hi"")"),"शान चिकन ब्रोस्ट मिक्स")</f>
        <v>शान चिकन ब्रोस्ट मिक्स</v>
      </c>
      <c r="D216" s="2" t="s">
        <v>964</v>
      </c>
      <c r="E216" s="2" t="s">
        <v>940</v>
      </c>
      <c r="F216" s="1">
        <v>2.0</v>
      </c>
      <c r="G216" s="3" t="s">
        <v>76</v>
      </c>
    </row>
    <row r="217">
      <c r="A217" s="3" t="s">
        <v>966</v>
      </c>
      <c r="B217" s="4" t="str">
        <f>IFERROR(__xludf.DUMMYFUNCTION("GOOGLETRANSLATE(A217, ""en"", ""te"")"),"షాన్ చికెన్ మసాలా మిక్స్")</f>
        <v>షాన్ చికెన్ మసాలా మిక్స్</v>
      </c>
      <c r="C217" s="4" t="str">
        <f>IFERROR(__xludf.DUMMYFUNCTION("GOOGLETRANSLATE(A217, ""en"", ""hi"")"),"शान चिकन मसाला मिक्स")</f>
        <v>शान चिकन मसाला मिक्स</v>
      </c>
      <c r="D217" s="5"/>
      <c r="E217" s="2" t="s">
        <v>442</v>
      </c>
      <c r="F217" s="1">
        <v>2.0</v>
      </c>
      <c r="G217" s="3" t="s">
        <v>76</v>
      </c>
    </row>
    <row r="218">
      <c r="A218" s="3" t="s">
        <v>972</v>
      </c>
      <c r="B218" s="4" t="str">
        <f>IFERROR(__xludf.DUMMYFUNCTION("GOOGLETRANSLATE(A218, ""en"", ""te"")"),"షాన్ బిహారీ కబాబ్ మిక్స్")</f>
        <v>షాన్ బిహారీ కబాబ్ మిక్స్</v>
      </c>
      <c r="C218" s="4" t="str">
        <f>IFERROR(__xludf.DUMMYFUNCTION("GOOGLETRANSLATE(A218, ""en"", ""hi"")"),"शान बिहारी कबाब मिक्स")</f>
        <v>शान बिहारी कबाब मिक्स</v>
      </c>
      <c r="D218" s="2" t="s">
        <v>977</v>
      </c>
      <c r="E218" s="2" t="s">
        <v>442</v>
      </c>
      <c r="F218" s="1">
        <v>2.0</v>
      </c>
      <c r="G218" s="3" t="s">
        <v>76</v>
      </c>
    </row>
    <row r="219">
      <c r="A219" s="3" t="s">
        <v>981</v>
      </c>
      <c r="B219" s="4" t="str">
        <f>IFERROR(__xludf.DUMMYFUNCTION("GOOGLETRANSLATE(A219, ""en"", ""te"")"),"షాన్ బిర్యానీ మసాలా")</f>
        <v>షాన్ బిర్యానీ మసాలా</v>
      </c>
      <c r="C219" s="4" t="str">
        <f>IFERROR(__xludf.DUMMYFUNCTION("GOOGLETRANSLATE(A219, ""en"", ""hi"")"),"शान बिरयानी मसाला")</f>
        <v>शान बिरयानी मसाला</v>
      </c>
      <c r="D219" s="2" t="s">
        <v>987</v>
      </c>
      <c r="E219" s="2" t="s">
        <v>442</v>
      </c>
      <c r="F219" s="1">
        <v>2.0</v>
      </c>
      <c r="G219" s="3" t="s">
        <v>76</v>
      </c>
    </row>
    <row r="220">
      <c r="A220" s="3" t="s">
        <v>989</v>
      </c>
      <c r="B220" s="4" t="str">
        <f>IFERROR(__xludf.DUMMYFUNCTION("GOOGLETRANSLATE(A220, ""en"", ""te"")"),"పటాక్స్ స్వీట్ మ్యాంగో చట్నీ")</f>
        <v>పటాక్స్ స్వీట్ మ్యాంగో చట్నీ</v>
      </c>
      <c r="C220" s="4" t="str">
        <f>IFERROR(__xludf.DUMMYFUNCTION("GOOGLETRANSLATE(A220, ""en"", ""hi"")"),"पाटक की मीठी आम की चटनी")</f>
        <v>पाटक की मीठी आम की चटनी</v>
      </c>
      <c r="D220" s="5"/>
      <c r="E220" s="2" t="s">
        <v>996</v>
      </c>
      <c r="F220" s="1">
        <v>2.0</v>
      </c>
      <c r="G220" s="3" t="s">
        <v>76</v>
      </c>
    </row>
    <row r="221">
      <c r="A221" s="3" t="s">
        <v>998</v>
      </c>
      <c r="B221" s="4" t="str">
        <f>IFERROR(__xludf.DUMMYFUNCTION("GOOGLETRANSLATE(A221, ""en"", ""te"")"),"షాన్ ఆలూ భాజీ మిక్స్")</f>
        <v>షాన్ ఆలూ భాజీ మిక్స్</v>
      </c>
      <c r="C221" s="4" t="str">
        <f>IFERROR(__xludf.DUMMYFUNCTION("GOOGLETRANSLATE(A221, ""en"", ""hi"")"),"शान आलू भाजी मिक्स")</f>
        <v>शान आलू भाजी मिक्स</v>
      </c>
      <c r="D221" s="5"/>
      <c r="E221" s="2" t="s">
        <v>940</v>
      </c>
      <c r="F221" s="1">
        <v>2.0</v>
      </c>
      <c r="G221" s="3" t="s">
        <v>76</v>
      </c>
    </row>
    <row r="222">
      <c r="A222" s="3" t="s">
        <v>1006</v>
      </c>
      <c r="B222" s="4" t="str">
        <f>IFERROR(__xludf.DUMMYFUNCTION("GOOGLETRANSLATE(A222, ""en"", ""te"")"),"షాన్ అచార్ గోష్ట్ మిక్స్")</f>
        <v>షాన్ అచార్ గోష్ట్ మిక్స్</v>
      </c>
      <c r="C222" s="4" t="str">
        <f>IFERROR(__xludf.DUMMYFUNCTION("GOOGLETRANSLATE(A222, ""en"", ""hi"")"),"शान अचार गोश्त मिक्स")</f>
        <v>शान अचार गोश्त मिक्स</v>
      </c>
      <c r="D222" s="5"/>
      <c r="E222" s="2" t="s">
        <v>940</v>
      </c>
      <c r="F222" s="1">
        <v>2.0</v>
      </c>
      <c r="G222" s="3" t="s">
        <v>76</v>
      </c>
    </row>
    <row r="223">
      <c r="A223" s="3" t="s">
        <v>1014</v>
      </c>
      <c r="B223" s="4" t="str">
        <f>IFERROR(__xludf.DUMMYFUNCTION("GOOGLETRANSLATE(A223, ""en"", ""te"")"),"MDH చంకీ చాట్ మసాలా")</f>
        <v>MDH చంకీ చాట్ మసాలా</v>
      </c>
      <c r="C223" s="4" t="str">
        <f>IFERROR(__xludf.DUMMYFUNCTION("GOOGLETRANSLATE(A223, ""en"", ""hi"")"),"एमडीएच चंकी चाट मसाला")</f>
        <v>एमडीएच चंकी चाट मसाला</v>
      </c>
      <c r="D223" s="2" t="s">
        <v>1021</v>
      </c>
      <c r="E223" s="2" t="s">
        <v>442</v>
      </c>
      <c r="F223" s="1">
        <v>2.0</v>
      </c>
      <c r="G223" s="3" t="s">
        <v>85</v>
      </c>
    </row>
    <row r="224">
      <c r="A224" s="3" t="s">
        <v>1023</v>
      </c>
      <c r="B224" s="4" t="str">
        <f>IFERROR(__xludf.DUMMYFUNCTION("GOOGLETRANSLATE(A224, ""en"", ""te"")"),"చికెన్ కోసం MDH కర్రీ మసాలా")</f>
        <v>చికెన్ కోసం MDH కర్రీ మసాలా</v>
      </c>
      <c r="C224" s="4" t="str">
        <f>IFERROR(__xludf.DUMMYFUNCTION("GOOGLETRANSLATE(A224, ""en"", ""hi"")"),"एमडीएच चिकन करी मसाला")</f>
        <v>एमडीएच चिकन करी मसाला</v>
      </c>
      <c r="D224" s="5"/>
      <c r="E224" s="2" t="s">
        <v>442</v>
      </c>
      <c r="F224" s="1">
        <v>2.0</v>
      </c>
      <c r="G224" s="3" t="s">
        <v>85</v>
      </c>
    </row>
    <row r="225">
      <c r="A225" s="3" t="s">
        <v>1031</v>
      </c>
      <c r="B225" s="4" t="str">
        <f>IFERROR(__xludf.DUMMYFUNCTION("GOOGLETRANSLATE(A225, ""en"", ""te"")"),"MDH చనా మసాలా")</f>
        <v>MDH చనా మసాలా</v>
      </c>
      <c r="C225" s="4" t="str">
        <f>IFERROR(__xludf.DUMMYFUNCTION("GOOGLETRANSLATE(A225, ""en"", ""hi"")"),"एमडीएच चना मसाला")</f>
        <v>एमडीएच चना मसाला</v>
      </c>
      <c r="D225" s="2" t="s">
        <v>1036</v>
      </c>
      <c r="E225" s="2" t="s">
        <v>1038</v>
      </c>
      <c r="F225" s="1">
        <v>2.0</v>
      </c>
      <c r="G225" s="3" t="s">
        <v>85</v>
      </c>
    </row>
    <row r="226">
      <c r="A226" s="3" t="s">
        <v>1041</v>
      </c>
      <c r="B226" s="4" t="str">
        <f>IFERROR(__xludf.DUMMYFUNCTION("GOOGLETRANSLATE(A226, ""en"", ""te"")"),"MDH చట్నీ పొడినా మసాలా")</f>
        <v>MDH చట్నీ పొడినా మసాలా</v>
      </c>
      <c r="C226" s="4" t="str">
        <f>IFERROR(__xludf.DUMMYFUNCTION("GOOGLETRANSLATE(A226, ""en"", ""hi"")"),"एमडीएच चटनी पुदीना मसाला")</f>
        <v>एमडीएच चटनी पुदीना मसाला</v>
      </c>
      <c r="D226" s="5"/>
      <c r="E226" s="2" t="s">
        <v>442</v>
      </c>
      <c r="F226" s="1">
        <v>2.0</v>
      </c>
      <c r="G226" s="3" t="s">
        <v>85</v>
      </c>
    </row>
    <row r="227">
      <c r="A227" s="3" t="s">
        <v>1048</v>
      </c>
      <c r="B227" s="4" t="str">
        <f>IFERROR(__xludf.DUMMYFUNCTION("GOOGLETRANSLATE(A227, ""en"", ""te"")"),"MDH బైంగన్ భర్తా మసాలా")</f>
        <v>MDH బైంగన్ భర్తా మసాలా</v>
      </c>
      <c r="C227" s="4" t="str">
        <f>IFERROR(__xludf.DUMMYFUNCTION("GOOGLETRANSLATE(A227, ""en"", ""hi"")"),"एमडीएच बैंगन भरता मसाला")</f>
        <v>एमडीएच बैंगन भरता मसाला</v>
      </c>
      <c r="D227" s="5"/>
      <c r="E227" s="2" t="s">
        <v>442</v>
      </c>
      <c r="F227" s="1">
        <v>2.0</v>
      </c>
      <c r="G227" s="3" t="s">
        <v>85</v>
      </c>
    </row>
    <row r="228">
      <c r="A228" s="3" t="s">
        <v>1056</v>
      </c>
      <c r="B228" s="4" t="str">
        <f>IFERROR(__xludf.DUMMYFUNCTION("GOOGLETRANSLATE(A228, ""en"", ""te"")"),"MDH బటర్ చికెన్ కర్రీ మసాలా")</f>
        <v>MDH బటర్ చికెన్ కర్రీ మసాలా</v>
      </c>
      <c r="C228" s="4" t="str">
        <f>IFERROR(__xludf.DUMMYFUNCTION("GOOGLETRANSLATE(A228, ""en"", ""hi"")"),"बटर चिकन के लिए एमडीएच करी मसाला")</f>
        <v>बटर चिकन के लिए एमडीएच करी मसाला</v>
      </c>
      <c r="D228" s="5"/>
      <c r="E228" s="2" t="s">
        <v>442</v>
      </c>
      <c r="F228" s="1">
        <v>2.0</v>
      </c>
      <c r="G228" s="3" t="s">
        <v>85</v>
      </c>
    </row>
    <row r="229">
      <c r="A229" s="3" t="s">
        <v>1065</v>
      </c>
      <c r="B229" s="4" t="str">
        <f>IFERROR(__xludf.DUMMYFUNCTION("GOOGLETRANSLATE(A229, ""en"", ""te"")"),"MDH బొంబాయి బిర్యానీ మసాలా")</f>
        <v>MDH బొంబాయి బిర్యానీ మసాలా</v>
      </c>
      <c r="C229" s="4" t="str">
        <f>IFERROR(__xludf.DUMMYFUNCTION("GOOGLETRANSLATE(A229, ""en"", ""hi"")"),"एमडीएच बॉम्बे बिरयानी मसाला")</f>
        <v>एमडीएच बॉम्बे बिरयानी मसाला</v>
      </c>
      <c r="D229" s="2" t="s">
        <v>1070</v>
      </c>
      <c r="E229" s="2" t="s">
        <v>442</v>
      </c>
      <c r="F229" s="1">
        <v>2.0</v>
      </c>
      <c r="G229" s="3" t="s">
        <v>85</v>
      </c>
    </row>
    <row r="230">
      <c r="A230" s="3" t="s">
        <v>1073</v>
      </c>
      <c r="B230" s="4" t="str">
        <f>IFERROR(__xludf.DUMMYFUNCTION("GOOGLETRANSLATE(A230, ""en"", ""te"")"),"MDH అర్హర్ దాల్ మసాలా")</f>
        <v>MDH అర్హర్ దాల్ మసాలా</v>
      </c>
      <c r="C230" s="4" t="str">
        <f>IFERROR(__xludf.DUMMYFUNCTION("GOOGLETRANSLATE(A230, ""en"", ""hi"")"),"एमडीएच अरहर दाल मसाला")</f>
        <v>एमडीएच अरहर दाल मसाला</v>
      </c>
      <c r="D230" s="2" t="s">
        <v>1070</v>
      </c>
      <c r="E230" s="2" t="s">
        <v>442</v>
      </c>
      <c r="F230" s="1">
        <v>2.0</v>
      </c>
      <c r="G230" s="3" t="s">
        <v>85</v>
      </c>
    </row>
    <row r="231">
      <c r="A231" s="3" t="s">
        <v>1081</v>
      </c>
      <c r="B231" s="4" t="str">
        <f>IFERROR(__xludf.DUMMYFUNCTION("GOOGLETRANSLATE(A231, ""en"", ""te"")"),"MDH ఆమ్చూర్ పౌడర్")</f>
        <v>MDH ఆమ్చూర్ పౌడర్</v>
      </c>
      <c r="C231" s="4" t="str">
        <f>IFERROR(__xludf.DUMMYFUNCTION("GOOGLETRANSLATE(A231, ""en"", ""hi"")"),"एमडीएच आमचूर पाउडर")</f>
        <v>एमडीएच आमचूर पाउडर</v>
      </c>
      <c r="D231" s="2" t="s">
        <v>1087</v>
      </c>
      <c r="E231" s="2" t="s">
        <v>442</v>
      </c>
      <c r="F231" s="1">
        <v>2.0</v>
      </c>
      <c r="G231" s="3" t="s">
        <v>85</v>
      </c>
    </row>
    <row r="232">
      <c r="A232" s="3" t="s">
        <v>1089</v>
      </c>
      <c r="B232" s="4" t="str">
        <f>IFERROR(__xludf.DUMMYFUNCTION("GOOGLETRANSLATE(A232, ""en"", ""te"")"),"MDH అచారి గోష్ట్ మసాలా")</f>
        <v>MDH అచారి గోష్ట్ మసాలా</v>
      </c>
      <c r="C232" s="4" t="str">
        <f>IFERROR(__xludf.DUMMYFUNCTION("GOOGLETRANSLATE(A232, ""en"", ""hi"")"),"एमडीएच अचारी गोश्त मसाला")</f>
        <v>एमडीएच अचारी गोश्त मसाला</v>
      </c>
      <c r="D232" s="5"/>
      <c r="E232" s="2" t="s">
        <v>442</v>
      </c>
      <c r="F232" s="1">
        <v>2.0</v>
      </c>
      <c r="G232" s="3" t="s">
        <v>85</v>
      </c>
    </row>
    <row r="233">
      <c r="A233" s="3" t="s">
        <v>1096</v>
      </c>
      <c r="B233" s="4" t="str">
        <f>IFERROR(__xludf.DUMMYFUNCTION("GOOGLETRANSLATE(A233, ""en"", ""te"")"),"MDH అచారి ఆలూ మసాలా")</f>
        <v>MDH అచారి ఆలూ మసాలా</v>
      </c>
      <c r="C233" s="4" t="str">
        <f>IFERROR(__xludf.DUMMYFUNCTION("GOOGLETRANSLATE(A233, ""en"", ""hi"")"),"एमडीएच अचारी आलू मसाला")</f>
        <v>एमडीएच अचारी आलू मसाला</v>
      </c>
      <c r="D233" s="2" t="s">
        <v>1070</v>
      </c>
      <c r="E233" s="2" t="s">
        <v>442</v>
      </c>
      <c r="F233" s="1">
        <v>2.0</v>
      </c>
      <c r="G233" s="3" t="s">
        <v>85</v>
      </c>
    </row>
    <row r="234">
      <c r="A234" s="3" t="s">
        <v>1105</v>
      </c>
      <c r="B234" s="4" t="str">
        <f>IFERROR(__xludf.DUMMYFUNCTION("GOOGLETRANSLATE(A234, ""en"", ""te"")"),"MDH అచారి చికెన్ మసాలా")</f>
        <v>MDH అచారి చికెన్ మసాలా</v>
      </c>
      <c r="C234" s="4" t="str">
        <f>IFERROR(__xludf.DUMMYFUNCTION("GOOGLETRANSLATE(A234, ""en"", ""hi"")"),"एमडीएच अचारी चिकन मसाला")</f>
        <v>एमडीएच अचारी चिकन मसाला</v>
      </c>
      <c r="D234" s="2" t="s">
        <v>1109</v>
      </c>
      <c r="E234" s="2" t="s">
        <v>442</v>
      </c>
      <c r="F234" s="1">
        <v>2.0</v>
      </c>
      <c r="G234" s="3" t="s">
        <v>85</v>
      </c>
    </row>
    <row r="235">
      <c r="A235" s="3" t="s">
        <v>1111</v>
      </c>
      <c r="B235" s="4" t="str">
        <f>IFERROR(__xludf.DUMMYFUNCTION("GOOGLETRANSLATE(A235, ""en"", ""te"")"),"MDH అనార్దానా పౌడర్")</f>
        <v>MDH అనార్దానా పౌడర్</v>
      </c>
      <c r="C235" s="4" t="str">
        <f>IFERROR(__xludf.DUMMYFUNCTION("GOOGLETRANSLATE(A235, ""en"", ""hi"")"),"एमडीएच अनारदाना पाउडर")</f>
        <v>एमडीएच अनारदाना पाउडर</v>
      </c>
      <c r="D235" s="5"/>
      <c r="E235" s="2" t="s">
        <v>442</v>
      </c>
      <c r="F235" s="1">
        <v>2.0</v>
      </c>
      <c r="G235" s="3" t="s">
        <v>85</v>
      </c>
    </row>
    <row r="236">
      <c r="A236" s="3" t="s">
        <v>1120</v>
      </c>
      <c r="B236" s="4" t="str">
        <f>IFERROR(__xludf.DUMMYFUNCTION("GOOGLETRANSLATE(A236, ""en"", ""te"")"),"777 తందూరి చికెన్ మసాలా")</f>
        <v>777 తందూరి చికెన్ మసాలా</v>
      </c>
      <c r="C236" s="4" t="str">
        <f>IFERROR(__xludf.DUMMYFUNCTION("GOOGLETRANSLATE(A236, ""en"", ""hi"")"),"777 तंदूरी चिकन मसाला")</f>
        <v>777 तंदूरी चिकन मसाला</v>
      </c>
      <c r="D236" s="2" t="s">
        <v>1109</v>
      </c>
      <c r="E236" s="2" t="s">
        <v>442</v>
      </c>
      <c r="F236" s="1">
        <v>2.0</v>
      </c>
      <c r="G236" s="3" t="s">
        <v>114</v>
      </c>
    </row>
    <row r="237">
      <c r="A237" s="3" t="s">
        <v>1128</v>
      </c>
      <c r="B237" s="4" t="str">
        <f>IFERROR(__xludf.DUMMYFUNCTION("GOOGLETRANSLATE(A237, ""en"", ""te"")"),"777 మద్రాస్ సాంబార్ పౌడర్")</f>
        <v>777 మద్రాస్ సాంబార్ పౌడర్</v>
      </c>
      <c r="C237" s="4" t="str">
        <f>IFERROR(__xludf.DUMMYFUNCTION("GOOGLETRANSLATE(A237, ""en"", ""hi"")"),"777 मद्रास सांभर पाउडर")</f>
        <v>777 मद्रास सांभर पाउडर</v>
      </c>
      <c r="D237" s="2" t="s">
        <v>1134</v>
      </c>
      <c r="E237" s="2" t="s">
        <v>442</v>
      </c>
      <c r="F237" s="1">
        <v>2.0</v>
      </c>
      <c r="G237" s="3" t="s">
        <v>114</v>
      </c>
    </row>
    <row r="238">
      <c r="A238" s="3" t="s">
        <v>1137</v>
      </c>
      <c r="B238" s="4" t="str">
        <f>IFERROR(__xludf.DUMMYFUNCTION("GOOGLETRANSLATE(A238, ""en"", ""te"")"),"777 మద్రాస్ రసం పౌడర్")</f>
        <v>777 మద్రాస్ రసం పౌడర్</v>
      </c>
      <c r="C238" s="4" t="str">
        <f>IFERROR(__xludf.DUMMYFUNCTION("GOOGLETRANSLATE(A238, ""en"", ""hi"")"),"777 मद्रास रसम पाउडर")</f>
        <v>777 मद्रास रसम पाउडर</v>
      </c>
      <c r="D238" s="2" t="s">
        <v>1134</v>
      </c>
      <c r="E238" s="2" t="s">
        <v>442</v>
      </c>
      <c r="F238" s="1">
        <v>2.0</v>
      </c>
      <c r="G238" s="3" t="s">
        <v>114</v>
      </c>
    </row>
    <row r="239">
      <c r="A239" s="3" t="s">
        <v>1144</v>
      </c>
      <c r="B239" s="4" t="str">
        <f>IFERROR(__xludf.DUMMYFUNCTION("GOOGLETRANSLATE(A239, ""en"", ""te"")"),"777 ఇన్‌స్టంట్ పులియోధరై మిక్స్")</f>
        <v>777 ఇన్‌స్టంట్ పులియోధరై మిక్స్</v>
      </c>
      <c r="C239" s="4" t="str">
        <f>IFERROR(__xludf.DUMMYFUNCTION("GOOGLETRANSLATE(A239, ""en"", ""hi"")"),"777 इंस्टेंट पुलियोधराई मिक्स")</f>
        <v>777 इंस्टेंट पुलियोधराई मिक्स</v>
      </c>
      <c r="D239" s="2" t="s">
        <v>1151</v>
      </c>
      <c r="E239" s="2" t="s">
        <v>940</v>
      </c>
      <c r="F239" s="1">
        <v>2.0</v>
      </c>
      <c r="G239" s="3" t="s">
        <v>114</v>
      </c>
    </row>
    <row r="240">
      <c r="A240" s="3" t="s">
        <v>1154</v>
      </c>
      <c r="B240" s="4" t="str">
        <f>IFERROR(__xludf.DUMMYFUNCTION("GOOGLETRANSLATE(A240, ""en"", ""te"")"),"777 ఇడ్లీ మిరపకాయ చట్నీ పొడి")</f>
        <v>777 ఇడ్లీ మిరపకాయ చట్నీ పొడి</v>
      </c>
      <c r="C240" s="4" t="str">
        <f>IFERROR(__xludf.DUMMYFUNCTION("GOOGLETRANSLATE(A240, ""en"", ""hi"")"),"777 इडली मिर्च चटनी पाउडर")</f>
        <v>777 इडली मिर्च चटनी पाउडर</v>
      </c>
      <c r="D240" s="5"/>
      <c r="E240" s="2" t="s">
        <v>442</v>
      </c>
      <c r="F240" s="1">
        <v>2.0</v>
      </c>
      <c r="G240" s="3" t="s">
        <v>114</v>
      </c>
    </row>
    <row r="241">
      <c r="A241" s="3" t="s">
        <v>1169</v>
      </c>
      <c r="B241" s="4" t="str">
        <f>IFERROR(__xludf.DUMMYFUNCTION("GOOGLETRANSLATE(A241, ""en"", ""te"")"),"777 స్పెషల్ ఎగ్ కర్రీ మసాలా")</f>
        <v>777 స్పెషల్ ఎగ్ కర్రీ మసాలా</v>
      </c>
      <c r="C241" s="4" t="str">
        <f>IFERROR(__xludf.DUMMYFUNCTION("GOOGLETRANSLATE(A241, ""en"", ""hi"")"),"777 स्पेशल एग करी मसाला")</f>
        <v>777 स्पेशल एग करी मसाला</v>
      </c>
      <c r="D241" s="5"/>
      <c r="E241" s="2" t="s">
        <v>442</v>
      </c>
      <c r="F241" s="1">
        <v>2.0</v>
      </c>
      <c r="G241" s="3" t="s">
        <v>114</v>
      </c>
    </row>
    <row r="242">
      <c r="A242" s="3" t="s">
        <v>1176</v>
      </c>
      <c r="B242" s="4" t="str">
        <f>IFERROR(__xludf.DUMMYFUNCTION("GOOGLETRANSLATE(A242, ""en"", ""te"")"),"777 మద్రాస్ చికెన్ 65 మసాలా")</f>
        <v>777 మద్రాస్ చికెన్ 65 మసాలా</v>
      </c>
      <c r="C242" s="4" t="str">
        <f>IFERROR(__xludf.DUMMYFUNCTION("GOOGLETRANSLATE(A242, ""en"", ""hi"")"),"777 मद्रास चिकन 65 मसाला")</f>
        <v>777 मद्रास चिकन 65 मसाला</v>
      </c>
      <c r="D242" s="5"/>
      <c r="E242" s="2" t="s">
        <v>442</v>
      </c>
      <c r="F242" s="1">
        <v>2.0</v>
      </c>
      <c r="G242" s="3" t="s">
        <v>114</v>
      </c>
    </row>
    <row r="243">
      <c r="A243" s="3" t="s">
        <v>1177</v>
      </c>
      <c r="B243" s="4" t="str">
        <f>IFERROR(__xludf.DUMMYFUNCTION("GOOGLETRANSLATE(A243, ""en"", ""te"")"),"777 బిర్యానీ పులావ్ మసాలా")</f>
        <v>777 బిర్యానీ పులావ్ మసాలా</v>
      </c>
      <c r="C243" s="4" t="str">
        <f>IFERROR(__xludf.DUMMYFUNCTION("GOOGLETRANSLATE(A243, ""en"", ""hi"")"),"777 बिरयानी पुलाव मसाला")</f>
        <v>777 बिरयानी पुलाव मसाला</v>
      </c>
      <c r="D243" s="5"/>
      <c r="E243" s="2" t="s">
        <v>442</v>
      </c>
      <c r="F243" s="1">
        <v>2.0</v>
      </c>
      <c r="G243" s="3" t="s">
        <v>114</v>
      </c>
    </row>
    <row r="244">
      <c r="A244" s="3" t="s">
        <v>1178</v>
      </c>
      <c r="B244" s="4" t="str">
        <f>IFERROR(__xludf.DUMMYFUNCTION("GOOGLETRANSLATE(A244, ""en"", ""te"")"),"నేషనల్ మటన్ బిర్యానీ మసాలా")</f>
        <v>నేషనల్ మటన్ బిర్యానీ మసాలా</v>
      </c>
      <c r="C244" s="4" t="str">
        <f>IFERROR(__xludf.DUMMYFUNCTION("GOOGLETRANSLATE(A244, ""en"", ""hi"")"),"नेशनल मटन बिरयानी मसाला")</f>
        <v>नेशनल मटन बिरयानी मसाला</v>
      </c>
      <c r="D244" s="2" t="s">
        <v>1179</v>
      </c>
      <c r="E244" s="2" t="s">
        <v>442</v>
      </c>
      <c r="F244" s="1">
        <v>2.0</v>
      </c>
      <c r="G244" s="3" t="s">
        <v>114</v>
      </c>
    </row>
    <row r="245">
      <c r="A245" s="3" t="s">
        <v>1180</v>
      </c>
      <c r="B245" s="4" t="str">
        <f>IFERROR(__xludf.DUMMYFUNCTION("GOOGLETRANSLATE(A245, ""en"", ""te"")"),"నేషనల్ బిర్యానీ మసాలా")</f>
        <v>నేషనల్ బిర్యానీ మసాలా</v>
      </c>
      <c r="C245" s="4" t="str">
        <f>IFERROR(__xludf.DUMMYFUNCTION("GOOGLETRANSLATE(A245, ""en"", ""hi"")"),"नेशनल बिरयानी मसाला")</f>
        <v>नेशनल बिरयानी मसाला</v>
      </c>
      <c r="D245" s="5"/>
      <c r="E245" s="2" t="s">
        <v>442</v>
      </c>
      <c r="F245" s="1">
        <v>2.0</v>
      </c>
      <c r="G245" s="3" t="s">
        <v>114</v>
      </c>
    </row>
    <row r="246">
      <c r="A246" s="3" t="s">
        <v>1181</v>
      </c>
      <c r="B246" s="4" t="str">
        <f>IFERROR(__xludf.DUMMYFUNCTION("GOOGLETRANSLATE(A246, ""en"", ""te"")"),"లక్ష్మి నల్ల మిరియాల పొడి")</f>
        <v>లక్ష్మి నల్ల మిరియాల పొడి</v>
      </c>
      <c r="C246" s="4" t="str">
        <f>IFERROR(__xludf.DUMMYFUNCTION("GOOGLETRANSLATE(A246, ""en"", ""hi"")"),"लक्ष्मी काली मिर्च पाउडर")</f>
        <v>लक्ष्मी काली मिर्च पाउडर</v>
      </c>
      <c r="D246" s="5"/>
      <c r="E246" s="2" t="s">
        <v>442</v>
      </c>
      <c r="F246" s="1">
        <v>2.0</v>
      </c>
      <c r="G246" s="3" t="s">
        <v>10</v>
      </c>
    </row>
    <row r="247">
      <c r="A247" s="3" t="s">
        <v>1218</v>
      </c>
      <c r="B247" s="4" t="str">
        <f>IFERROR(__xludf.DUMMYFUNCTION("GOOGLETRANSLATE(A247, ""en"", ""te"")"),"స్వాద్ నల్ల మిరియాలు ముతకగా")</f>
        <v>స్వాద్ నల్ల మిరియాలు ముతకగా</v>
      </c>
      <c r="C247" s="4" t="str">
        <f>IFERROR(__xludf.DUMMYFUNCTION("GOOGLETRANSLATE(A247, ""en"", ""hi"")"),"स्वाद काली मिर्च दरदरी")</f>
        <v>स्वाद काली मिर्च दरदरी</v>
      </c>
      <c r="D247" s="5"/>
      <c r="E247" s="2" t="s">
        <v>442</v>
      </c>
      <c r="F247" s="1">
        <v>2.0</v>
      </c>
      <c r="G247" s="3" t="s">
        <v>10</v>
      </c>
    </row>
    <row r="248">
      <c r="A248" s="3" t="s">
        <v>1226</v>
      </c>
      <c r="B248" s="4" t="str">
        <f>IFERROR(__xludf.DUMMYFUNCTION("GOOGLETRANSLATE(A248, ""en"", ""te"")"),"ఆరా తెల్ల మిరియాలు మొత్తం")</f>
        <v>ఆరా తెల్ల మిరియాలు మొత్తం</v>
      </c>
      <c r="C248" s="4" t="str">
        <f>IFERROR(__xludf.DUMMYFUNCTION("GOOGLETRANSLATE(A248, ""en"", ""hi"")"),"आरा सफेद मिर्च साबुत")</f>
        <v>आरा सफेद मिर्च साबुत</v>
      </c>
      <c r="D248" s="5"/>
      <c r="E248" s="2" t="s">
        <v>442</v>
      </c>
      <c r="F248" s="1">
        <v>2.0</v>
      </c>
      <c r="G248" s="3" t="s">
        <v>10</v>
      </c>
    </row>
    <row r="249">
      <c r="A249" s="3" t="s">
        <v>1232</v>
      </c>
      <c r="B249" s="4" t="str">
        <f>IFERROR(__xludf.DUMMYFUNCTION("GOOGLETRANSLATE(A249, ""en"", ""te"")"),"లక్ష్మి స్టార్ సోంపు గింజలు")</f>
        <v>లక్ష్మి స్టార్ సోంపు గింజలు</v>
      </c>
      <c r="C249" s="4" t="str">
        <f>IFERROR(__xludf.DUMMYFUNCTION("GOOGLETRANSLATE(A249, ""en"", ""hi"")"),"लक्ष्मी स्टार अनीस के बीज")</f>
        <v>लक्ष्मी स्टार अनीस के बीज</v>
      </c>
      <c r="D249" s="2" t="s">
        <v>1239</v>
      </c>
      <c r="E249" s="2" t="s">
        <v>442</v>
      </c>
      <c r="F249" s="1">
        <v>2.0</v>
      </c>
      <c r="G249" s="3" t="s">
        <v>10</v>
      </c>
    </row>
    <row r="250">
      <c r="A250" s="3" t="s">
        <v>1241</v>
      </c>
      <c r="B250" s="4" t="str">
        <f>IFERROR(__xludf.DUMMYFUNCTION("GOOGLETRANSLATE(A250, ""en"", ""te"")"),"లక్ష్మి వాము విత్తనాలు")</f>
        <v>లక్ష్మి వాము విత్తనాలు</v>
      </c>
      <c r="C250" s="4" t="str">
        <f>IFERROR(__xludf.DUMMYFUNCTION("GOOGLETRANSLATE(A250, ""en"", ""hi"")"),"लक्ष्मी अजवाइन के बीज")</f>
        <v>लक्ष्मी अजवाइन के बीज</v>
      </c>
      <c r="D250" s="2" t="s">
        <v>1249</v>
      </c>
      <c r="E250" s="2" t="s">
        <v>442</v>
      </c>
      <c r="F250" s="1">
        <v>2.0</v>
      </c>
      <c r="G250" s="3" t="s">
        <v>10</v>
      </c>
    </row>
    <row r="251">
      <c r="A251" s="3" t="s">
        <v>1252</v>
      </c>
      <c r="B251" s="4" t="str">
        <f>IFERROR(__xludf.DUMMYFUNCTION("GOOGLETRANSLATE(A251, ""en"", ""te"")"),"లక్ష్మి ఆమ్చూర్ పౌడర్")</f>
        <v>లక్ష్మి ఆమ్చూర్ పౌడర్</v>
      </c>
      <c r="C251" s="4" t="str">
        <f>IFERROR(__xludf.DUMMYFUNCTION("GOOGLETRANSLATE(A251, ""en"", ""hi"")"),"लक्ष्मी आमचूर पाउडर")</f>
        <v>लक्ष्मी आमचूर पाउडर</v>
      </c>
      <c r="D251" s="5"/>
      <c r="E251" s="2" t="s">
        <v>442</v>
      </c>
      <c r="F251" s="1">
        <v>2.0</v>
      </c>
      <c r="G251" s="3" t="s">
        <v>10</v>
      </c>
    </row>
    <row r="252">
      <c r="A252" s="3" t="s">
        <v>1277</v>
      </c>
      <c r="B252" s="4" t="str">
        <f>IFERROR(__xludf.DUMMYFUNCTION("GOOGLETRANSLATE(A252, ""en"", ""te"")"),"స్వాద్ అనార్దన పొడి")</f>
        <v>స్వాద్ అనార్దన పొడి</v>
      </c>
      <c r="C252" s="4" t="str">
        <f>IFERROR(__xludf.DUMMYFUNCTION("GOOGLETRANSLATE(A252, ""en"", ""hi"")"),"स्वाद अनारदाना पाउडर")</f>
        <v>स्वाद अनारदाना पाउडर</v>
      </c>
      <c r="D252" s="5"/>
      <c r="E252" s="2" t="s">
        <v>442</v>
      </c>
      <c r="F252" s="1">
        <v>2.0</v>
      </c>
      <c r="G252" s="3" t="s">
        <v>10</v>
      </c>
    </row>
    <row r="253">
      <c r="A253" s="3" t="s">
        <v>1287</v>
      </c>
      <c r="B253" s="4" t="str">
        <f>IFERROR(__xludf.DUMMYFUNCTION("GOOGLETRANSLATE(A253, ""en"", ""te"")"),"దీప్ పానీ పూరి గొల్గప్ప")</f>
        <v>దీప్ పానీ పూరి గొల్గప్ప</v>
      </c>
      <c r="C253" s="4" t="str">
        <f>IFERROR(__xludf.DUMMYFUNCTION("GOOGLETRANSLATE(A253, ""en"", ""hi"")"),"दीप पानी पुरी गोलगप्पा")</f>
        <v>दीप पानी पुरी गोलगप्पा</v>
      </c>
      <c r="D253" s="5"/>
      <c r="E253" s="2" t="s">
        <v>1294</v>
      </c>
      <c r="F253" s="1">
        <v>2.0</v>
      </c>
      <c r="G253" s="3" t="s">
        <v>20</v>
      </c>
    </row>
    <row r="254">
      <c r="A254" s="3" t="s">
        <v>1296</v>
      </c>
      <c r="B254" s="4" t="str">
        <f>IFERROR(__xludf.DUMMYFUNCTION("GOOGLETRANSLATE(A254, ""en"", ""te"")"),"హల్దీరామ్స్ పానీ పూరీ కిట్")</f>
        <v>హల్దీరామ్స్ పానీ పూరీ కిట్</v>
      </c>
      <c r="C254" s="4" t="str">
        <f>IFERROR(__xludf.DUMMYFUNCTION("GOOGLETRANSLATE(A254, ""en"", ""hi"")"),"हल्दीराम की पानी पूरी किट")</f>
        <v>हल्दीराम की पानी पूरी किट</v>
      </c>
      <c r="D254" s="2" t="s">
        <v>1304</v>
      </c>
      <c r="E254" s="2" t="s">
        <v>1294</v>
      </c>
      <c r="F254" s="1">
        <v>2.0</v>
      </c>
      <c r="G254" s="3" t="s">
        <v>20</v>
      </c>
    </row>
    <row r="255">
      <c r="A255" s="3" t="s">
        <v>1307</v>
      </c>
      <c r="B255" s="4" t="str">
        <f>IFERROR(__xludf.DUMMYFUNCTION("GOOGLETRANSLATE(A255, ""en"", ""te"")"),"షానా పానీ పూరీ షెల్స్")</f>
        <v>షానా పానీ పూరీ షెల్స్</v>
      </c>
      <c r="C255" s="4" t="str">
        <f>IFERROR(__xludf.DUMMYFUNCTION("GOOGLETRANSLATE(A255, ""en"", ""hi"")"),"शाना पानी पुरी शैल")</f>
        <v>शाना पानी पुरी शैल</v>
      </c>
      <c r="D255" s="2" t="s">
        <v>1304</v>
      </c>
      <c r="E255" s="2" t="s">
        <v>1294</v>
      </c>
      <c r="F255" s="1">
        <v>2.0</v>
      </c>
      <c r="G255" s="3" t="s">
        <v>20</v>
      </c>
    </row>
    <row r="256">
      <c r="A256" s="3" t="s">
        <v>1317</v>
      </c>
      <c r="B256" s="4" t="str">
        <f>IFERROR(__xludf.DUMMYFUNCTION("GOOGLETRANSLATE(A256, ""en"", ""te"")"),"రూబికాన్ మామిడి రసం పానీయం")</f>
        <v>రూబికాన్ మామిడి రసం పానీయం</v>
      </c>
      <c r="C256" s="4" t="str">
        <f>IFERROR(__xludf.DUMMYFUNCTION("GOOGLETRANSLATE(A256, ""en"", ""hi"")"),"रुबिकॉन मैंगो जूस ड्रिंक")</f>
        <v>रुबिकॉन मैंगो जूस ड्रिंक</v>
      </c>
      <c r="D256" s="5"/>
      <c r="E256" s="2" t="s">
        <v>1330</v>
      </c>
      <c r="F256" s="1">
        <v>2.0</v>
      </c>
      <c r="G256" s="3" t="s">
        <v>71</v>
      </c>
    </row>
    <row r="257">
      <c r="A257" s="3" t="s">
        <v>1332</v>
      </c>
      <c r="B257" s="4" t="str">
        <f>IFERROR(__xludf.DUMMYFUNCTION("GOOGLETRANSLATE(A257, ""en"", ""te"")"),"రూబికాన్ జామ రసం పానీయం")</f>
        <v>రూబికాన్ జామ రసం పానీయం</v>
      </c>
      <c r="C257" s="4" t="str">
        <f>IFERROR(__xludf.DUMMYFUNCTION("GOOGLETRANSLATE(A257, ""en"", ""hi"")"),"रुबिकॉन अमरूद का जूस पेय")</f>
        <v>रुबिकॉन अमरूद का जूस पेय</v>
      </c>
      <c r="D257" s="5"/>
      <c r="E257" s="2" t="s">
        <v>1330</v>
      </c>
      <c r="F257" s="1">
        <v>2.0</v>
      </c>
      <c r="G257" s="3" t="s">
        <v>71</v>
      </c>
    </row>
    <row r="258">
      <c r="A258" s="3" t="s">
        <v>1341</v>
      </c>
      <c r="B258" s="4" t="str">
        <f>IFERROR(__xludf.DUMMYFUNCTION("GOOGLETRANSLATE(A258, ""en"", ""te"")"),"MTR రవ్వ దోస మిక్స్")</f>
        <v>MTR రవ్వ దోస మిక్స్</v>
      </c>
      <c r="C258" s="4" t="str">
        <f>IFERROR(__xludf.DUMMYFUNCTION("GOOGLETRANSLATE(A258, ""en"", ""hi"")"),"एमटीआर रवा डोसा मिक्स")</f>
        <v>एमटीआर रवा डोसा मिक्स</v>
      </c>
      <c r="D258" s="5"/>
      <c r="E258" s="2" t="s">
        <v>940</v>
      </c>
      <c r="F258" s="1">
        <v>2.0</v>
      </c>
      <c r="G258" s="3" t="s">
        <v>71</v>
      </c>
    </row>
    <row r="259">
      <c r="A259" s="3" t="s">
        <v>1350</v>
      </c>
      <c r="B259" s="4" t="str">
        <f>IFERROR(__xludf.DUMMYFUNCTION("GOOGLETRANSLATE(A259, ""en"", ""te"")"),"MTR రవ్వ ఇడ్లీ మిక్స్")</f>
        <v>MTR రవ్వ ఇడ్లీ మిక్స్</v>
      </c>
      <c r="C259" s="4" t="str">
        <f>IFERROR(__xludf.DUMMYFUNCTION("GOOGLETRANSLATE(A259, ""en"", ""hi"")"),"एमटीआर रवा इडली मिक्स")</f>
        <v>एमटीआर रवा इडली मिक्स</v>
      </c>
      <c r="D259" s="2" t="s">
        <v>1356</v>
      </c>
      <c r="E259" s="2" t="s">
        <v>940</v>
      </c>
      <c r="F259" s="1">
        <v>2.0</v>
      </c>
      <c r="G259" s="3" t="s">
        <v>71</v>
      </c>
    </row>
    <row r="260">
      <c r="A260" s="3" t="s">
        <v>1358</v>
      </c>
      <c r="B260" s="4" t="str">
        <f>IFERROR(__xludf.DUMMYFUNCTION("GOOGLETRANSLATE(A260, ""en"", ""te"")"),"విద్యా ఫుడ్స్ పావ్ భాజీ బన్స్")</f>
        <v>విద్యా ఫుడ్స్ పావ్ భాజీ బన్స్</v>
      </c>
      <c r="C260" s="4" t="str">
        <f>IFERROR(__xludf.DUMMYFUNCTION("GOOGLETRANSLATE(A260, ""en"", ""hi"")"),"विद्या फूड्स पाव भाजी बन्स")</f>
        <v>विद्या फूड्स पाव भाजी बन्स</v>
      </c>
      <c r="D260" s="5"/>
      <c r="E260" s="2" t="s">
        <v>1294</v>
      </c>
      <c r="F260" s="1">
        <v>2.0</v>
      </c>
      <c r="G260" s="3" t="s">
        <v>10</v>
      </c>
    </row>
    <row r="261">
      <c r="A261" s="3" t="s">
        <v>1360</v>
      </c>
      <c r="B261" s="4" t="str">
        <f>IFERROR(__xludf.DUMMYFUNCTION("GOOGLETRANSLATE(A261, ""en"", ""te"")"),"షాన్ చనా మసాలా")</f>
        <v>షాన్ చనా మసాలా</v>
      </c>
      <c r="C261" s="4" t="str">
        <f>IFERROR(__xludf.DUMMYFUNCTION("GOOGLETRANSLATE(A261, ""en"", ""hi"")"),"शान चना मसाला")</f>
        <v>शान चना मसाला</v>
      </c>
      <c r="D261" s="5"/>
      <c r="E261" s="2" t="s">
        <v>442</v>
      </c>
      <c r="F261" s="1">
        <v>2.0</v>
      </c>
      <c r="G261" s="3" t="s">
        <v>71</v>
      </c>
    </row>
    <row r="262">
      <c r="A262" s="3" t="s">
        <v>1362</v>
      </c>
      <c r="B262" s="4" t="str">
        <f>IFERROR(__xludf.DUMMYFUNCTION("GOOGLETRANSLATE(A262, ""en"", ""te"")"),"షాన్ చికెన్ మసాలా")</f>
        <v>షాన్ చికెన్ మసాలా</v>
      </c>
      <c r="C262" s="4" t="str">
        <f>IFERROR(__xludf.DUMMYFUNCTION("GOOGLETRANSLATE(A262, ""en"", ""hi"")"),"शान चिकन मसाला")</f>
        <v>शान चिकन मसाला</v>
      </c>
      <c r="D262" s="5"/>
      <c r="E262" s="2" t="s">
        <v>442</v>
      </c>
      <c r="F262" s="1">
        <v>2.0</v>
      </c>
      <c r="G262" s="3" t="s">
        <v>71</v>
      </c>
    </row>
    <row r="263">
      <c r="A263" s="3" t="s">
        <v>1364</v>
      </c>
      <c r="B263" s="4" t="str">
        <f>IFERROR(__xludf.DUMMYFUNCTION("GOOGLETRANSLATE(A263, ""en"", ""te"")"),"MDH కసూరి మేథి")</f>
        <v>MDH కసూరి మేథి</v>
      </c>
      <c r="C263" s="4" t="str">
        <f>IFERROR(__xludf.DUMMYFUNCTION("GOOGLETRANSLATE(A263, ""en"", ""hi"")"),"एमडीएच कसूरी मेथी")</f>
        <v>एमडीएच कसूरी मेथी</v>
      </c>
      <c r="D263" s="5"/>
      <c r="E263" s="2" t="s">
        <v>442</v>
      </c>
      <c r="F263" s="1">
        <v>2.0</v>
      </c>
      <c r="G263" s="3" t="s">
        <v>76</v>
      </c>
    </row>
    <row r="264">
      <c r="A264" s="3" t="s">
        <v>1365</v>
      </c>
      <c r="B264" s="4" t="str">
        <f>IFERROR(__xludf.DUMMYFUNCTION("GOOGLETRANSLATE(A264, ""en"", ""te"")"),"MDH ఫిష్ కర్రీ మసాలా")</f>
        <v>MDH ఫిష్ కర్రీ మసాలా</v>
      </c>
      <c r="C264" s="4" t="str">
        <f>IFERROR(__xludf.DUMMYFUNCTION("GOOGLETRANSLATE(A264, ""en"", ""hi"")"),"एमडीएच फिश करी मसाला")</f>
        <v>एमडीएच फिश करी मसाला</v>
      </c>
      <c r="D264" s="5"/>
      <c r="E264" s="2" t="s">
        <v>442</v>
      </c>
      <c r="F264" s="1">
        <v>2.0</v>
      </c>
      <c r="G264" s="3" t="s">
        <v>76</v>
      </c>
    </row>
    <row r="265">
      <c r="A265" s="3" t="s">
        <v>1367</v>
      </c>
      <c r="B265" s="4" t="str">
        <f>IFERROR(__xludf.DUMMYFUNCTION("GOOGLETRANSLATE(A265, ""en"", ""te"")"),"చెఫ్ చికెన్ కర్రీ మిక్స్")</f>
        <v>చెఫ్ చికెన్ కర్రీ మిక్స్</v>
      </c>
      <c r="C265" s="4" t="str">
        <f>IFERROR(__xludf.DUMMYFUNCTION("GOOGLETRANSLATE(A265, ""en"", ""hi"")"),"शेफ चिकन करी मिक्स")</f>
        <v>शेफ चिकन करी मिक्स</v>
      </c>
      <c r="D265" s="5"/>
      <c r="E265" s="2" t="s">
        <v>940</v>
      </c>
      <c r="F265" s="1">
        <v>2.0</v>
      </c>
      <c r="G265" s="3" t="s">
        <v>29</v>
      </c>
    </row>
    <row r="266">
      <c r="A266" s="3" t="s">
        <v>1370</v>
      </c>
      <c r="B266" s="4" t="str">
        <f>IFERROR(__xludf.DUMMYFUNCTION("GOOGLETRANSLATE(A266, ""en"", ""te"")"),"చెఫ్ బటర్ చికెన్ మిక్స్")</f>
        <v>చెఫ్ బటర్ చికెన్ మిక్స్</v>
      </c>
      <c r="C266" s="4" t="str">
        <f>IFERROR(__xludf.DUMMYFUNCTION("GOOGLETRANSLATE(A266, ""en"", ""hi"")"),"शेफ बटर चिकन मिक्स")</f>
        <v>शेफ बटर चिकन मिक्स</v>
      </c>
      <c r="D266" s="2" t="s">
        <v>1371</v>
      </c>
      <c r="E266" s="2" t="s">
        <v>940</v>
      </c>
      <c r="F266" s="1">
        <v>2.0</v>
      </c>
      <c r="G266" s="3" t="s">
        <v>29</v>
      </c>
    </row>
    <row r="267">
      <c r="A267" s="3" t="s">
        <v>1373</v>
      </c>
      <c r="B267" s="4" t="str">
        <f>IFERROR(__xludf.DUMMYFUNCTION("GOOGLETRANSLATE(A267, ""en"", ""te"")"),"వెర్బెస్ట్ చికెన్ కర్రీ")</f>
        <v>వెర్బెస్ట్ చికెన్ కర్రీ</v>
      </c>
      <c r="C267" s="4" t="str">
        <f>IFERROR(__xludf.DUMMYFUNCTION("GOOGLETRANSLATE(A267, ""en"", ""hi"")"),"वर्बेस्ट चिकन करी")</f>
        <v>वर्बेस्ट चिकन करी</v>
      </c>
      <c r="D267" s="5"/>
      <c r="E267" s="2" t="s">
        <v>940</v>
      </c>
      <c r="F267" s="1">
        <v>2.0</v>
      </c>
      <c r="G267" s="3" t="s">
        <v>29</v>
      </c>
    </row>
    <row r="268">
      <c r="A268" s="3" t="s">
        <v>1374</v>
      </c>
      <c r="B268" s="4" t="str">
        <f>IFERROR(__xludf.DUMMYFUNCTION("GOOGLETRANSLATE(A268, ""en"", ""te"")"),"అమ్మ వంటకం చికెన్ కర్రీ")</f>
        <v>అమ్మ వంటకం చికెన్ కర్రీ</v>
      </c>
      <c r="C268" s="4" t="str">
        <f>IFERROR(__xludf.DUMMYFUNCTION("GOOGLETRANSLATE(A268, ""en"", ""hi"")"),"माँ की रेसिपी से बनी चिकन करी")</f>
        <v>माँ की रेसिपी से बनी चिकन करी</v>
      </c>
      <c r="D268" s="5"/>
      <c r="E268" s="2" t="s">
        <v>940</v>
      </c>
      <c r="F268" s="1">
        <v>2.0</v>
      </c>
      <c r="G268" s="3" t="s">
        <v>29</v>
      </c>
    </row>
    <row r="269">
      <c r="A269" s="3" t="s">
        <v>1376</v>
      </c>
      <c r="B269" s="4" t="str">
        <f>IFERROR(__xludf.DUMMYFUNCTION("GOOGLETRANSLATE(A269, ""en"", ""te"")"),"అమ్మ వంటకం చికెన్ టిక్కా మసాలా")</f>
        <v>అమ్మ వంటకం చికెన్ టిక్కా మసాలా</v>
      </c>
      <c r="C269" s="4" t="str">
        <f>IFERROR(__xludf.DUMMYFUNCTION("GOOGLETRANSLATE(A269, ""en"", ""hi"")"),"माँ की रेसिपी चिकन टिक्का मसाला")</f>
        <v>माँ की रेसिपी चिकन टिक्का मसाला</v>
      </c>
      <c r="D269" s="5"/>
      <c r="E269" s="2" t="s">
        <v>946</v>
      </c>
      <c r="F269" s="1">
        <v>2.0</v>
      </c>
      <c r="G269" s="3" t="s">
        <v>29</v>
      </c>
    </row>
    <row r="270">
      <c r="A270" s="3" t="s">
        <v>1377</v>
      </c>
      <c r="B270" s="4" t="str">
        <f>IFERROR(__xludf.DUMMYFUNCTION("GOOGLETRANSLATE(A270, ""en"", ""te"")"),"షాన్ హలీమ్")</f>
        <v>షాన్ హలీమ్</v>
      </c>
      <c r="C270" s="4" t="str">
        <f>IFERROR(__xludf.DUMMYFUNCTION("GOOGLETRANSLATE(A270, ""en"", ""hi"")"),"शान हलीम")</f>
        <v>शान हलीम</v>
      </c>
      <c r="D270" s="2" t="s">
        <v>1379</v>
      </c>
      <c r="E270" s="2" t="s">
        <v>940</v>
      </c>
      <c r="F270" s="1">
        <v>2.0</v>
      </c>
      <c r="G270" s="3" t="s">
        <v>39</v>
      </c>
    </row>
    <row r="271">
      <c r="A271" s="3" t="s">
        <v>1380</v>
      </c>
      <c r="B271" s="4" t="str">
        <f>IFERROR(__xludf.DUMMYFUNCTION("GOOGLETRANSLATE(A271, ""en"", ""te"")"),"షాన్ ఫ్రైడ్ చాప్స్ / స్టీక్స్")</f>
        <v>షాన్ ఫ్రైడ్ చాప్స్ / స్టీక్స్</v>
      </c>
      <c r="C271" s="4" t="str">
        <f>IFERROR(__xludf.DUMMYFUNCTION("GOOGLETRANSLATE(A271, ""en"", ""hi"")"),"शान फ्राइड चॉप्स / स्टेक")</f>
        <v>शान फ्राइड चॉप्स / स्टेक</v>
      </c>
      <c r="D271" s="2" t="s">
        <v>1382</v>
      </c>
      <c r="E271" s="2" t="s">
        <v>1294</v>
      </c>
      <c r="F271" s="1">
        <v>2.0</v>
      </c>
      <c r="G271" s="3" t="s">
        <v>39</v>
      </c>
    </row>
    <row r="272">
      <c r="A272" s="3" t="s">
        <v>1383</v>
      </c>
      <c r="B272" s="4" t="str">
        <f>IFERROR(__xludf.DUMMYFUNCTION("GOOGLETRANSLATE(A272, ""en"", ""te"")"),"షాన్ ఫ్రైడ్ ఫిష్")</f>
        <v>షాన్ ఫ్రైడ్ ఫిష్</v>
      </c>
      <c r="C272" s="4" t="str">
        <f>IFERROR(__xludf.DUMMYFUNCTION("GOOGLETRANSLATE(A272, ""en"", ""hi"")"),"शान तली हुई मछली")</f>
        <v>शान तली हुई मछली</v>
      </c>
      <c r="D272" s="5"/>
      <c r="E272" s="2" t="s">
        <v>351</v>
      </c>
      <c r="F272" s="1">
        <v>2.0</v>
      </c>
      <c r="G272" s="3" t="s">
        <v>39</v>
      </c>
    </row>
    <row r="273">
      <c r="A273" s="3" t="s">
        <v>1425</v>
      </c>
      <c r="B273" s="4" t="str">
        <f>IFERROR(__xludf.DUMMYFUNCTION("GOOGLETRANSLATE(A273, ""en"", ""te"")"),"షాన్ ఫిష్ బిర్యానీ")</f>
        <v>షాన్ ఫిష్ బిర్యానీ</v>
      </c>
      <c r="C273" s="4" t="str">
        <f>IFERROR(__xludf.DUMMYFUNCTION("GOOGLETRANSLATE(A273, ""en"", ""hi"")"),"शान फिश बिरयानी")</f>
        <v>शान फिश बिरयानी</v>
      </c>
      <c r="D273" s="2" t="s">
        <v>1431</v>
      </c>
      <c r="E273" s="2" t="s">
        <v>351</v>
      </c>
      <c r="F273" s="1">
        <v>2.0</v>
      </c>
      <c r="G273" s="3" t="s">
        <v>39</v>
      </c>
    </row>
    <row r="274">
      <c r="A274" s="3" t="s">
        <v>1435</v>
      </c>
      <c r="B274" s="4" t="str">
        <f>IFERROR(__xludf.DUMMYFUNCTION("GOOGLETRANSLATE(A274, ""en"", ""te"")"),"షాన్ దాల్ మసాలా")</f>
        <v>షాన్ దాల్ మసాలా</v>
      </c>
      <c r="C274" s="4" t="str">
        <f>IFERROR(__xludf.DUMMYFUNCTION("GOOGLETRANSLATE(A274, ""en"", ""hi"")"),"शान दाल मसाला")</f>
        <v>शान दाल मसाला</v>
      </c>
      <c r="D274" s="5"/>
      <c r="E274" s="2" t="s">
        <v>442</v>
      </c>
      <c r="F274" s="1">
        <v>2.0</v>
      </c>
      <c r="G274" s="3" t="s">
        <v>39</v>
      </c>
    </row>
    <row r="275">
      <c r="A275" s="3" t="s">
        <v>1444</v>
      </c>
      <c r="B275" s="4" t="str">
        <f>IFERROR(__xludf.DUMMYFUNCTION("GOOGLETRANSLATE(A275, ""en"", ""te"")"),"షాన్ కర్రీ పౌడర్")</f>
        <v>షాన్ కర్రీ పౌడర్</v>
      </c>
      <c r="C275" s="4" t="str">
        <f>IFERROR(__xludf.DUMMYFUNCTION("GOOGLETRANSLATE(A275, ""en"", ""hi"")"),"शान करी पाउडर")</f>
        <v>शान करी पाउडर</v>
      </c>
      <c r="D275" s="2" t="s">
        <v>1449</v>
      </c>
      <c r="E275" s="2" t="s">
        <v>442</v>
      </c>
      <c r="F275" s="1">
        <v>2.0</v>
      </c>
      <c r="G275" s="3" t="s">
        <v>39</v>
      </c>
    </row>
    <row r="276">
      <c r="A276" s="3" t="s">
        <v>1452</v>
      </c>
      <c r="B276" s="4" t="str">
        <f>IFERROR(__xludf.DUMMYFUNCTION("GOOGLETRANSLATE(A276, ""en"", ""te"")"),"షాన్ చికెన్ టిక్కా")</f>
        <v>షాన్ చికెన్ టిక్కా</v>
      </c>
      <c r="C276" s="4" t="str">
        <f>IFERROR(__xludf.DUMMYFUNCTION("GOOGLETRANSLATE(A276, ""en"", ""hi"")"),"शान चिकन टिक्का")</f>
        <v>शान चिकन टिक्का</v>
      </c>
      <c r="D276" s="2" t="s">
        <v>1459</v>
      </c>
      <c r="E276" s="2" t="s">
        <v>940</v>
      </c>
      <c r="F276" s="1">
        <v>2.0</v>
      </c>
      <c r="G276" s="3" t="s">
        <v>39</v>
      </c>
    </row>
    <row r="277">
      <c r="A277" s="3" t="s">
        <v>1461</v>
      </c>
      <c r="B277" s="4" t="str">
        <f>IFERROR(__xludf.DUMMYFUNCTION("GOOGLETRANSLATE(A277, ""en"", ""te"")"),"షాన్ చికెన్ 65")</f>
        <v>షాన్ చికెన్ 65</v>
      </c>
      <c r="C277" s="4" t="str">
        <f>IFERROR(__xludf.DUMMYFUNCTION("GOOGLETRANSLATE(A277, ""en"", ""hi"")"),"शान चिकन 65")</f>
        <v>शान चिकन 65</v>
      </c>
      <c r="D277" s="2" t="s">
        <v>1466</v>
      </c>
      <c r="E277" s="2" t="s">
        <v>940</v>
      </c>
      <c r="F277" s="1">
        <v>2.0</v>
      </c>
      <c r="G277" s="3" t="s">
        <v>39</v>
      </c>
    </row>
    <row r="278">
      <c r="A278" s="3" t="s">
        <v>1470</v>
      </c>
      <c r="B278" s="4" t="str">
        <f>IFERROR(__xludf.DUMMYFUNCTION("GOOGLETRANSLATE(A278, ""en"", ""te"")"),"షాన్ చాట్ మసాలా")</f>
        <v>షాన్ చాట్ మసాలా</v>
      </c>
      <c r="C278" s="4" t="str">
        <f>IFERROR(__xludf.DUMMYFUNCTION("GOOGLETRANSLATE(A278, ""en"", ""hi"")"),"शान चाट मसाला")</f>
        <v>शान चाट मसाला</v>
      </c>
      <c r="D278" s="5"/>
      <c r="E278" s="2" t="s">
        <v>442</v>
      </c>
      <c r="F278" s="1">
        <v>2.0</v>
      </c>
      <c r="G278" s="3" t="s">
        <v>39</v>
      </c>
    </row>
    <row r="279">
      <c r="A279" s="3" t="s">
        <v>1475</v>
      </c>
      <c r="B279" s="4" t="str">
        <f>IFERROR(__xludf.DUMMYFUNCTION("GOOGLETRANSLATE(A279, ""en"", ""te"")"),"MDH పకోరా మసాలా")</f>
        <v>MDH పకోరా మసాలా</v>
      </c>
      <c r="C279" s="4" t="str">
        <f>IFERROR(__xludf.DUMMYFUNCTION("GOOGLETRANSLATE(A279, ""en"", ""hi"")"),"एमडीएच पकोड़ा मसाला")</f>
        <v>एमडीएच पकोड़ा मसाला</v>
      </c>
      <c r="D279" s="2" t="s">
        <v>1483</v>
      </c>
      <c r="E279" s="2" t="s">
        <v>442</v>
      </c>
      <c r="F279" s="1">
        <v>2.0</v>
      </c>
      <c r="G279" s="3" t="s">
        <v>194</v>
      </c>
    </row>
    <row r="280">
      <c r="A280" s="3" t="s">
        <v>1485</v>
      </c>
      <c r="B280" s="4" t="str">
        <f>IFERROR(__xludf.DUMMYFUNCTION("GOOGLETRANSLATE(A280, ""en"", ""te"")"),"MDH పావ్ భాజీ మసాలా")</f>
        <v>MDH పావ్ భాజీ మసాలా</v>
      </c>
      <c r="C280" s="4" t="str">
        <f>IFERROR(__xludf.DUMMYFUNCTION("GOOGLETRANSLATE(A280, ""en"", ""hi"")"),"एमडीएच पाव भाजी मसाला")</f>
        <v>एमडीएच पाव भाजी मसाला</v>
      </c>
      <c r="D280" s="5"/>
      <c r="E280" s="2" t="s">
        <v>442</v>
      </c>
      <c r="F280" s="1">
        <v>2.0</v>
      </c>
      <c r="G280" s="3" t="s">
        <v>194</v>
      </c>
    </row>
    <row r="281">
      <c r="A281" s="3" t="s">
        <v>1492</v>
      </c>
      <c r="B281" s="4" t="str">
        <f>IFERROR(__xludf.DUMMYFUNCTION("GOOGLETRANSLATE(A281, ""en"", ""te"")"),"MDH కరాహి గోష్ట్")</f>
        <v>MDH కరాహి గోష్ట్</v>
      </c>
      <c r="C281" s="4" t="str">
        <f>IFERROR(__xludf.DUMMYFUNCTION("GOOGLETRANSLATE(A281, ""en"", ""hi"")"),"एमडीएच कराही गोश्त")</f>
        <v>एमडीएच कराही गोश्त</v>
      </c>
      <c r="D281" s="5"/>
      <c r="E281" s="2" t="s">
        <v>442</v>
      </c>
      <c r="F281" s="1">
        <v>2.0</v>
      </c>
      <c r="G281" s="3" t="s">
        <v>194</v>
      </c>
    </row>
    <row r="282">
      <c r="A282" s="3" t="s">
        <v>1499</v>
      </c>
      <c r="B282" s="4" t="str">
        <f>IFERROR(__xludf.DUMMYFUNCTION("GOOGLETRANSLATE(A282, ""en"", ""te"")"),"MDH కరాహీ చికెన్")</f>
        <v>MDH కరాహీ చికెన్</v>
      </c>
      <c r="C282" s="4" t="str">
        <f>IFERROR(__xludf.DUMMYFUNCTION("GOOGLETRANSLATE(A282, ""en"", ""hi"")"),"एमडीएच कराही चिकन")</f>
        <v>एमडीएच कराही चिकन</v>
      </c>
      <c r="D282" s="5"/>
      <c r="E282" s="2" t="s">
        <v>442</v>
      </c>
      <c r="F282" s="1">
        <v>2.0</v>
      </c>
      <c r="G282" s="3" t="s">
        <v>194</v>
      </c>
    </row>
    <row r="283">
      <c r="A283" s="3" t="s">
        <v>1506</v>
      </c>
      <c r="B283" s="4" t="str">
        <f>IFERROR(__xludf.DUMMYFUNCTION("GOOGLETRANSLATE(A283, ""en"", ""te"")"),"MDH నెమలి కసూరి మెంతి")</f>
        <v>MDH నెమలి కసూరి మెంతి</v>
      </c>
      <c r="C283" s="4" t="str">
        <f>IFERROR(__xludf.DUMMYFUNCTION("GOOGLETRANSLATE(A283, ""en"", ""hi"")"),"एमडीएच पीकॉक कसूरी मेथी")</f>
        <v>एमडीएच पीकॉक कसूरी मेथी</v>
      </c>
      <c r="D283" s="5"/>
      <c r="E283" s="2" t="s">
        <v>442</v>
      </c>
      <c r="F283" s="1">
        <v>2.0</v>
      </c>
      <c r="G283" s="3" t="s">
        <v>194</v>
      </c>
    </row>
    <row r="284">
      <c r="A284" s="3" t="s">
        <v>1560</v>
      </c>
      <c r="B284" s="4" t="str">
        <f>IFERROR(__xludf.DUMMYFUNCTION("GOOGLETRANSLATE(A284, ""en"", ""te"")"),"MDH కిచెన్ కింగ్")</f>
        <v>MDH కిచెన్ కింగ్</v>
      </c>
      <c r="C284" s="4" t="str">
        <f>IFERROR(__xludf.DUMMYFUNCTION("GOOGLETRANSLATE(A284, ""en"", ""hi"")"),"एमडीएच किचन किंग")</f>
        <v>एमडीएच किचन किंग</v>
      </c>
      <c r="D284" s="5"/>
      <c r="E284" s="2" t="s">
        <v>442</v>
      </c>
      <c r="F284" s="1">
        <v>2.0</v>
      </c>
      <c r="G284" s="3" t="s">
        <v>194</v>
      </c>
    </row>
    <row r="285">
      <c r="A285" s="3" t="s">
        <v>1365</v>
      </c>
      <c r="B285" s="4" t="str">
        <f>IFERROR(__xludf.DUMMYFUNCTION("GOOGLETRANSLATE(A285, ""en"", ""te"")"),"MDH ఫిష్ కర్రీ మసాలా")</f>
        <v>MDH ఫిష్ కర్రీ మసాలా</v>
      </c>
      <c r="C285" s="4" t="str">
        <f>IFERROR(__xludf.DUMMYFUNCTION("GOOGLETRANSLATE(A285, ""en"", ""hi"")"),"एमडीएच फिश करी मसाला")</f>
        <v>एमडीएच फिश करी मसाला</v>
      </c>
      <c r="D285" s="5"/>
      <c r="E285" s="2" t="s">
        <v>442</v>
      </c>
      <c r="F285" s="1">
        <v>2.0</v>
      </c>
      <c r="G285" s="3" t="s">
        <v>194</v>
      </c>
    </row>
    <row r="286">
      <c r="A286" s="3" t="s">
        <v>1576</v>
      </c>
      <c r="B286" s="4" t="str">
        <f>IFERROR(__xludf.DUMMYFUNCTION("GOOGLETRANSLATE(A286, ""en"", ""te"")"),"MDH దహివాడ రైతా మసాలా")</f>
        <v>MDH దహివాడ రైతా మసాలా</v>
      </c>
      <c r="C286" s="4" t="str">
        <f>IFERROR(__xludf.DUMMYFUNCTION("GOOGLETRANSLATE(A286, ""en"", ""hi"")"),"एमडीएच दहीवड़ा रायता मसाला")</f>
        <v>एमडीएच दहीवड़ा रायता मसाला</v>
      </c>
      <c r="D286" s="5"/>
      <c r="E286" s="2" t="s">
        <v>442</v>
      </c>
      <c r="F286" s="1">
        <v>2.0</v>
      </c>
      <c r="G286" s="3" t="s">
        <v>194</v>
      </c>
    </row>
    <row r="287">
      <c r="A287" s="3" t="s">
        <v>1014</v>
      </c>
      <c r="B287" s="4" t="str">
        <f>IFERROR(__xludf.DUMMYFUNCTION("GOOGLETRANSLATE(A287, ""en"", ""te"")"),"MDH చంకీ చాట్ మసాలా")</f>
        <v>MDH చంకీ చాట్ మసాలా</v>
      </c>
      <c r="C287" s="4" t="str">
        <f>IFERROR(__xludf.DUMMYFUNCTION("GOOGLETRANSLATE(A287, ""en"", ""hi"")"),"एमडीएच चंकी चाट मसाला")</f>
        <v>एमडीएच चंकी चाट मसाला</v>
      </c>
      <c r="D287" s="2" t="s">
        <v>1021</v>
      </c>
      <c r="E287" s="2" t="s">
        <v>442</v>
      </c>
      <c r="F287" s="1">
        <v>2.0</v>
      </c>
      <c r="G287" s="3" t="s">
        <v>194</v>
      </c>
    </row>
    <row r="288">
      <c r="A288" s="3" t="s">
        <v>1593</v>
      </c>
      <c r="B288" s="4" t="str">
        <f>IFERROR(__xludf.DUMMYFUNCTION("GOOGLETRANSLATE(A288, ""en"", ""te"")"),"జస్ట్ ఆర్గానిక్ టర్మరిక్ పౌడర్")</f>
        <v>జస్ట్ ఆర్గానిక్ టర్మరిక్ పౌడర్</v>
      </c>
      <c r="C288" s="4" t="str">
        <f>IFERROR(__xludf.DUMMYFUNCTION("GOOGLETRANSLATE(A288, ""en"", ""hi"")"),"जस्ट ऑर्गेनिक हल्दी पाउडर")</f>
        <v>जस्ट ऑर्गेनिक हल्दी पाउडर</v>
      </c>
      <c r="D288" s="2" t="s">
        <v>1599</v>
      </c>
      <c r="E288" s="2" t="s">
        <v>442</v>
      </c>
      <c r="F288" s="1">
        <v>2.0</v>
      </c>
      <c r="G288" s="3" t="s">
        <v>240</v>
      </c>
    </row>
    <row r="289">
      <c r="A289" s="3" t="s">
        <v>1603</v>
      </c>
      <c r="B289" s="4" t="str">
        <f>IFERROR(__xludf.DUMMYFUNCTION("GOOGLETRANSLATE(A289, ""en"", ""te"")"),"జస్ట్ ఆర్గానిక్ కొత్తిమీర పొడి")</f>
        <v>జస్ట్ ఆర్గానిక్ కొత్తిమీర పొడి</v>
      </c>
      <c r="C289" s="4" t="str">
        <f>IFERROR(__xludf.DUMMYFUNCTION("GOOGLETRANSLATE(A289, ""en"", ""hi"")"),"जस्ट ऑर्गेनिक धनिया पाउडर")</f>
        <v>जस्ट ऑर्गेनिक धनिया पाउडर</v>
      </c>
      <c r="D289" s="2" t="s">
        <v>1609</v>
      </c>
      <c r="E289" s="2" t="s">
        <v>442</v>
      </c>
      <c r="F289" s="1">
        <v>2.0</v>
      </c>
      <c r="G289" s="3" t="s">
        <v>240</v>
      </c>
    </row>
    <row r="290">
      <c r="A290" s="3" t="s">
        <v>1611</v>
      </c>
      <c r="B290" s="4" t="str">
        <f>IFERROR(__xludf.DUMMYFUNCTION("GOOGLETRANSLATE(A290, ""en"", ""te"")"),"జస్ట్ ఆర్గానిక్ మస్టర్డ్")</f>
        <v>జస్ట్ ఆర్గానిక్ మస్టర్డ్</v>
      </c>
      <c r="C290" s="4" t="str">
        <f>IFERROR(__xludf.DUMMYFUNCTION("GOOGLETRANSLATE(A290, ""en"", ""hi"")"),"जस्ट ऑर्गेनिक मस्टर्ड")</f>
        <v>जस्ट ऑर्गेनिक मस्टर्ड</v>
      </c>
      <c r="D290" s="2" t="s">
        <v>1617</v>
      </c>
      <c r="E290" s="2" t="s">
        <v>442</v>
      </c>
      <c r="F290" s="1">
        <v>2.0</v>
      </c>
      <c r="G290" s="3" t="s">
        <v>240</v>
      </c>
    </row>
    <row r="291">
      <c r="A291" s="3" t="s">
        <v>1619</v>
      </c>
      <c r="B291" s="4" t="str">
        <f>IFERROR(__xludf.DUMMYFUNCTION("GOOGLETRANSLATE(A291, ""en"", ""te"")"),"జస్ట్ ఆర్గానిక్ రెడ్ చిల్లీ")</f>
        <v>జస్ట్ ఆర్గానిక్ రెడ్ చిల్లీ</v>
      </c>
      <c r="C291" s="4" t="str">
        <f>IFERROR(__xludf.DUMMYFUNCTION("GOOGLETRANSLATE(A291, ""en"", ""hi"")"),"जस्ट ऑर्गेनिक लाल मिर्च")</f>
        <v>जस्ट ऑर्गेनिक लाल मिर्च</v>
      </c>
      <c r="D291" s="2" t="s">
        <v>1636</v>
      </c>
      <c r="E291" s="2" t="s">
        <v>442</v>
      </c>
      <c r="F291" s="1">
        <v>2.0</v>
      </c>
      <c r="G291" s="3" t="s">
        <v>240</v>
      </c>
    </row>
    <row r="292">
      <c r="A292" s="3" t="s">
        <v>1642</v>
      </c>
      <c r="B292" s="4" t="str">
        <f>IFERROR(__xludf.DUMMYFUNCTION("GOOGLETRANSLATE(A292, ""en"", ""te"")"),"పటేల్ బ్రదర్స్ మలపుడి")</f>
        <v>పటేల్ బ్రదర్స్ మలపుడి</v>
      </c>
      <c r="C292" s="4" t="str">
        <f>IFERROR(__xludf.DUMMYFUNCTION("GOOGLETRANSLATE(A292, ""en"", ""hi"")"),"पटेल ब्रदर्स, मलपुड़ी")</f>
        <v>पटेल ब्रदर्स, मलपुड़ी</v>
      </c>
      <c r="D292" s="5"/>
      <c r="E292" s="2" t="s">
        <v>1038</v>
      </c>
      <c r="F292" s="1">
        <v>2.0</v>
      </c>
      <c r="G292" s="3" t="s">
        <v>240</v>
      </c>
    </row>
    <row r="293">
      <c r="A293" s="3" t="s">
        <v>1645</v>
      </c>
      <c r="B293" s="4" t="str">
        <f>IFERROR(__xludf.DUMMYFUNCTION("GOOGLETRANSLATE(A293, ""en"", ""te"")"),"జనని మాలపుడి")</f>
        <v>జనని మాలపుడి</v>
      </c>
      <c r="C293" s="4" t="str">
        <f>IFERROR(__xludf.DUMMYFUNCTION("GOOGLETRANSLATE(A293, ""en"", ""hi"")"),"जननी मलपुडी")</f>
        <v>जननी मलपुडी</v>
      </c>
      <c r="D293" s="5"/>
      <c r="E293" s="2" t="s">
        <v>1038</v>
      </c>
      <c r="F293" s="1">
        <v>2.0</v>
      </c>
      <c r="G293" s="3" t="s">
        <v>240</v>
      </c>
    </row>
    <row r="294">
      <c r="A294" s="3" t="s">
        <v>1654</v>
      </c>
      <c r="B294" s="4" t="str">
        <f>IFERROR(__xludf.DUMMYFUNCTION("GOOGLETRANSLATE(A294, ""en"", ""te"")"),"సెంచరీ ఖిచ్డీ మసాలా")</f>
        <v>సెంచరీ ఖిచ్డీ మసాలా</v>
      </c>
      <c r="C294" s="4" t="str">
        <f>IFERROR(__xludf.DUMMYFUNCTION("GOOGLETRANSLATE(A294, ""en"", ""hi"")"),"सेंचुरी खिचड़ी मसाला")</f>
        <v>सेंचुरी खिचड़ी मसाला</v>
      </c>
      <c r="D294" s="2" t="s">
        <v>1655</v>
      </c>
      <c r="E294" s="2" t="s">
        <v>442</v>
      </c>
      <c r="F294" s="1">
        <v>2.0</v>
      </c>
      <c r="G294" s="3" t="s">
        <v>240</v>
      </c>
    </row>
    <row r="295">
      <c r="A295" s="3" t="s">
        <v>1656</v>
      </c>
      <c r="B295" s="4" t="str">
        <f>IFERROR(__xludf.DUMMYFUNCTION("GOOGLETRANSLATE(A295, ""en"", ""te"")"),"సెంచరీ సబ్జీ మసాలా")</f>
        <v>సెంచరీ సబ్జీ మసాలా</v>
      </c>
      <c r="C295" s="4" t="str">
        <f>IFERROR(__xludf.DUMMYFUNCTION("GOOGLETRANSLATE(A295, ""en"", ""hi"")"),"सेंचुरी सब्जी मसाला")</f>
        <v>सेंचुरी सब्जी मसाला</v>
      </c>
      <c r="D295" s="2" t="s">
        <v>1655</v>
      </c>
      <c r="E295" s="2" t="s">
        <v>442</v>
      </c>
      <c r="F295" s="1">
        <v>2.0</v>
      </c>
      <c r="G295" s="3" t="s">
        <v>240</v>
      </c>
    </row>
    <row r="296">
      <c r="A296" s="3" t="s">
        <v>1661</v>
      </c>
      <c r="B296" s="4" t="str">
        <f>IFERROR(__xludf.DUMMYFUNCTION("GOOGLETRANSLATE(A296, ""en"", ""te"")"),"సెంచరీ పానీపూరి మసాలా")</f>
        <v>సెంచరీ పానీపూరి మసాలా</v>
      </c>
      <c r="C296" s="4" t="str">
        <f>IFERROR(__xludf.DUMMYFUNCTION("GOOGLETRANSLATE(A296, ""en"", ""hi"")"),"सेंचुरी पानीपुरी मसाला")</f>
        <v>सेंचुरी पानीपुरी मसाला</v>
      </c>
      <c r="D296" s="2" t="s">
        <v>1304</v>
      </c>
      <c r="E296" s="2" t="s">
        <v>442</v>
      </c>
      <c r="F296" s="1">
        <v>2.0</v>
      </c>
      <c r="G296" s="3" t="s">
        <v>240</v>
      </c>
    </row>
    <row r="297">
      <c r="A297" s="3" t="s">
        <v>1669</v>
      </c>
      <c r="B297" s="4" t="str">
        <f>IFERROR(__xludf.DUMMYFUNCTION("GOOGLETRANSLATE(A297, ""en"", ""te"")"),"సెంచరీ మోమో మసాలా")</f>
        <v>సెంచరీ మోమో మసాలా</v>
      </c>
      <c r="C297" s="4" t="str">
        <f>IFERROR(__xludf.DUMMYFUNCTION("GOOGLETRANSLATE(A297, ""en"", ""hi"")"),"सेंचुरी मोमो मसाला")</f>
        <v>सेंचुरी मोमो मसाला</v>
      </c>
      <c r="D297" s="2" t="s">
        <v>1676</v>
      </c>
      <c r="E297" s="2" t="s">
        <v>442</v>
      </c>
      <c r="F297" s="1">
        <v>2.0</v>
      </c>
      <c r="G297" s="3" t="s">
        <v>240</v>
      </c>
    </row>
    <row r="298">
      <c r="A298" s="3" t="s">
        <v>1677</v>
      </c>
      <c r="B298" s="4" t="str">
        <f>IFERROR(__xludf.DUMMYFUNCTION("GOOGLETRANSLATE(A298, ""en"", ""te"")"),"సెంచరీ గరం మసాలా")</f>
        <v>సెంచరీ గరం మసాలా</v>
      </c>
      <c r="C298" s="4" t="str">
        <f>IFERROR(__xludf.DUMMYFUNCTION("GOOGLETRANSLATE(A298, ""en"", ""hi"")"),"सेंचुरी गरम मसाला")</f>
        <v>सेंचुरी गरम मसाला</v>
      </c>
      <c r="D298" s="2" t="s">
        <v>1070</v>
      </c>
      <c r="E298" s="2" t="s">
        <v>442</v>
      </c>
      <c r="F298" s="1">
        <v>2.0</v>
      </c>
      <c r="G298" s="3" t="s">
        <v>240</v>
      </c>
    </row>
    <row r="299">
      <c r="A299" s="3" t="s">
        <v>1681</v>
      </c>
      <c r="B299" s="4" t="str">
        <f>IFERROR(__xludf.DUMMYFUNCTION("GOOGLETRANSLATE(A299, ""en"", ""te"")"),"సెంచరీ చాట్‌పటే మసాలా")</f>
        <v>సెంచరీ చాట్‌పటే మసాలా</v>
      </c>
      <c r="C299" s="4" t="str">
        <f>IFERROR(__xludf.DUMMYFUNCTION("GOOGLETRANSLATE(A299, ""en"", ""hi"")"),"सेंचुरी चटपटे मसाला")</f>
        <v>सेंचुरी चटपटे मसाला</v>
      </c>
      <c r="D299" s="5"/>
      <c r="E299" s="2" t="s">
        <v>442</v>
      </c>
      <c r="F299" s="1">
        <v>2.0</v>
      </c>
      <c r="G299" s="3" t="s">
        <v>240</v>
      </c>
    </row>
    <row r="300">
      <c r="A300" s="3" t="s">
        <v>1690</v>
      </c>
      <c r="B300" s="4" t="str">
        <f>IFERROR(__xludf.DUMMYFUNCTION("GOOGLETRANSLATE(A300, ""en"", ""te"")"),"స్వాద్ జీలకర్ర పొడి")</f>
        <v>స్వాద్ జీలకర్ర పొడి</v>
      </c>
      <c r="C300" s="4" t="str">
        <f>IFERROR(__xludf.DUMMYFUNCTION("GOOGLETRANSLATE(A300, ""en"", ""hi"")"),"स्वाद जीरा पाउडर")</f>
        <v>स्वाद जीरा पाउडर</v>
      </c>
      <c r="D300" s="2" t="s">
        <v>1695</v>
      </c>
      <c r="E300" s="2" t="s">
        <v>442</v>
      </c>
      <c r="F300" s="1">
        <v>2.0</v>
      </c>
      <c r="G300" s="3" t="s">
        <v>258</v>
      </c>
    </row>
    <row r="301">
      <c r="A301" s="3" t="s">
        <v>1696</v>
      </c>
      <c r="B301" s="4" t="str">
        <f>IFERROR(__xludf.DUMMYFUNCTION("GOOGLETRANSLATE(A301, ""en"", ""te"")"),"లక్ష్మి జీలకర్ర గింజలు")</f>
        <v>లక్ష్మి జీలకర్ర గింజలు</v>
      </c>
      <c r="C301" s="4" t="str">
        <f>IFERROR(__xludf.DUMMYFUNCTION("GOOGLETRANSLATE(A301, ""en"", ""hi"")"),"लक्ष्मी जीरा के बीज")</f>
        <v>लक्ष्मी जीरा के बीज</v>
      </c>
      <c r="D301" s="2" t="s">
        <v>1701</v>
      </c>
      <c r="E301" s="2" t="s">
        <v>442</v>
      </c>
      <c r="F301" s="1">
        <v>2.0</v>
      </c>
      <c r="G301" s="3" t="s">
        <v>258</v>
      </c>
    </row>
    <row r="302">
      <c r="A302" s="3" t="s">
        <v>1709</v>
      </c>
      <c r="B302" s="4" t="str">
        <f>IFERROR(__xludf.DUMMYFUNCTION("GOOGLETRANSLATE(A302, ""en"", ""te"")"),"లక్ష్మి బే ఆకులు")</f>
        <v>లక్ష్మి బే ఆకులు</v>
      </c>
      <c r="C302" s="4" t="str">
        <f>IFERROR(__xludf.DUMMYFUNCTION("GOOGLETRANSLATE(A302, ""en"", ""hi"")"),"लक्ष्मी तेज पत्ते")</f>
        <v>लक्ष्मी तेज पत्ते</v>
      </c>
      <c r="D302" s="5"/>
      <c r="E302" s="2" t="s">
        <v>442</v>
      </c>
      <c r="F302" s="1">
        <v>2.0</v>
      </c>
      <c r="G302" s="3" t="s">
        <v>258</v>
      </c>
    </row>
    <row r="303">
      <c r="A303" s="3" t="s">
        <v>1716</v>
      </c>
      <c r="B303" s="4" t="str">
        <f>IFERROR(__xludf.DUMMYFUNCTION("GOOGLETRANSLATE(A303, ""en"", ""te"")"),"స్వాద్ బే ఆకులు")</f>
        <v>స్వాద్ బే ఆకులు</v>
      </c>
      <c r="C303" s="4" t="str">
        <f>IFERROR(__xludf.DUMMYFUNCTION("GOOGLETRANSLATE(A303, ""en"", ""hi"")"),"स्वाद तेज पत्ता")</f>
        <v>स्वाद तेज पत्ता</v>
      </c>
      <c r="D303" s="5"/>
      <c r="E303" s="2" t="s">
        <v>442</v>
      </c>
      <c r="F303" s="1">
        <v>2.0</v>
      </c>
      <c r="G303" s="3" t="s">
        <v>258</v>
      </c>
    </row>
    <row r="304">
      <c r="A304" s="3" t="s">
        <v>1724</v>
      </c>
      <c r="B304" s="4" t="str">
        <f>IFERROR(__xludf.DUMMYFUNCTION("GOOGLETRANSLATE(A304, ""en"", ""te"")"),"స్వాద్ మొత్తం నల్ల మిరియాలు")</f>
        <v>స్వాద్ మొత్తం నల్ల మిరియాలు</v>
      </c>
      <c r="C304" s="4" t="str">
        <f>IFERROR(__xludf.DUMMYFUNCTION("GOOGLETRANSLATE(A304, ""en"", ""hi"")"),"स्वाद साबुत काली मिर्च")</f>
        <v>स्वाद साबुत काली मिर्च</v>
      </c>
      <c r="D304" s="5"/>
      <c r="E304" s="2" t="s">
        <v>442</v>
      </c>
      <c r="F304" s="1">
        <v>2.0</v>
      </c>
      <c r="G304" s="3" t="s">
        <v>258</v>
      </c>
    </row>
    <row r="305">
      <c r="A305" s="3" t="s">
        <v>1773</v>
      </c>
      <c r="B305" s="4" t="str">
        <f>IFERROR(__xludf.DUMMYFUNCTION("GOOGLETRANSLATE(A305, ""en"", ""te"")"),"లక్ష్మి, నల్ల మిరియాల పొడి")</f>
        <v>లక్ష్మి, నల్ల మిరియాల పొడి</v>
      </c>
      <c r="C305" s="4" t="str">
        <f>IFERROR(__xludf.DUMMYFUNCTION("GOOGLETRANSLATE(A305, ""en"", ""hi"")"),"लक्ष्मी साबुत काली मिर्च")</f>
        <v>लक्ष्मी साबुत काली मिर्च</v>
      </c>
      <c r="D305" s="5"/>
      <c r="E305" s="2" t="s">
        <v>442</v>
      </c>
      <c r="F305" s="1">
        <v>2.0</v>
      </c>
      <c r="G305" s="3" t="s">
        <v>258</v>
      </c>
    </row>
    <row r="306">
      <c r="A306" s="3" t="s">
        <v>1181</v>
      </c>
      <c r="B306" s="4" t="str">
        <f>IFERROR(__xludf.DUMMYFUNCTION("GOOGLETRANSLATE(A306, ""en"", ""te"")"),"లక్ష్మి నల్ల మిరియాల పొడి")</f>
        <v>లక్ష్మి నల్ల మిరియాల పొడి</v>
      </c>
      <c r="C306" s="4" t="str">
        <f>IFERROR(__xludf.DUMMYFUNCTION("GOOGLETRANSLATE(A306, ""en"", ""hi"")"),"लक्ष्मी काली मिर्च पाउडर")</f>
        <v>लक्ष्मी काली मिर्च पाउडर</v>
      </c>
      <c r="D306" s="5"/>
      <c r="E306" s="2" t="s">
        <v>442</v>
      </c>
      <c r="F306" s="1">
        <v>2.0</v>
      </c>
      <c r="G306" s="3" t="s">
        <v>258</v>
      </c>
    </row>
    <row r="307">
      <c r="A307" s="3" t="s">
        <v>1912</v>
      </c>
      <c r="B307" s="4" t="str">
        <f>IFERROR(__xludf.DUMMYFUNCTION("GOOGLETRANSLATE(A307, ""en"", ""te"")"),"ఆరా పానీ పూరీ (గోల్ గప్పే)")</f>
        <v>ఆరా పానీ పూరీ (గోల్ గప్పే)</v>
      </c>
      <c r="C307" s="4" t="str">
        <f>IFERROR(__xludf.DUMMYFUNCTION("GOOGLETRANSLATE(A307, ""en"", ""hi"")"),"आरा पानी पुरी (गोल गप्पे)")</f>
        <v>आरा पानी पुरी (गोल गप्पे)</v>
      </c>
      <c r="D307" s="2" t="s">
        <v>1304</v>
      </c>
      <c r="E307" s="2" t="s">
        <v>1294</v>
      </c>
      <c r="F307" s="1">
        <v>2.0</v>
      </c>
      <c r="G307" s="3" t="s">
        <v>292</v>
      </c>
    </row>
    <row r="308">
      <c r="A308" s="3" t="s">
        <v>1924</v>
      </c>
      <c r="B308" s="4" t="str">
        <f>IFERROR(__xludf.DUMMYFUNCTION("GOOGLETRANSLATE(A308, ""en"", ""te"")"),"మసాలాతో సాబ్ రాగి గోల్గప్పా")</f>
        <v>మసాలాతో సాబ్ రాగి గోల్గప్పా</v>
      </c>
      <c r="C308" s="4" t="str">
        <f>IFERROR(__xludf.DUMMYFUNCTION("GOOGLETRANSLATE(A308, ""en"", ""hi"")"),"साब रागी गोलगप्पा मसाला के साथ")</f>
        <v>साब रागी गोलगप्पा मसाला के साथ</v>
      </c>
      <c r="D308" s="2" t="s">
        <v>1304</v>
      </c>
      <c r="E308" s="2" t="s">
        <v>1294</v>
      </c>
      <c r="F308" s="1">
        <v>2.0</v>
      </c>
      <c r="G308" s="3" t="s">
        <v>292</v>
      </c>
    </row>
    <row r="309">
      <c r="A309" s="3" t="s">
        <v>1930</v>
      </c>
      <c r="B309" s="4" t="str">
        <f>IFERROR(__xludf.DUMMYFUNCTION("GOOGLETRANSLATE(A309, ""en"", ""te"")"),"దేశీ పానీ పూరీ")</f>
        <v>దేశీ పానీ పూరీ</v>
      </c>
      <c r="C309" s="4" t="str">
        <f>IFERROR(__xludf.DUMMYFUNCTION("GOOGLETRANSLATE(A309, ""en"", ""hi"")"),"देसी पानी पूरी")</f>
        <v>देसी पानी पूरी</v>
      </c>
      <c r="D309" s="2" t="s">
        <v>1304</v>
      </c>
      <c r="E309" s="2" t="s">
        <v>1294</v>
      </c>
      <c r="F309" s="1">
        <v>2.0</v>
      </c>
      <c r="G309" s="3" t="s">
        <v>292</v>
      </c>
    </row>
    <row r="310">
      <c r="A310" s="3" t="s">
        <v>1939</v>
      </c>
      <c r="B310" s="4" t="str">
        <f>IFERROR(__xludf.DUMMYFUNCTION("GOOGLETRANSLATE(A310, ""en"", ""te"")"),"అమ్మ రెసిపీ పనీర్ బటర్ మసాలా")</f>
        <v>అమ్మ రెసిపీ పనీర్ బటర్ మసాలా</v>
      </c>
      <c r="C310" s="4" t="str">
        <f>IFERROR(__xludf.DUMMYFUNCTION("GOOGLETRANSLATE(A310, ""en"", ""hi"")"),"माँ की रेसिपी पनीर बटर मसाला")</f>
        <v>माँ की रेसिपी पनीर बटर मसाला</v>
      </c>
      <c r="D310" s="2" t="s">
        <v>1304</v>
      </c>
      <c r="E310" s="2" t="s">
        <v>940</v>
      </c>
      <c r="F310" s="1">
        <v>2.0</v>
      </c>
      <c r="G310" s="3" t="s">
        <v>71</v>
      </c>
    </row>
    <row r="311">
      <c r="A311" s="3" t="s">
        <v>1944</v>
      </c>
      <c r="B311" s="4" t="str">
        <f>IFERROR(__xludf.DUMMYFUNCTION("GOOGLETRANSLATE(A311, ""en"", ""te"")"),"అమ్మ వంటకం పనీర్ టిక్కా మసాలా")</f>
        <v>అమ్మ వంటకం పనీర్ టిక్కా మసాలా</v>
      </c>
      <c r="C311" s="4" t="str">
        <f>IFERROR(__xludf.DUMMYFUNCTION("GOOGLETRANSLATE(A311, ""en"", ""hi"")"),"माँ की रेसिपी पनीर टिक्का मसाला")</f>
        <v>माँ की रेसिपी पनीर टिक्का मसाला</v>
      </c>
      <c r="D311" s="2" t="s">
        <v>1304</v>
      </c>
      <c r="E311" s="2" t="s">
        <v>940</v>
      </c>
      <c r="F311" s="1">
        <v>2.0</v>
      </c>
      <c r="G311" s="3" t="s">
        <v>71</v>
      </c>
    </row>
    <row r="312">
      <c r="A312" s="3" t="s">
        <v>1953</v>
      </c>
      <c r="B312" s="4" t="str">
        <f>IFERROR(__xludf.DUMMYFUNCTION("GOOGLETRANSLATE(A312, ""en"", ""te"")"),"రసోయి మ్యాజిక్ పనీర్ బుర్జీ మిక్స్")</f>
        <v>రసోయి మ్యాజిక్ పనీర్ బుర్జీ మిక్స్</v>
      </c>
      <c r="C312" s="4" t="str">
        <f>IFERROR(__xludf.DUMMYFUNCTION("GOOGLETRANSLATE(A312, ""en"", ""hi"")"),"रसोई मैजिक पनीर भुर्जी मिक्स")</f>
        <v>रसोई मैजिक पनीर भुर्जी मिक्स</v>
      </c>
      <c r="D312" s="2" t="s">
        <v>1961</v>
      </c>
      <c r="E312" s="2" t="s">
        <v>940</v>
      </c>
      <c r="F312" s="1">
        <v>2.0</v>
      </c>
      <c r="G312" s="3" t="s">
        <v>71</v>
      </c>
    </row>
    <row r="313">
      <c r="A313" s="3" t="s">
        <v>1963</v>
      </c>
      <c r="B313" s="4" t="str">
        <f>IFERROR(__xludf.DUMMYFUNCTION("GOOGLETRANSLATE(A313, ""en"", ""te"")"),"రసోయి మ్యాజిక్ మిక్స్ వెజ్ స్పెషల్")</f>
        <v>రసోయి మ్యాజిక్ మిక్స్ వెజ్ స్పెషల్</v>
      </c>
      <c r="C313" s="4" t="str">
        <f>IFERROR(__xludf.DUMMYFUNCTION("GOOGLETRANSLATE(A313, ""en"", ""hi"")"),"रसोई मैजिक मिक्स वेज स्पेशल")</f>
        <v>रसोई मैजिक मिक्स वेज स्पेशल</v>
      </c>
      <c r="D313" s="5"/>
      <c r="E313" s="2" t="s">
        <v>940</v>
      </c>
      <c r="F313" s="1">
        <v>2.0</v>
      </c>
      <c r="G313" s="3" t="s">
        <v>71</v>
      </c>
    </row>
    <row r="314">
      <c r="A314" s="3" t="s">
        <v>1362</v>
      </c>
      <c r="B314" s="4" t="str">
        <f>IFERROR(__xludf.DUMMYFUNCTION("GOOGLETRANSLATE(A314, ""en"", ""te"")"),"షాన్ చికెన్ మసాలా")</f>
        <v>షాన్ చికెన్ మసాలా</v>
      </c>
      <c r="C314" s="4" t="str">
        <f>IFERROR(__xludf.DUMMYFUNCTION("GOOGLETRANSLATE(A314, ""en"", ""hi"")"),"शान चिकन मसाला")</f>
        <v>शान चिकन मसाला</v>
      </c>
      <c r="D314" s="5"/>
      <c r="E314" s="2" t="s">
        <v>442</v>
      </c>
      <c r="F314" s="1">
        <v>2.0</v>
      </c>
      <c r="G314" s="3" t="s">
        <v>76</v>
      </c>
    </row>
    <row r="315">
      <c r="A315" s="3" t="s">
        <v>1980</v>
      </c>
      <c r="B315" s="4" t="str">
        <f>IFERROR(__xludf.DUMMYFUNCTION("GOOGLETRANSLATE(A315, ""en"", ""te"")"),"షాన్ స్పెషల్ బాంబే బిర్యానీ మిక్స్")</f>
        <v>షాన్ స్పెషల్ బాంబే బిర్యానీ మిక్స్</v>
      </c>
      <c r="C315" s="4" t="str">
        <f>IFERROR(__xludf.DUMMYFUNCTION("GOOGLETRANSLATE(A315, ""en"", ""hi"")"),"शान स्पेशल बॉम्बे बिरयानी मिक्स")</f>
        <v>शान स्पेशल बॉम्बे बिरयानी मिक्स</v>
      </c>
      <c r="D315" s="5"/>
      <c r="E315" s="2" t="s">
        <v>442</v>
      </c>
      <c r="F315" s="1">
        <v>2.0</v>
      </c>
      <c r="G315" s="3" t="s">
        <v>76</v>
      </c>
    </row>
    <row r="316">
      <c r="A316" s="3" t="s">
        <v>1989</v>
      </c>
      <c r="B316" s="4" t="str">
        <f>IFERROR(__xludf.DUMMYFUNCTION("GOOGLETRANSLATE(A316, ""en"", ""te"")"),"షాన్ బటర్ చికెన్ మిక్స్")</f>
        <v>షాన్ బటర్ చికెన్ మిక్స్</v>
      </c>
      <c r="C316" s="4" t="str">
        <f>IFERROR(__xludf.DUMMYFUNCTION("GOOGLETRANSLATE(A316, ""en"", ""hi"")"),"शान बटर चिकन मिक्स")</f>
        <v>शान बटर चिकन मिक्स</v>
      </c>
      <c r="D316" s="5"/>
      <c r="E316" s="2" t="s">
        <v>940</v>
      </c>
      <c r="F316" s="1">
        <v>2.0</v>
      </c>
      <c r="G316" s="3" t="s">
        <v>76</v>
      </c>
    </row>
    <row r="317">
      <c r="A317" s="3" t="s">
        <v>1998</v>
      </c>
      <c r="B317" s="4" t="str">
        <f>IFERROR(__xludf.DUMMYFUNCTION("GOOGLETRANSLATE(A317, ""en"", ""te"")"),"షాన్ బిహారీ కబాబ్ మసాలా")</f>
        <v>షాన్ బిహారీ కబాబ్ మసాలా</v>
      </c>
      <c r="C317" s="4" t="str">
        <f>IFERROR(__xludf.DUMMYFUNCTION("GOOGLETRANSLATE(A317, ""en"", ""hi"")"),"शान बिहारी कबाब मसाला")</f>
        <v>शान बिहारी कबाब मसाला</v>
      </c>
      <c r="D317" s="5"/>
      <c r="E317" s="2" t="s">
        <v>442</v>
      </c>
      <c r="F317" s="1">
        <v>2.0</v>
      </c>
      <c r="G317" s="3" t="s">
        <v>76</v>
      </c>
    </row>
    <row r="318">
      <c r="A318" s="3" t="s">
        <v>2117</v>
      </c>
      <c r="B318" s="4" t="str">
        <f>IFERROR(__xludf.DUMMYFUNCTION("GOOGLETRANSLATE(A318, ""en"", ""te"")"),"షాన్ చార్ మసాలా")</f>
        <v>షాన్ చార్ మసాలా</v>
      </c>
      <c r="C318" s="4" t="str">
        <f>IFERROR(__xludf.DUMMYFUNCTION("GOOGLETRANSLATE(A318, ""en"", ""hi"")"),"शान चार मसाला")</f>
        <v>शान चार मसाला</v>
      </c>
      <c r="D318" s="2" t="s">
        <v>2131</v>
      </c>
      <c r="E318" s="2" t="s">
        <v>442</v>
      </c>
      <c r="F318" s="1">
        <v>2.0</v>
      </c>
      <c r="G318" s="3" t="s">
        <v>76</v>
      </c>
    </row>
    <row r="319">
      <c r="A319" s="3" t="s">
        <v>2138</v>
      </c>
      <c r="B319" s="4" t="str">
        <f>IFERROR(__xludf.DUMMYFUNCTION("GOOGLETRANSLATE(A319, ""en"", ""te"")"),"షాన్ ఆలూ భాజీ రెసిపీ &amp; మసాలా మిక్స్")</f>
        <v>షాన్ ఆలూ భాజీ రెసిపీ &amp; మసాలా మిక్స్</v>
      </c>
      <c r="C319" s="4" t="str">
        <f>IFERROR(__xludf.DUMMYFUNCTION("GOOGLETRANSLATE(A319, ""en"", ""hi"")"),"शान आलू भाजी रेसिपी और मसाला मिश्रण")</f>
        <v>शान आलू भाजी रेसिपी और मसाला मिश्रण</v>
      </c>
      <c r="D319" s="5"/>
      <c r="E319" s="2" t="s">
        <v>940</v>
      </c>
      <c r="F319" s="1">
        <v>2.0</v>
      </c>
      <c r="G319" s="3" t="s">
        <v>76</v>
      </c>
    </row>
    <row r="320">
      <c r="A320" s="3" t="s">
        <v>2147</v>
      </c>
      <c r="B320" s="4" t="str">
        <f>IFERROR(__xludf.DUMMYFUNCTION("GOOGLETRANSLATE(A320, ""en"", ""te"")"),"షాన్ అచార్ గోష్ట్ మసాలా")</f>
        <v>షాన్ అచార్ గోష్ట్ మసాలా</v>
      </c>
      <c r="C320" s="4" t="str">
        <f>IFERROR(__xludf.DUMMYFUNCTION("GOOGLETRANSLATE(A320, ""en"", ""hi"")"),"शान अचार गोश्त मसाला")</f>
        <v>शान अचार गोश्त मसाला</v>
      </c>
      <c r="D320" s="5"/>
      <c r="E320" s="2" t="s">
        <v>442</v>
      </c>
      <c r="F320" s="1">
        <v>2.0</v>
      </c>
      <c r="G320" s="3" t="s">
        <v>76</v>
      </c>
    </row>
    <row r="321">
      <c r="A321" s="3" t="s">
        <v>2152</v>
      </c>
      <c r="B321" s="4" t="str">
        <f>IFERROR(__xludf.DUMMYFUNCTION("GOOGLETRANSLATE(A321, ""en"", ""te"")"),"MDH చనా దాల్ మసాలా")</f>
        <v>MDH చనా దాల్ మసాలా</v>
      </c>
      <c r="C321" s="4" t="str">
        <f>IFERROR(__xludf.DUMMYFUNCTION("GOOGLETRANSLATE(A321, ""en"", ""hi"")"),"एमडीएच चना दाल मसाला")</f>
        <v>एमडीएच चना दाल मसाला</v>
      </c>
      <c r="D321" s="5"/>
      <c r="E321" s="2" t="s">
        <v>442</v>
      </c>
      <c r="F321" s="1">
        <v>2.0</v>
      </c>
      <c r="G321" s="3" t="s">
        <v>85</v>
      </c>
    </row>
    <row r="322">
      <c r="A322" s="3" t="s">
        <v>2157</v>
      </c>
      <c r="B322" s="4" t="str">
        <f>IFERROR(__xludf.DUMMYFUNCTION("GOOGLETRANSLATE(A322, ""en"", ""te"")"),"MDH బైంగన్ భర్తా మసాలా")</f>
        <v>MDH బైంగన్ భర్తా మసాలా</v>
      </c>
      <c r="C322" s="4" t="str">
        <f>IFERROR(__xludf.DUMMYFUNCTION("GOOGLETRANSLATE(A322, ""en"", ""hi"")"),"एमडीएच बैंगन भरता मसाला")</f>
        <v>एमडीएच बैंगन भरता मसाला</v>
      </c>
      <c r="D322" s="5"/>
      <c r="E322" s="2" t="s">
        <v>442</v>
      </c>
      <c r="F322" s="1">
        <v>2.0</v>
      </c>
      <c r="G322" s="3" t="s">
        <v>85</v>
      </c>
    </row>
    <row r="323">
      <c r="A323" s="3" t="s">
        <v>2162</v>
      </c>
      <c r="B323" s="4" t="str">
        <f>IFERROR(__xludf.DUMMYFUNCTION("GOOGLETRANSLATE(A323, ""en"", ""te"")"),"లక్ష్మి తెల్ల మిరియాలు")</f>
        <v>లక్ష్మి తెల్ల మిరియాలు</v>
      </c>
      <c r="C323" s="4" t="str">
        <f>IFERROR(__xludf.DUMMYFUNCTION("GOOGLETRANSLATE(A323, ""en"", ""hi"")"),"लक्ष्मी सफेद मिर्च साबुत")</f>
        <v>लक्ष्मी सफेद मिर्च साबुत</v>
      </c>
      <c r="D323" s="5"/>
      <c r="E323" s="2" t="s">
        <v>442</v>
      </c>
      <c r="F323" s="1">
        <v>2.0</v>
      </c>
      <c r="G323" s="3" t="s">
        <v>10</v>
      </c>
    </row>
    <row r="324">
      <c r="A324" s="3" t="s">
        <v>2167</v>
      </c>
      <c r="B324" s="4" t="str">
        <f>IFERROR(__xludf.DUMMYFUNCTION("GOOGLETRANSLATE(A324, ""en"", ""te"")"),"లక్ష్మి తెల్ల మిరియాల పొడి")</f>
        <v>లక్ష్మి తెల్ల మిరియాల పొడి</v>
      </c>
      <c r="C324" s="4" t="str">
        <f>IFERROR(__xludf.DUMMYFUNCTION("GOOGLETRANSLATE(A324, ""en"", ""hi"")"),"लक्ष्मी सफेद काली मिर्च पाउडर")</f>
        <v>लक्ष्मी सफेद काली मिर्च पाउडर</v>
      </c>
      <c r="D324" s="5"/>
      <c r="E324" s="2" t="s">
        <v>442</v>
      </c>
      <c r="F324" s="1">
        <v>2.0</v>
      </c>
      <c r="G324" s="3" t="s">
        <v>10</v>
      </c>
    </row>
    <row r="325">
      <c r="A325" s="3" t="s">
        <v>2174</v>
      </c>
      <c r="B325" s="4" t="str">
        <f>IFERROR(__xludf.DUMMYFUNCTION("GOOGLETRANSLATE(A325, ""en"", ""te"")"),"హల్దీరామ్ గాబుల్స్ పానీ పూరి కిట్")</f>
        <v>హల్దీరామ్ గాబుల్స్ పానీ పూరి కిట్</v>
      </c>
      <c r="C325" s="4" t="str">
        <f>IFERROR(__xludf.DUMMYFUNCTION("GOOGLETRANSLATE(A325, ""en"", ""hi"")"),"हल्दीराम गोबल्स पानी पुरी किट")</f>
        <v>हल्दीराम गोबल्स पानी पुरी किट</v>
      </c>
      <c r="D325" s="2" t="s">
        <v>1304</v>
      </c>
      <c r="E325" s="2" t="s">
        <v>1294</v>
      </c>
      <c r="F325" s="1">
        <v>2.0</v>
      </c>
      <c r="G325" s="3" t="s">
        <v>20</v>
      </c>
    </row>
    <row r="326">
      <c r="A326" s="3" t="s">
        <v>2179</v>
      </c>
      <c r="B326" s="4" t="str">
        <f>IFERROR(__xludf.DUMMYFUNCTION("GOOGLETRANSLATE(A326, ""en"", ""te"")"),"పానీ పూరీ షెల్స్ ప్యాక్")</f>
        <v>పానీ పూరీ షెల్స్ ప్యాక్</v>
      </c>
      <c r="C326" s="4" t="str">
        <f>IFERROR(__xludf.DUMMYFUNCTION("GOOGLETRANSLATE(A326, ""en"", ""hi"")"),"पानी पूरी के छिलके पैक")</f>
        <v>पानी पूरी के छिलके पैक</v>
      </c>
      <c r="D326" s="2" t="s">
        <v>1304</v>
      </c>
      <c r="E326" s="2" t="s">
        <v>1294</v>
      </c>
      <c r="F326" s="1">
        <v>2.0</v>
      </c>
      <c r="G326" s="3" t="s">
        <v>20</v>
      </c>
    </row>
    <row r="327">
      <c r="A327" s="3" t="s">
        <v>2185</v>
      </c>
      <c r="B327" s="4" t="str">
        <f>IFERROR(__xludf.DUMMYFUNCTION("GOOGLETRANSLATE(A327, ""en"", ""te"")"),"బ్యాడ్గి మిరపకాయ (కాండంతో)")</f>
        <v>బ్యాడ్గి మిరపకాయ (కాండంతో)</v>
      </c>
      <c r="C327" s="4" t="str">
        <f>IFERROR(__xludf.DUMMYFUNCTION("GOOGLETRANSLATE(A327, ""en"", ""hi"")"),"ब्याडगी मिर्च (डंठल सहित)")</f>
        <v>ब्याडगी मिर्च (डंठल सहित)</v>
      </c>
      <c r="D327" s="2" t="s">
        <v>1636</v>
      </c>
      <c r="E327" s="2" t="s">
        <v>442</v>
      </c>
      <c r="F327" s="1">
        <v>2.0</v>
      </c>
      <c r="G327" s="3" t="s">
        <v>2190</v>
      </c>
    </row>
    <row r="328">
      <c r="A328" s="3" t="s">
        <v>2193</v>
      </c>
      <c r="B328" s="4" t="str">
        <f>IFERROR(__xludf.DUMMYFUNCTION("GOOGLETRANSLATE(A328, ""en"", ""te"")"),"ఎండిన ఎర్ర మిరపకాయలు - BYADGI")</f>
        <v>ఎండిన ఎర్ర మిరపకాయలు - BYADGI</v>
      </c>
      <c r="C328" s="4" t="str">
        <f>IFERROR(__xludf.DUMMYFUNCTION("GOOGLETRANSLATE(A328, ""en"", ""hi"")"),"सूखी साबुत लाल मिर्च - ब्याडगी")</f>
        <v>सूखी साबुत लाल मिर्च - ब्याडगी</v>
      </c>
      <c r="D328" s="2" t="s">
        <v>2196</v>
      </c>
      <c r="E328" s="2" t="s">
        <v>442</v>
      </c>
      <c r="F328" s="1">
        <v>2.0</v>
      </c>
      <c r="G328" s="3" t="s">
        <v>2190</v>
      </c>
    </row>
    <row r="329">
      <c r="A329" s="3" t="s">
        <v>2198</v>
      </c>
      <c r="B329" s="4" t="str">
        <f>IFERROR(__xludf.DUMMYFUNCTION("GOOGLETRANSLATE(A329, ""en"", ""te"")"),"ఎండిన ఎర్ర మిరపకాయలు")</f>
        <v>ఎండిన ఎర్ర మిరపకాయలు</v>
      </c>
      <c r="C329" s="4" t="str">
        <f>IFERROR(__xludf.DUMMYFUNCTION("GOOGLETRANSLATE(A329, ""en"", ""hi"")"),"सूखी साबुत लाल मिर्च")</f>
        <v>सूखी साबुत लाल मिर्च</v>
      </c>
      <c r="D329" s="2" t="s">
        <v>2196</v>
      </c>
      <c r="E329" s="2" t="s">
        <v>442</v>
      </c>
      <c r="F329" s="1">
        <v>2.0</v>
      </c>
      <c r="G329" s="3" t="s">
        <v>2190</v>
      </c>
    </row>
    <row r="330">
      <c r="A330" s="3" t="s">
        <v>2203</v>
      </c>
      <c r="B330" s="4" t="str">
        <f>IFERROR(__xludf.DUMMYFUNCTION("GOOGLETRANSLATE(A330, ""en"", ""te"")"),"ఆనంద్ 2002 ఎండిన మిరపకాయలు తేజ కర్ణాటక బ్యాడగి")</f>
        <v>ఆనంద్ 2002 ఎండిన మిరపకాయలు తేజ కర్ణాటక బ్యాడగి</v>
      </c>
      <c r="C330" s="4" t="str">
        <f>IFERROR(__xludf.DUMMYFUNCTION("GOOGLETRANSLATE(A330, ""en"", ""hi"")"),"आनंद 2002 सूखी साबुत मिर्चें तेजा कर्नाटक ब्यादगी")</f>
        <v>आनंद 2002 सूखी साबुत मिर्चें तेजा कर्नाटक ब्यादगी</v>
      </c>
      <c r="D330" s="2" t="s">
        <v>2196</v>
      </c>
      <c r="E330" s="2" t="s">
        <v>442</v>
      </c>
      <c r="F330" s="1">
        <v>2.0</v>
      </c>
      <c r="G330" s="3" t="s">
        <v>2208</v>
      </c>
    </row>
    <row r="331">
      <c r="A331" s="3" t="s">
        <v>2209</v>
      </c>
      <c r="B331" s="4" t="str">
        <f>IFERROR(__xludf.DUMMYFUNCTION("GOOGLETRANSLATE(A331, ""en"", ""te"")"),"జియాస్ స్పైస్ బాటిల్ (ఎరుపు)")</f>
        <v>జియాస్ స్పైస్ బాటిల్ (ఎరుపు)</v>
      </c>
      <c r="C331" s="4" t="str">
        <f>IFERROR(__xludf.DUMMYFUNCTION("GOOGLETRANSLATE(A331, ""en"", ""hi"")"),"जियास मसाला बोतल (लाल)")</f>
        <v>जियास मसाला बोतल (लाल)</v>
      </c>
      <c r="D331" s="5"/>
      <c r="E331" s="2" t="s">
        <v>442</v>
      </c>
      <c r="F331" s="1">
        <v>2.0</v>
      </c>
      <c r="G331" s="3" t="s">
        <v>2208</v>
      </c>
    </row>
    <row r="332">
      <c r="A332" s="3" t="s">
        <v>2214</v>
      </c>
      <c r="B332" s="4" t="str">
        <f>IFERROR(__xludf.DUMMYFUNCTION("GOOGLETRANSLATE(A332, ""en"", ""te"")"),"జియాస్ స్పైస్ బాటిల్ (ఆకుపచ్చ)")</f>
        <v>జియాస్ స్పైస్ బాటిల్ (ఆకుపచ్చ)</v>
      </c>
      <c r="C332" s="4" t="str">
        <f>IFERROR(__xludf.DUMMYFUNCTION("GOOGLETRANSLATE(A332, ""en"", ""hi"")"),"जियास मसाला बोतल (हरा)")</f>
        <v>जियास मसाला बोतल (हरा)</v>
      </c>
      <c r="D332" s="5"/>
      <c r="E332" s="2" t="s">
        <v>442</v>
      </c>
      <c r="F332" s="1">
        <v>2.0</v>
      </c>
      <c r="G332" s="3" t="s">
        <v>2208</v>
      </c>
    </row>
    <row r="333">
      <c r="A333" s="3" t="s">
        <v>2218</v>
      </c>
      <c r="B333" s="4" t="str">
        <f>IFERROR(__xludf.DUMMYFUNCTION("GOOGLETRANSLATE(A333, ""en"", ""te"")"),"క్విక్‌మీల్ క్విక్ చికెన్ మసాలా")</f>
        <v>క్విక్‌మీల్ క్విక్ చికెన్ మసాలా</v>
      </c>
      <c r="C333" s="4" t="str">
        <f>IFERROR(__xludf.DUMMYFUNCTION("GOOGLETRANSLATE(A333, ""en"", ""hi"")"),"क्विकमील क्विक चिकन मसाला")</f>
        <v>क्विकमील क्विक चिकन मसाला</v>
      </c>
      <c r="D333" s="2" t="s">
        <v>2221</v>
      </c>
      <c r="E333" s="2" t="s">
        <v>442</v>
      </c>
      <c r="F333" s="1">
        <v>2.0</v>
      </c>
      <c r="G333" s="3" t="s">
        <v>2208</v>
      </c>
    </row>
    <row r="334">
      <c r="A334" s="3" t="s">
        <v>2226</v>
      </c>
      <c r="B334" s="4" t="str">
        <f>IFERROR(__xludf.DUMMYFUNCTION("GOOGLETRANSLATE(A334, ""en"", ""te"")"),"చెఫ్స్ కబాబ్")</f>
        <v>చెఫ్స్ కబాబ్</v>
      </c>
      <c r="C334" s="4" t="str">
        <f>IFERROR(__xludf.DUMMYFUNCTION("GOOGLETRANSLATE(A334, ""en"", ""hi"")"),"शेफ का कबाब")</f>
        <v>शेफ का कबाब</v>
      </c>
      <c r="D334" s="2" t="s">
        <v>2233</v>
      </c>
      <c r="E334" s="2" t="s">
        <v>1294</v>
      </c>
      <c r="F334" s="1">
        <v>2.0</v>
      </c>
      <c r="G334" s="3" t="s">
        <v>2208</v>
      </c>
    </row>
    <row r="335">
      <c r="A335" s="3" t="s">
        <v>2235</v>
      </c>
      <c r="B335" s="4" t="str">
        <f>IFERROR(__xludf.DUMMYFUNCTION("GOOGLETRANSLATE(A335, ""en"", ""te"")"),"స్వాద్ కాశ్మీరీ మొత్తం మిరపకాయ")</f>
        <v>స్వాద్ కాశ్మీరీ మొత్తం మిరపకాయ</v>
      </c>
      <c r="C335" s="4" t="str">
        <f>IFERROR(__xludf.DUMMYFUNCTION("GOOGLETRANSLATE(A335, ""en"", ""hi"")"),"स्वाद कश्मीरी साबुत मिर्च")</f>
        <v>स्वाद कश्मीरी साबुत मिर्च</v>
      </c>
      <c r="D335" s="2" t="s">
        <v>2240</v>
      </c>
      <c r="E335" s="2" t="s">
        <v>442</v>
      </c>
      <c r="F335" s="1">
        <v>2.0</v>
      </c>
      <c r="G335" s="3" t="s">
        <v>2241</v>
      </c>
    </row>
    <row r="336">
      <c r="A336" s="3" t="s">
        <v>2243</v>
      </c>
      <c r="B336" s="4" t="str">
        <f>IFERROR(__xludf.DUMMYFUNCTION("GOOGLETRANSLATE(A336, ""en"", ""te"")"),"స్వాద్ తేజ మిరపకాయ")</f>
        <v>స్వాద్ తేజ మిరపకాయ</v>
      </c>
      <c r="C336" s="4" t="str">
        <f>IFERROR(__xludf.DUMMYFUNCTION("GOOGLETRANSLATE(A336, ""en"", ""hi"")"),"स्वाद तेजा मिर्च")</f>
        <v>स्वाद तेजा मिर्च</v>
      </c>
      <c r="D336" s="2" t="s">
        <v>2247</v>
      </c>
      <c r="E336" s="2" t="s">
        <v>442</v>
      </c>
      <c r="F336" s="1">
        <v>2.0</v>
      </c>
      <c r="G336" s="3" t="s">
        <v>2241</v>
      </c>
    </row>
    <row r="337">
      <c r="A337" s="3" t="s">
        <v>2249</v>
      </c>
      <c r="B337" s="4" t="str">
        <f>IFERROR(__xludf.DUMMYFUNCTION("GOOGLETRANSLATE(A337, ""en"", ""te"")"),"తెలుగు మొత్తం ఎర్ర మిరపకాయలు")</f>
        <v>తెలుగు మొత్తం ఎర్ర మిరపకాయలు</v>
      </c>
      <c r="C337" s="4" t="str">
        <f>IFERROR(__xludf.DUMMYFUNCTION("GOOGLETRANSLATE(A337, ""en"", ""hi"")"),"तेलुगु साबुत लाल मिर्च")</f>
        <v>तेलुगु साबुत लाल मिर्च</v>
      </c>
      <c r="D337" s="2" t="s">
        <v>2253</v>
      </c>
      <c r="E337" s="2" t="s">
        <v>442</v>
      </c>
      <c r="F337" s="1">
        <v>2.0</v>
      </c>
      <c r="G337" s="3" t="s">
        <v>2241</v>
      </c>
    </row>
    <row r="338">
      <c r="A338" s="3" t="s">
        <v>2255</v>
      </c>
      <c r="B338" s="4" t="str">
        <f>IFERROR(__xludf.DUMMYFUNCTION("GOOGLETRANSLATE(A338, ""en"", ""te"")"),"లక్ష్మి హోల్ కాశ్మీరీ హోల్ చిల్లీస్")</f>
        <v>లక్ష్మి హోల్ కాశ్మీరీ హోల్ చిల్లీస్</v>
      </c>
      <c r="C338" s="4" t="str">
        <f>IFERROR(__xludf.DUMMYFUNCTION("GOOGLETRANSLATE(A338, ""en"", ""hi"")"),"लक्ष्मी साबुत कश्मीरी साबुत मिर्च")</f>
        <v>लक्ष्मी साबुत कश्मीरी साबुत मिर्च</v>
      </c>
      <c r="D338" s="2" t="s">
        <v>2259</v>
      </c>
      <c r="E338" s="2" t="s">
        <v>442</v>
      </c>
      <c r="F338" s="1">
        <v>2.0</v>
      </c>
      <c r="G338" s="3" t="s">
        <v>2241</v>
      </c>
    </row>
    <row r="339">
      <c r="A339" s="3" t="s">
        <v>2262</v>
      </c>
      <c r="B339" s="4" t="str">
        <f>IFERROR(__xludf.DUMMYFUNCTION("GOOGLETRANSLATE(A339, ""en"", ""te"")"),"లక్ష్మి గుండ్రని ఎర్ర మిరపకాయలు")</f>
        <v>లక్ష్మి గుండ్రని ఎర్ర మిరపకాయలు</v>
      </c>
      <c r="C339" s="4" t="str">
        <f>IFERROR(__xludf.DUMMYFUNCTION("GOOGLETRANSLATE(A339, ""en"", ""hi"")"),"लक्ष्मी गोल लाल मिर्च")</f>
        <v>लक्ष्मी गोल लाल मिर्च</v>
      </c>
      <c r="D339" s="2" t="s">
        <v>2267</v>
      </c>
      <c r="E339" s="2" t="s">
        <v>442</v>
      </c>
      <c r="F339" s="1">
        <v>2.0</v>
      </c>
      <c r="G339" s="3" t="s">
        <v>2269</v>
      </c>
    </row>
    <row r="340">
      <c r="A340" s="3" t="s">
        <v>2270</v>
      </c>
      <c r="B340" s="4" t="str">
        <f>IFERROR(__xludf.DUMMYFUNCTION("GOOGLETRANSLATE(A340, ""en"", ""te"")"),"లక్ష్మి ఎండు మిరపకాయలు")</f>
        <v>లక్ష్మి ఎండు మిరపకాయలు</v>
      </c>
      <c r="C340" s="4" t="str">
        <f>IFERROR(__xludf.DUMMYFUNCTION("GOOGLETRANSLATE(A340, ""en"", ""hi"")"),"लक्ष्मी साबुत लाल मिर्च")</f>
        <v>लक्ष्मी साबुत लाल मिर्च</v>
      </c>
      <c r="D340" s="2" t="s">
        <v>2259</v>
      </c>
      <c r="E340" s="2" t="s">
        <v>442</v>
      </c>
      <c r="F340" s="1">
        <v>2.0</v>
      </c>
      <c r="G340" s="3" t="s">
        <v>2269</v>
      </c>
    </row>
    <row r="341">
      <c r="A341" s="3" t="s">
        <v>2275</v>
      </c>
      <c r="B341" s="4" t="str">
        <f>IFERROR(__xludf.DUMMYFUNCTION("GOOGLETRANSLATE(A341, ""en"", ""te"")"),"రిచి ఉత్పత్తి")</f>
        <v>రిచి ఉత్పత్తి</v>
      </c>
      <c r="C341" s="4" t="str">
        <f>IFERROR(__xludf.DUMMYFUNCTION("GOOGLETRANSLATE(A341, ""en"", ""hi"")"),"रिची उत्पाद")</f>
        <v>रिची उत्पाद</v>
      </c>
      <c r="D341" s="5"/>
      <c r="E341" s="2" t="s">
        <v>2279</v>
      </c>
      <c r="F341" s="1">
        <v>2.0</v>
      </c>
      <c r="G341" s="3" t="s">
        <v>2269</v>
      </c>
    </row>
    <row r="342">
      <c r="A342" s="3" t="s">
        <v>2281</v>
      </c>
      <c r="B342" s="4" t="str">
        <f>IFERROR(__xludf.DUMMYFUNCTION("GOOGLETRANSLATE(A342, ""en"", ""te"")"),"లక్ష్మి ఎండు మిరపకాయలు")</f>
        <v>లక్ష్మి ఎండు మిరపకాయలు</v>
      </c>
      <c r="C342" s="4" t="str">
        <f>IFERROR(__xludf.DUMMYFUNCTION("GOOGLETRANSLATE(A342, ""en"", ""hi"")"),"लक्ष्मी साबुत सूखी लाल मिर्च")</f>
        <v>लक्ष्मी साबुत सूखी लाल मिर्च</v>
      </c>
      <c r="D342" s="2" t="s">
        <v>2285</v>
      </c>
      <c r="E342" s="2" t="s">
        <v>442</v>
      </c>
      <c r="F342" s="1">
        <v>2.0</v>
      </c>
      <c r="G342" s="3" t="s">
        <v>2269</v>
      </c>
    </row>
    <row r="343">
      <c r="A343" s="3" t="s">
        <v>2287</v>
      </c>
      <c r="B343" s="4" t="str">
        <f>IFERROR(__xludf.DUMMYFUNCTION("GOOGLETRANSLATE(A343, ""en"", ""te"")"),"చింగ్స్ సీక్రెట్ వెజ్ హక్కా నూడుల్స్")</f>
        <v>చింగ్స్ సీక్రెట్ వెజ్ హక్కా నూడుల్స్</v>
      </c>
      <c r="C343" s="4" t="str">
        <f>IFERROR(__xludf.DUMMYFUNCTION("GOOGLETRANSLATE(A343, ""en"", ""hi"")"),"चिंग के सीक्रेट वेज हक्का नूडल्स")</f>
        <v>चिंग के सीक्रेट वेज हक्का नूडल्स</v>
      </c>
      <c r="D343" s="2" t="s">
        <v>2291</v>
      </c>
      <c r="E343" s="2" t="s">
        <v>9</v>
      </c>
      <c r="F343" s="1">
        <v>2.0</v>
      </c>
      <c r="G343" s="3" t="s">
        <v>2293</v>
      </c>
    </row>
    <row r="344">
      <c r="A344" s="3" t="s">
        <v>2295</v>
      </c>
      <c r="B344" s="4" t="str">
        <f>IFERROR(__xludf.DUMMYFUNCTION("GOOGLETRANSLATE(A344, ""en"", ""te"")"),"VSPICE వెజ్జీస్ కప్ నూడుల్స్ మంచో")</f>
        <v>VSPICE వెజ్జీస్ కప్ నూడుల్స్ మంచో</v>
      </c>
      <c r="C344" s="4" t="str">
        <f>IFERROR(__xludf.DUMMYFUNCTION("GOOGLETRANSLATE(A344, ""en"", ""hi"")"),"वीस्पाइस वेजीज़ कप नूडल्स मंचो")</f>
        <v>वीस्पाइस वेजीज़ कप नूडल्स मंचो</v>
      </c>
      <c r="D344" s="2" t="s">
        <v>2291</v>
      </c>
      <c r="E344" s="2" t="s">
        <v>9</v>
      </c>
      <c r="F344" s="1">
        <v>2.0</v>
      </c>
      <c r="G344" s="3" t="s">
        <v>2293</v>
      </c>
    </row>
    <row r="345">
      <c r="A345" s="3" t="s">
        <v>2300</v>
      </c>
      <c r="B345" s="4" t="str">
        <f>IFERROR(__xludf.DUMMYFUNCTION("GOOGLETRANSLATE(A345, ""en"", ""te"")"),"మ్యాగీ 2-నిమిషాల నూడుల్స్")</f>
        <v>మ్యాగీ 2-నిమిషాల నూడుల్స్</v>
      </c>
      <c r="C345" s="4" t="str">
        <f>IFERROR(__xludf.DUMMYFUNCTION("GOOGLETRANSLATE(A345, ""en"", ""hi"")"),"मैगी 2-मिनट नूडल्स")</f>
        <v>मैगी 2-मिनट नूडल्स</v>
      </c>
      <c r="D345" s="2" t="s">
        <v>2314</v>
      </c>
      <c r="E345" s="2" t="s">
        <v>9</v>
      </c>
      <c r="F345" s="1">
        <v>2.0</v>
      </c>
      <c r="G345" s="3" t="s">
        <v>2293</v>
      </c>
    </row>
    <row r="346">
      <c r="A346" s="3" t="s">
        <v>2316</v>
      </c>
      <c r="B346" s="4" t="str">
        <f>IFERROR(__xludf.DUMMYFUNCTION("GOOGLETRANSLATE(A346, ""en"", ""te"")"),"ఆచీ మసాలా")</f>
        <v>ఆచీ మసాలా</v>
      </c>
      <c r="C346" s="4" t="str">
        <f>IFERROR(__xludf.DUMMYFUNCTION("GOOGLETRANSLATE(A346, ""en"", ""hi"")"),"आची मसाला")</f>
        <v>आची मसाला</v>
      </c>
      <c r="D346" s="5"/>
      <c r="E346" s="2" t="s">
        <v>442</v>
      </c>
      <c r="F346" s="1">
        <v>2.0</v>
      </c>
      <c r="G346" s="3" t="s">
        <v>2293</v>
      </c>
    </row>
    <row r="347">
      <c r="A347" s="3" t="s">
        <v>2322</v>
      </c>
      <c r="B347" s="4" t="str">
        <f>IFERROR(__xludf.DUMMYFUNCTION("GOOGLETRANSLATE(A347, ""en"", ""te"")"),"ఆనంద్ ఉత్పత్తి")</f>
        <v>ఆనంద్ ఉత్పత్తి</v>
      </c>
      <c r="C347" s="4" t="str">
        <f>IFERROR(__xludf.DUMMYFUNCTION("GOOGLETRANSLATE(A347, ""en"", ""hi"")"),"आनंद का उत्पाद")</f>
        <v>आनंद का उत्पाद</v>
      </c>
      <c r="D347" s="5"/>
      <c r="E347" s="2" t="s">
        <v>2279</v>
      </c>
      <c r="F347" s="1">
        <v>2.0</v>
      </c>
      <c r="G347" s="3" t="s">
        <v>2293</v>
      </c>
    </row>
    <row r="348">
      <c r="A348" s="3" t="s">
        <v>2327</v>
      </c>
      <c r="B348" s="4" t="str">
        <f>IFERROR(__xludf.DUMMYFUNCTION("GOOGLETRANSLATE(A348, ""en"", ""te"")"),"లక్ష్మి హోల్ కాశ్మీరీ రెడ్ చిల్లీస్")</f>
        <v>లక్ష్మి హోల్ కాశ్మీరీ రెడ్ చిల్లీస్</v>
      </c>
      <c r="C348" s="4" t="str">
        <f>IFERROR(__xludf.DUMMYFUNCTION("GOOGLETRANSLATE(A348, ""en"", ""hi"")"),"लक्ष्मी होल कश्मीरी रेड चिलीज़")</f>
        <v>लक्ष्मी होल कश्मीरी रेड चिलीज़</v>
      </c>
      <c r="D348" s="2" t="s">
        <v>2259</v>
      </c>
      <c r="E348" s="2" t="s">
        <v>442</v>
      </c>
      <c r="F348" s="1">
        <v>2.0</v>
      </c>
      <c r="G348" s="3" t="s">
        <v>57</v>
      </c>
    </row>
    <row r="349">
      <c r="A349" s="3" t="s">
        <v>2334</v>
      </c>
      <c r="B349" s="4" t="str">
        <f>IFERROR(__xludf.DUMMYFUNCTION("GOOGLETRANSLATE(A349, ""en"", ""te"")"),"లక్ష్మి హోల్ జావంత్రి")</f>
        <v>లక్ష్మి హోల్ జావంత్రి</v>
      </c>
      <c r="C349" s="4" t="str">
        <f>IFERROR(__xludf.DUMMYFUNCTION("GOOGLETRANSLATE(A349, ""en"", ""hi"")"),"लक्ष्मी होल जावंतरी")</f>
        <v>लक्ष्मी होल जावंतरी</v>
      </c>
      <c r="D349" s="5"/>
      <c r="E349" s="2" t="s">
        <v>442</v>
      </c>
      <c r="F349" s="1">
        <v>2.0</v>
      </c>
      <c r="G349" s="3" t="s">
        <v>63</v>
      </c>
    </row>
    <row r="350">
      <c r="A350" s="3" t="s">
        <v>2338</v>
      </c>
      <c r="B350" s="4" t="str">
        <f>IFERROR(__xludf.DUMMYFUNCTION("GOOGLETRANSLATE(A350, ""en"", ""te"")"),"స్వాద్ అల్లం పొడి")</f>
        <v>స్వాద్ అల్లం పొడి</v>
      </c>
      <c r="C350" s="4" t="str">
        <f>IFERROR(__xludf.DUMMYFUNCTION("GOOGLETRANSLATE(A350, ""en"", ""hi"")"),"स्वाद अदरक पाउडर")</f>
        <v>स्वाद अदरक पाउडर</v>
      </c>
      <c r="D350" s="2" t="s">
        <v>2341</v>
      </c>
      <c r="E350" s="2" t="s">
        <v>442</v>
      </c>
      <c r="F350" s="1">
        <v>2.0</v>
      </c>
      <c r="G350" s="3" t="s">
        <v>63</v>
      </c>
    </row>
    <row r="351">
      <c r="A351" s="3" t="s">
        <v>2343</v>
      </c>
      <c r="B351" s="4" t="str">
        <f>IFERROR(__xludf.DUMMYFUNCTION("GOOGLETRANSLATE(A351, ""en"", ""te"")"),"స్వాద్ గరం మసాలా")</f>
        <v>స్వాద్ గరం మసాలా</v>
      </c>
      <c r="C351" s="4" t="str">
        <f>IFERROR(__xludf.DUMMYFUNCTION("GOOGLETRANSLATE(A351, ""en"", ""hi"")"),"स्वाद गरम मसाला")</f>
        <v>स्वाद गरम मसाला</v>
      </c>
      <c r="D351" s="2" t="s">
        <v>2347</v>
      </c>
      <c r="E351" s="2" t="s">
        <v>442</v>
      </c>
      <c r="F351" s="1">
        <v>2.0</v>
      </c>
      <c r="G351" s="3" t="s">
        <v>63</v>
      </c>
    </row>
    <row r="352">
      <c r="A352" s="3" t="s">
        <v>2349</v>
      </c>
      <c r="B352" s="4" t="str">
        <f>IFERROR(__xludf.DUMMYFUNCTION("GOOGLETRANSLATE(A352, ""en"", ""te"")"),"తక్షణ నూడుల్స్")</f>
        <v>తక్షణ నూడుల్స్</v>
      </c>
      <c r="C352" s="4" t="str">
        <f>IFERROR(__xludf.DUMMYFUNCTION("GOOGLETRANSLATE(A352, ""en"", ""hi"")"),"तत्काल नूडल्स")</f>
        <v>तत्काल नूडल्स</v>
      </c>
      <c r="D352" s="5"/>
      <c r="E352" s="2" t="s">
        <v>9</v>
      </c>
      <c r="F352" s="1">
        <v>2.0</v>
      </c>
      <c r="G352" s="3" t="s">
        <v>68</v>
      </c>
    </row>
    <row r="353">
      <c r="A353" s="3" t="s">
        <v>2353</v>
      </c>
      <c r="B353" s="4" t="str">
        <f>IFERROR(__xludf.DUMMYFUNCTION("GOOGLETRANSLATE(A353, ""en"", ""te"")"),"స్పైసీ చీజీ")</f>
        <v>స్పైసీ చీజీ</v>
      </c>
      <c r="C353" s="4" t="str">
        <f>IFERROR(__xludf.DUMMYFUNCTION("GOOGLETRANSLATE(A353, ""en"", ""hi"")"),"मसालेदार चीज़")</f>
        <v>मसालेदार चीज़</v>
      </c>
      <c r="D353" s="2" t="s">
        <v>2357</v>
      </c>
      <c r="E353" s="2" t="s">
        <v>1294</v>
      </c>
      <c r="F353" s="1">
        <v>2.0</v>
      </c>
      <c r="G353" s="3" t="s">
        <v>68</v>
      </c>
    </row>
    <row r="354">
      <c r="A354" s="3" t="s">
        <v>2359</v>
      </c>
      <c r="B354" s="4" t="str">
        <f>IFERROR(__xludf.DUMMYFUNCTION("GOOGLETRANSLATE(A354, ""en"", ""te"")"),"బన్నా నవాబ్ పాయా నిహారి")</f>
        <v>బన్నా నవాబ్ పాయా నిహారి</v>
      </c>
      <c r="C354" s="4" t="str">
        <f>IFERROR(__xludf.DUMMYFUNCTION("GOOGLETRANSLATE(A354, ""en"", ""hi"")"),"बन्ना नवाब पाया निहारी")</f>
        <v>बन्ना नवाब पाया निहारी</v>
      </c>
      <c r="D354" s="2" t="s">
        <v>2362</v>
      </c>
      <c r="E354" s="2" t="s">
        <v>940</v>
      </c>
      <c r="F354" s="1">
        <v>2.0</v>
      </c>
      <c r="G354" s="3" t="s">
        <v>55</v>
      </c>
    </row>
    <row r="355">
      <c r="A355" s="3" t="s">
        <v>2365</v>
      </c>
      <c r="B355" s="4" t="str">
        <f>IFERROR(__xludf.DUMMYFUNCTION("GOOGLETRANSLATE(A355, ""en"", ""te"")"),"బన్నా నవాబ్ పనీర్ బటర్")</f>
        <v>బన్నా నవాబ్ పనీర్ బటర్</v>
      </c>
      <c r="C355" s="4" t="str">
        <f>IFERROR(__xludf.DUMMYFUNCTION("GOOGLETRANSLATE(A355, ""en"", ""hi"")"),"बन्ना नवाब पनीर बटर")</f>
        <v>बन्ना नवाब पनीर बटर</v>
      </c>
      <c r="D355" s="2" t="s">
        <v>1961</v>
      </c>
      <c r="E355" s="2" t="s">
        <v>2369</v>
      </c>
      <c r="F355" s="1">
        <v>2.0</v>
      </c>
      <c r="G355" s="3" t="s">
        <v>55</v>
      </c>
    </row>
    <row r="356">
      <c r="A356" s="3" t="s">
        <v>2371</v>
      </c>
      <c r="B356" s="4" t="str">
        <f>IFERROR(__xludf.DUMMYFUNCTION("GOOGLETRANSLATE(A356, ""en"", ""te"")"),"బన్నా నవాబ్ మటన్ మసాలా")</f>
        <v>బన్నా నవాబ్ మటన్ మసాలా</v>
      </c>
      <c r="C356" s="4" t="str">
        <f>IFERROR(__xludf.DUMMYFUNCTION("GOOGLETRANSLATE(A356, ""en"", ""hi"")"),"बन्ना नवाब मटन मसाला")</f>
        <v>बन्ना नवाब मटन मसाला</v>
      </c>
      <c r="D356" s="2" t="s">
        <v>1179</v>
      </c>
      <c r="E356" s="2" t="s">
        <v>442</v>
      </c>
      <c r="F356" s="1">
        <v>2.0</v>
      </c>
      <c r="G356" s="3" t="s">
        <v>55</v>
      </c>
    </row>
    <row r="357">
      <c r="A357" s="3" t="s">
        <v>2375</v>
      </c>
      <c r="B357" s="4" t="str">
        <f>IFERROR(__xludf.DUMMYFUNCTION("GOOGLETRANSLATE(A357, ""en"", ""te"")"),"బన్నా నవాబ్ బిర్యానీ")</f>
        <v>బన్నా నవాబ్ బిర్యానీ</v>
      </c>
      <c r="C357" s="4" t="str">
        <f>IFERROR(__xludf.DUMMYFUNCTION("GOOGLETRANSLATE(A357, ""en"", ""hi"")"),"बन्ना नवाब बिरयानी")</f>
        <v>बन्ना नवाब बिरयानी</v>
      </c>
      <c r="D357" s="2" t="s">
        <v>1431</v>
      </c>
      <c r="E357" s="2" t="s">
        <v>9</v>
      </c>
      <c r="F357" s="1">
        <v>2.0</v>
      </c>
      <c r="G357" s="3" t="s">
        <v>55</v>
      </c>
    </row>
    <row r="358">
      <c r="A358" s="3" t="s">
        <v>2379</v>
      </c>
      <c r="B358" s="4" t="str">
        <f>IFERROR(__xludf.DUMMYFUNCTION("GOOGLETRANSLATE(A358, ""en"", ""te"")"),"ఎవరెస్ట్ కసూరి మేథి")</f>
        <v>ఎవరెస్ట్ కసూరి మేథి</v>
      </c>
      <c r="C358" s="4" t="str">
        <f>IFERROR(__xludf.DUMMYFUNCTION("GOOGLETRANSLATE(A358, ""en"", ""hi"")"),"एवरेस्ट कसूरी मेथी")</f>
        <v>एवरेस्ट कसूरी मेथी</v>
      </c>
      <c r="D358" s="5"/>
      <c r="E358" s="2" t="s">
        <v>442</v>
      </c>
      <c r="F358" s="1">
        <v>2.0</v>
      </c>
      <c r="G358" s="3" t="s">
        <v>488</v>
      </c>
    </row>
    <row r="359">
      <c r="A359" s="3" t="s">
        <v>2383</v>
      </c>
      <c r="B359" s="4" t="str">
        <f>IFERROR(__xludf.DUMMYFUNCTION("GOOGLETRANSLATE(A359, ""en"", ""te"")"),"స్వాద్ కసూరి మేథి")</f>
        <v>స్వాద్ కసూరి మేథి</v>
      </c>
      <c r="C359" s="4" t="str">
        <f>IFERROR(__xludf.DUMMYFUNCTION("GOOGLETRANSLATE(A359, ""en"", ""hi"")"),"स्वाद कसूरी मेथी")</f>
        <v>स्वाद कसूरी मेथी</v>
      </c>
      <c r="D359" s="5"/>
      <c r="E359" s="2" t="s">
        <v>442</v>
      </c>
      <c r="F359" s="1">
        <v>2.0</v>
      </c>
      <c r="G359" s="3" t="s">
        <v>488</v>
      </c>
    </row>
    <row r="360">
      <c r="A360" s="3" t="s">
        <v>2387</v>
      </c>
      <c r="B360" s="4" t="str">
        <f>IFERROR(__xludf.DUMMYFUNCTION("GOOGLETRANSLATE(A360, ""en"", ""te"")"),"ఆశీర్వాద్ ఆటా")</f>
        <v>ఆశీర్వాద్ ఆటా</v>
      </c>
      <c r="C360" s="4" t="str">
        <f>IFERROR(__xludf.DUMMYFUNCTION("GOOGLETRANSLATE(A360, ""en"", ""hi"")"),"आशीर्वाद आता")</f>
        <v>आशीर्वाद आता</v>
      </c>
      <c r="D360" s="2" t="s">
        <v>2391</v>
      </c>
      <c r="E360" s="2" t="s">
        <v>67</v>
      </c>
      <c r="F360" s="1">
        <v>2.0</v>
      </c>
      <c r="G360" s="3" t="s">
        <v>488</v>
      </c>
    </row>
    <row r="361">
      <c r="A361" s="3" t="s">
        <v>2393</v>
      </c>
      <c r="B361" s="4" t="str">
        <f>IFERROR(__xludf.DUMMYFUNCTION("GOOGLETRANSLATE(A361, ""en"", ""te"")"),"చింగ్స్ సీక్రెట్ వెజ్ మంచూరియన్ మసాలా మిక్స్")</f>
        <v>చింగ్స్ సీక్రెట్ వెజ్ మంచూరియన్ మసాలా మిక్స్</v>
      </c>
      <c r="C361" s="4" t="str">
        <f>IFERROR(__xludf.DUMMYFUNCTION("GOOGLETRANSLATE(A361, ""en"", ""hi"")"),"चिंग का सीक्रेट वेज मंचूरियन मसाला मिक्स")</f>
        <v>चिंग का सीक्रेट वेज मंचूरियन मसाला मिक्स</v>
      </c>
      <c r="D361" s="5"/>
      <c r="E361" s="2" t="s">
        <v>946</v>
      </c>
      <c r="F361" s="1">
        <v>2.0</v>
      </c>
      <c r="G361" s="3" t="s">
        <v>49</v>
      </c>
    </row>
    <row r="362">
      <c r="A362" s="3" t="s">
        <v>2398</v>
      </c>
      <c r="B362" s="4" t="str">
        <f>IFERROR(__xludf.DUMMYFUNCTION("GOOGLETRANSLATE(A362, ""en"", ""te"")"),"చింగ్స్ సీక్రెట్ పనీర్ చిల్లీ మసాలా")</f>
        <v>చింగ్స్ సీక్రెట్ పనీర్ చిల్లీ మసాలా</v>
      </c>
      <c r="C362" s="4" t="str">
        <f>IFERROR(__xludf.DUMMYFUNCTION("GOOGLETRANSLATE(A362, ""en"", ""hi"")"),"चिंग का सीक्रेट पनीर चिली मसाला")</f>
        <v>चिंग का सीक्रेट पनीर चिली मसाला</v>
      </c>
      <c r="D362" s="5"/>
      <c r="E362" s="2" t="s">
        <v>946</v>
      </c>
      <c r="F362" s="1">
        <v>2.0</v>
      </c>
      <c r="G362" s="3" t="s">
        <v>49</v>
      </c>
    </row>
    <row r="363">
      <c r="A363" s="3" t="s">
        <v>2415</v>
      </c>
      <c r="B363" s="4" t="str">
        <f>IFERROR(__xludf.DUMMYFUNCTION("GOOGLETRANSLATE(A363, ""en"", ""te"")"),"చింగ్స్ సీక్రెట్ చికెన్ 65")</f>
        <v>చింగ్స్ సీక్రెట్ చికెన్ 65</v>
      </c>
      <c r="C363" s="4" t="str">
        <f>IFERROR(__xludf.DUMMYFUNCTION("GOOGLETRANSLATE(A363, ""en"", ""hi"")"),"चिंग का सीक्रेट चिकन 65")</f>
        <v>चिंग का सीक्रेट चिकन 65</v>
      </c>
      <c r="D363" s="2" t="s">
        <v>1466</v>
      </c>
      <c r="E363" s="2" t="s">
        <v>940</v>
      </c>
      <c r="F363" s="1">
        <v>2.0</v>
      </c>
      <c r="G363" s="3" t="s">
        <v>49</v>
      </c>
    </row>
    <row r="364">
      <c r="A364" s="3" t="s">
        <v>2420</v>
      </c>
      <c r="B364" s="4" t="str">
        <f>IFERROR(__xludf.DUMMYFUNCTION("GOOGLETRANSLATE(A364, ""en"", ""te"")"),"శక్తి గార్లిక్ రైస్ మిక్స్")</f>
        <v>శక్తి గార్లిక్ రైస్ మిక్స్</v>
      </c>
      <c r="C364" s="4" t="str">
        <f>IFERROR(__xludf.DUMMYFUNCTION("GOOGLETRANSLATE(A364, ""en"", ""hi"")"),"शक्ति लहसुन चावल मिक्स")</f>
        <v>शक्ति लहसुन चावल मिक्स</v>
      </c>
      <c r="D364" s="5"/>
      <c r="E364" s="2" t="s">
        <v>9</v>
      </c>
      <c r="F364" s="1">
        <v>2.0</v>
      </c>
      <c r="G364" s="3" t="s">
        <v>49</v>
      </c>
    </row>
    <row r="365">
      <c r="A365" s="3" t="s">
        <v>2425</v>
      </c>
      <c r="B365" s="4" t="str">
        <f>IFERROR(__xludf.DUMMYFUNCTION("GOOGLETRANSLATE(A365, ""en"", ""te"")"),"శక్తి చికెన్ మిక్స్")</f>
        <v>శక్తి చికెన్ మిక్స్</v>
      </c>
      <c r="C365" s="4" t="str">
        <f>IFERROR(__xludf.DUMMYFUNCTION("GOOGLETRANSLATE(A365, ""en"", ""hi"")"),"शक्ति चिकन मिक्स")</f>
        <v>शक्ति चिकन मिक्स</v>
      </c>
      <c r="D365" s="5"/>
      <c r="E365" s="2" t="s">
        <v>940</v>
      </c>
      <c r="F365" s="1">
        <v>2.0</v>
      </c>
      <c r="G365" s="3" t="s">
        <v>49</v>
      </c>
    </row>
    <row r="366">
      <c r="A366" s="3" t="s">
        <v>2437</v>
      </c>
      <c r="B366" s="4" t="str">
        <f>IFERROR(__xludf.DUMMYFUNCTION("GOOGLETRANSLATE(A366, ""en"", ""te"")"),"శక్తి బిర్యానీ మసాలా")</f>
        <v>శక్తి బిర్యానీ మసాలా</v>
      </c>
      <c r="C366" s="4" t="str">
        <f>IFERROR(__xludf.DUMMYFUNCTION("GOOGLETRANSLATE(A366, ""en"", ""hi"")"),"शक्ति बिरयानी मसाला")</f>
        <v>शक्ति बिरयानी मसाला</v>
      </c>
      <c r="D366" s="5"/>
      <c r="E366" s="2" t="s">
        <v>442</v>
      </c>
      <c r="F366" s="1">
        <v>2.0</v>
      </c>
      <c r="G366" s="3" t="s">
        <v>49</v>
      </c>
    </row>
    <row r="367">
      <c r="A367" s="3" t="s">
        <v>2445</v>
      </c>
      <c r="B367" s="4" t="str">
        <f>IFERROR(__xludf.DUMMYFUNCTION("GOOGLETRANSLATE(A367, ""en"", ""te"")"),"ఆచీ చికెన్ మసాలా")</f>
        <v>ఆచీ చికెన్ మసాలా</v>
      </c>
      <c r="C367" s="4" t="str">
        <f>IFERROR(__xludf.DUMMYFUNCTION("GOOGLETRANSLATE(A367, ""en"", ""hi"")"),"आची चिकन मसाला")</f>
        <v>आची चिकन मसाला</v>
      </c>
      <c r="D367" s="5"/>
      <c r="E367" s="2" t="s">
        <v>442</v>
      </c>
      <c r="F367" s="1">
        <v>2.0</v>
      </c>
      <c r="G367" s="3" t="s">
        <v>49</v>
      </c>
    </row>
    <row r="368">
      <c r="A368" s="3" t="s">
        <v>2449</v>
      </c>
      <c r="B368" s="4" t="str">
        <f>IFERROR(__xludf.DUMMYFUNCTION("GOOGLETRANSLATE(A368, ""en"", ""te"")"),"ఆచీ మటన్ మసాలా")</f>
        <v>ఆచీ మటన్ మసాలా</v>
      </c>
      <c r="C368" s="4" t="str">
        <f>IFERROR(__xludf.DUMMYFUNCTION("GOOGLETRANSLATE(A368, ""en"", ""hi"")"),"आची मटन मसाला")</f>
        <v>आची मटन मसाला</v>
      </c>
      <c r="D368" s="2" t="s">
        <v>1179</v>
      </c>
      <c r="E368" s="2" t="s">
        <v>442</v>
      </c>
      <c r="F368" s="1">
        <v>2.0</v>
      </c>
      <c r="G368" s="3" t="s">
        <v>49</v>
      </c>
    </row>
    <row r="369">
      <c r="A369" s="3" t="s">
        <v>2453</v>
      </c>
      <c r="B369" s="4" t="str">
        <f>IFERROR(__xludf.DUMMYFUNCTION("GOOGLETRANSLATE(A369, ""en"", ""te"")"),"షాన్ పాయా నెహారి")</f>
        <v>షాన్ పాయా నెహారి</v>
      </c>
      <c r="C369" s="4" t="str">
        <f>IFERROR(__xludf.DUMMYFUNCTION("GOOGLETRANSLATE(A369, ""en"", ""hi"")"),"शान पाया नेहारी")</f>
        <v>शान पाया नेहारी</v>
      </c>
      <c r="D369" s="5"/>
      <c r="E369" s="2" t="s">
        <v>442</v>
      </c>
      <c r="F369" s="1">
        <v>2.0</v>
      </c>
      <c r="G369" s="3" t="s">
        <v>55</v>
      </c>
    </row>
    <row r="370">
      <c r="A370" s="3" t="s">
        <v>2466</v>
      </c>
      <c r="B370" s="4" t="str">
        <f>IFERROR(__xludf.DUMMYFUNCTION("GOOGLETRANSLATE(A370, ""en"", ""te"")"),"షాన్ పావ్ భాజీ")</f>
        <v>షాన్ పావ్ భాజీ</v>
      </c>
      <c r="C370" s="4" t="str">
        <f>IFERROR(__xludf.DUMMYFUNCTION("GOOGLETRANSLATE(A370, ""en"", ""hi"")"),"शान पाव भाजी")</f>
        <v>शान पाव भाजी</v>
      </c>
      <c r="D370" s="5"/>
      <c r="E370" s="2" t="s">
        <v>940</v>
      </c>
      <c r="F370" s="1">
        <v>2.0</v>
      </c>
      <c r="G370" s="3" t="s">
        <v>55</v>
      </c>
    </row>
    <row r="371">
      <c r="A371" s="3" t="s">
        <v>2471</v>
      </c>
      <c r="B371" s="4" t="str">
        <f>IFERROR(__xludf.DUMMYFUNCTION("GOOGLETRANSLATE(A371, ""en"", ""te"")"),"షాన్ టేస్టర్ బటర్ చికెన్ మిక్స్")</f>
        <v>షాన్ టేస్టర్ బటర్ చికెన్ మిక్స్</v>
      </c>
      <c r="C371" s="4" t="str">
        <f>IFERROR(__xludf.DUMMYFUNCTION("GOOGLETRANSLATE(A371, ""en"", ""hi"")"),"शान टेस्टर बटर चिकन मिक्स")</f>
        <v>शान टेस्टर बटर चिकन मिक्स</v>
      </c>
      <c r="D371" s="5"/>
      <c r="E371" s="2" t="s">
        <v>940</v>
      </c>
      <c r="F371" s="1">
        <v>2.0</v>
      </c>
      <c r="G371" s="3" t="s">
        <v>55</v>
      </c>
    </row>
    <row r="372">
      <c r="A372" s="3" t="s">
        <v>2476</v>
      </c>
      <c r="B372" s="4" t="str">
        <f>IFERROR(__xludf.DUMMYFUNCTION("GOOGLETRANSLATE(A372, ""en"", ""te"")"),"షాన్ నిహారి మసాలా")</f>
        <v>షాన్ నిహారి మసాలా</v>
      </c>
      <c r="C372" s="4" t="str">
        <f>IFERROR(__xludf.DUMMYFUNCTION("GOOGLETRANSLATE(A372, ""en"", ""hi"")"),"शान निहारी मसाला")</f>
        <v>शान निहारी मसाला</v>
      </c>
      <c r="D372" s="5"/>
      <c r="E372" s="2" t="s">
        <v>442</v>
      </c>
      <c r="F372" s="1">
        <v>2.0</v>
      </c>
      <c r="G372" s="3" t="s">
        <v>55</v>
      </c>
    </row>
    <row r="373">
      <c r="A373" s="3" t="s">
        <v>2487</v>
      </c>
      <c r="B373" s="4" t="str">
        <f>IFERROR(__xludf.DUMMYFUNCTION("GOOGLETRANSLATE(A373, ""en"", ""te"")"),"షాన్ బొంబాయి బిర్యానీ మిక్స్")</f>
        <v>షాన్ బొంబాయి బిర్యానీ మిక్స్</v>
      </c>
      <c r="C373" s="4" t="str">
        <f>IFERROR(__xludf.DUMMYFUNCTION("GOOGLETRANSLATE(A373, ""en"", ""hi"")"),"शान बॉम्बे बिरयानी मिक्स")</f>
        <v>शान बॉम्बे बिरयानी मिक्स</v>
      </c>
      <c r="D373" s="2" t="s">
        <v>2492</v>
      </c>
      <c r="E373" s="2" t="s">
        <v>442</v>
      </c>
      <c r="F373" s="1">
        <v>2.0</v>
      </c>
      <c r="G373" s="3" t="s">
        <v>55</v>
      </c>
    </row>
    <row r="374">
      <c r="A374" s="3" t="s">
        <v>2495</v>
      </c>
      <c r="B374" s="4" t="str">
        <f>IFERROR(__xludf.DUMMYFUNCTION("GOOGLETRANSLATE(A374, ""en"", ""te"")"),"షాన్ మటన్ మసాలా")</f>
        <v>షాన్ మటన్ మసాలా</v>
      </c>
      <c r="C374" s="4" t="str">
        <f>IFERROR(__xludf.DUMMYFUNCTION("GOOGLETRANSLATE(A374, ""en"", ""hi"")"),"शान मटन मसाला")</f>
        <v>शान मटन मसाला</v>
      </c>
      <c r="D374" s="2" t="s">
        <v>1179</v>
      </c>
      <c r="E374" s="2" t="s">
        <v>442</v>
      </c>
      <c r="F374" s="1">
        <v>2.0</v>
      </c>
      <c r="G374" s="3" t="s">
        <v>55</v>
      </c>
    </row>
    <row r="375">
      <c r="A375" s="3" t="s">
        <v>2501</v>
      </c>
      <c r="B375" s="4" t="str">
        <f>IFERROR(__xludf.DUMMYFUNCTION("GOOGLETRANSLATE(A375, ""en"", ""te"")"),"షాన్ చికెన్ కరాహీ")</f>
        <v>షాన్ చికెన్ కరాహీ</v>
      </c>
      <c r="C375" s="4" t="str">
        <f>IFERROR(__xludf.DUMMYFUNCTION("GOOGLETRANSLATE(A375, ""en"", ""hi"")"),"शान चिकन कराही")</f>
        <v>शान चिकन कराही</v>
      </c>
      <c r="D375" s="2" t="s">
        <v>2505</v>
      </c>
      <c r="E375" s="2" t="s">
        <v>442</v>
      </c>
      <c r="F375" s="1">
        <v>2.0</v>
      </c>
      <c r="G375" s="3" t="s">
        <v>55</v>
      </c>
    </row>
    <row r="376">
      <c r="A376" s="3" t="s">
        <v>2507</v>
      </c>
      <c r="B376" s="4" t="str">
        <f>IFERROR(__xludf.DUMMYFUNCTION("GOOGLETRANSLATE(A376, ""en"", ""te"")"),"షాన్ మాస్టర్ కర్రీ")</f>
        <v>షాన్ మాస్టర్ కర్రీ</v>
      </c>
      <c r="C376" s="4" t="str">
        <f>IFERROR(__xludf.DUMMYFUNCTION("GOOGLETRANSLATE(A376, ""en"", ""hi"")"),"शान मास्टर करी")</f>
        <v>शान मास्टर करी</v>
      </c>
      <c r="D376" s="2" t="s">
        <v>2511</v>
      </c>
      <c r="E376" s="2" t="s">
        <v>442</v>
      </c>
      <c r="F376" s="1">
        <v>2.0</v>
      </c>
      <c r="G376" s="3" t="s">
        <v>55</v>
      </c>
    </row>
    <row r="377">
      <c r="A377" s="3" t="s">
        <v>2515</v>
      </c>
      <c r="B377" s="4" t="str">
        <f>IFERROR(__xludf.DUMMYFUNCTION("GOOGLETRANSLATE(A377, ""en"", ""te"")"),"షాన్ హలీమ్ మిక్స్")</f>
        <v>షాన్ హలీమ్ మిక్స్</v>
      </c>
      <c r="C377" s="4" t="str">
        <f>IFERROR(__xludf.DUMMYFUNCTION("GOOGLETRANSLATE(A377, ""en"", ""hi"")"),"शान हलीम मिक्स")</f>
        <v>शान हलीम मिक्स</v>
      </c>
      <c r="D377" s="2" t="s">
        <v>2520</v>
      </c>
      <c r="E377" s="2" t="s">
        <v>442</v>
      </c>
      <c r="F377" s="1">
        <v>2.0</v>
      </c>
      <c r="G377" s="3" t="s">
        <v>55</v>
      </c>
    </row>
    <row r="378">
      <c r="A378" s="3" t="s">
        <v>2522</v>
      </c>
      <c r="B378" s="4" t="str">
        <f>IFERROR(__xludf.DUMMYFUNCTION("GOOGLETRANSLATE(A378, ""en"", ""te"")"),"షాన్ అచారి చికెన్ మసాలా")</f>
        <v>షాన్ అచారి చికెన్ మసాలా</v>
      </c>
      <c r="C378" s="4" t="str">
        <f>IFERROR(__xludf.DUMMYFUNCTION("GOOGLETRANSLATE(A378, ""en"", ""hi"")"),"शान अचारी चिकन मसाला")</f>
        <v>शान अचारी चिकन मसाला</v>
      </c>
      <c r="D378" s="2" t="s">
        <v>2221</v>
      </c>
      <c r="E378" s="2" t="s">
        <v>442</v>
      </c>
      <c r="F378" s="1">
        <v>2.0</v>
      </c>
      <c r="G378" s="3" t="s">
        <v>55</v>
      </c>
    </row>
    <row r="379">
      <c r="A379" s="3" t="s">
        <v>2528</v>
      </c>
      <c r="B379" s="4" t="str">
        <f>IFERROR(__xludf.DUMMYFUNCTION("GOOGLETRANSLATE(A379, ""en"", ""te"")"),"షాన్ ఫిష్ ఫ్రై")</f>
        <v>షాన్ ఫిష్ ఫ్రై</v>
      </c>
      <c r="C379" s="4" t="str">
        <f>IFERROR(__xludf.DUMMYFUNCTION("GOOGLETRANSLATE(A379, ""en"", ""hi"")"),"शान फिश फ्राई")</f>
        <v>शान फिश फ्राई</v>
      </c>
      <c r="D379" s="5"/>
      <c r="E379" s="2" t="s">
        <v>442</v>
      </c>
      <c r="F379" s="1">
        <v>2.0</v>
      </c>
      <c r="G379" s="3" t="s">
        <v>55</v>
      </c>
    </row>
    <row r="380">
      <c r="A380" s="3" t="s">
        <v>2532</v>
      </c>
      <c r="B380" s="4" t="str">
        <f>IFERROR(__xludf.DUMMYFUNCTION("GOOGLETRANSLATE(A380, ""en"", ""te"")"),"షాన్ ఫ్రైడ్ ఫిష్ మసాలా")</f>
        <v>షాన్ ఫ్రైడ్ ఫిష్ మసాలా</v>
      </c>
      <c r="C380" s="4" t="str">
        <f>IFERROR(__xludf.DUMMYFUNCTION("GOOGLETRANSLATE(A380, ""en"", ""hi"")"),"शान फ्राइड फिश मसाला")</f>
        <v>शान फ्राइड फिश मसाला</v>
      </c>
      <c r="D380" s="5"/>
      <c r="E380" s="2" t="s">
        <v>442</v>
      </c>
      <c r="F380" s="1">
        <v>2.0</v>
      </c>
      <c r="G380" s="3" t="s">
        <v>55</v>
      </c>
    </row>
    <row r="381">
      <c r="A381" s="3" t="s">
        <v>2537</v>
      </c>
      <c r="B381" s="4" t="str">
        <f>IFERROR(__xludf.DUMMYFUNCTION("GOOGLETRANSLATE(A381, ""en"", ""te"")"),"లక్ష్మి XXL మొత్తం ఎర్ర మిరపకాయలు")</f>
        <v>లక్ష్మి XXL మొత్తం ఎర్ర మిరపకాయలు</v>
      </c>
      <c r="C381" s="4" t="str">
        <f>IFERROR(__xludf.DUMMYFUNCTION("GOOGLETRANSLATE(A381, ""en"", ""hi"")"),"लक्ष्मी XXL साबुत लाल मिर्च")</f>
        <v>लक्ष्मी XXL साबुत लाल मिर्च</v>
      </c>
      <c r="D381" s="2" t="s">
        <v>2267</v>
      </c>
      <c r="E381" s="2" t="s">
        <v>442</v>
      </c>
      <c r="F381" s="1">
        <v>2.0</v>
      </c>
      <c r="G381" s="3" t="s">
        <v>57</v>
      </c>
    </row>
    <row r="382">
      <c r="A382" s="3" t="s">
        <v>2542</v>
      </c>
      <c r="B382" s="4" t="str">
        <f>IFERROR(__xludf.DUMMYFUNCTION("GOOGLETRANSLATE(A382, ""en"", ""te"")"),"లక్ష్మి కాలా జీరా")</f>
        <v>లక్ష్మి కాలా జీరా</v>
      </c>
      <c r="C382" s="4" t="str">
        <f>IFERROR(__xludf.DUMMYFUNCTION("GOOGLETRANSLATE(A382, ""en"", ""hi"")"),"लक्ष्मी काला जीरा")</f>
        <v>लक्ष्मी काला जीरा</v>
      </c>
      <c r="D382" s="2" t="s">
        <v>440</v>
      </c>
      <c r="E382" s="2" t="s">
        <v>442</v>
      </c>
      <c r="F382" s="1">
        <v>2.0</v>
      </c>
      <c r="G382" s="3" t="s">
        <v>57</v>
      </c>
    </row>
    <row r="383">
      <c r="A383" s="3" t="s">
        <v>2547</v>
      </c>
      <c r="B383" s="4" t="str">
        <f>IFERROR(__xludf.DUMMYFUNCTION("GOOGLETRANSLATE(A383, ""en"", ""te"")"),"లక్ష్మి జీలకర్ర గింజలు")</f>
        <v>లక్ష్మి జీలకర్ర గింజలు</v>
      </c>
      <c r="C383" s="4" t="str">
        <f>IFERROR(__xludf.DUMMYFUNCTION("GOOGLETRANSLATE(A383, ""en"", ""hi"")"),"लक्ष्मी साबुत जीरा")</f>
        <v>लक्ष्मी साबुत जीरा</v>
      </c>
      <c r="D383" s="2" t="s">
        <v>1701</v>
      </c>
      <c r="E383" s="2" t="s">
        <v>442</v>
      </c>
      <c r="F383" s="1">
        <v>2.0</v>
      </c>
      <c r="G383" s="3" t="s">
        <v>57</v>
      </c>
    </row>
    <row r="384">
      <c r="A384" s="3" t="s">
        <v>1773</v>
      </c>
      <c r="B384" s="4" t="str">
        <f>IFERROR(__xludf.DUMMYFUNCTION("GOOGLETRANSLATE(A384, ""en"", ""te"")"),"లక్ష్మి, నల్ల మిరియాల పొడి")</f>
        <v>లక్ష్మి, నల్ల మిరియాల పొడి</v>
      </c>
      <c r="C384" s="4" t="str">
        <f>IFERROR(__xludf.DUMMYFUNCTION("GOOGLETRANSLATE(A384, ""en"", ""hi"")"),"लक्ष्मी साबुत काली मिर्च")</f>
        <v>लक्ष्मी साबुत काली मिर्च</v>
      </c>
      <c r="D384" s="5"/>
      <c r="E384" s="2" t="s">
        <v>442</v>
      </c>
      <c r="F384" s="1">
        <v>2.0</v>
      </c>
      <c r="G384" s="3" t="s">
        <v>57</v>
      </c>
    </row>
    <row r="385">
      <c r="A385" s="3" t="s">
        <v>2557</v>
      </c>
      <c r="B385" s="4" t="str">
        <f>IFERROR(__xludf.DUMMYFUNCTION("GOOGLETRANSLATE(A385, ""en"", ""te"")"),"లక్ష్మి, పచ్చి యాలకులు")</f>
        <v>లక్ష్మి, పచ్చి యాలకులు</v>
      </c>
      <c r="C385" s="4" t="str">
        <f>IFERROR(__xludf.DUMMYFUNCTION("GOOGLETRANSLATE(A385, ""en"", ""hi"")"),"लक्ष्मी साबुत हरी इलायची")</f>
        <v>लक्ष्मी साबुत हरी इलायची</v>
      </c>
      <c r="D385" s="2" t="s">
        <v>2561</v>
      </c>
      <c r="E385" s="2" t="s">
        <v>442</v>
      </c>
      <c r="F385" s="1">
        <v>2.0</v>
      </c>
      <c r="G385" s="3" t="s">
        <v>57</v>
      </c>
    </row>
    <row r="386">
      <c r="A386" s="3" t="s">
        <v>2563</v>
      </c>
      <c r="B386" s="4" t="str">
        <f>IFERROR(__xludf.DUMMYFUNCTION("GOOGLETRANSLATE(A386, ""en"", ""te"")"),"లక్ష్మి లవంగాలు")</f>
        <v>లక్ష్మి లవంగాలు</v>
      </c>
      <c r="C386" s="4" t="str">
        <f>IFERROR(__xludf.DUMMYFUNCTION("GOOGLETRANSLATE(A386, ""en"", ""hi"")"),"लक्ष्मी साबुत लौंग")</f>
        <v>लक्ष्मी साबुत लौंग</v>
      </c>
      <c r="D386" s="5"/>
      <c r="E386" s="2" t="s">
        <v>442</v>
      </c>
      <c r="F386" s="1">
        <v>2.0</v>
      </c>
      <c r="G386" s="3" t="s">
        <v>57</v>
      </c>
    </row>
    <row r="387">
      <c r="A387" s="3" t="s">
        <v>2569</v>
      </c>
      <c r="B387" s="4" t="str">
        <f>IFERROR(__xludf.DUMMYFUNCTION("GOOGLETRANSLATE(A387, ""en"", ""te"")"),"లక్ష్మి స్టార్ సోంపు")</f>
        <v>లక్ష్మి స్టార్ సోంపు</v>
      </c>
      <c r="C387" s="4" t="str">
        <f>IFERROR(__xludf.DUMMYFUNCTION("GOOGLETRANSLATE(A387, ""en"", ""hi"")"),"लक्ष्मी स्टार अनीस")</f>
        <v>लक्ष्मी स्टार अनीस</v>
      </c>
      <c r="D387" s="5"/>
      <c r="E387" s="2" t="s">
        <v>442</v>
      </c>
      <c r="F387" s="1">
        <v>2.0</v>
      </c>
      <c r="G387" s="3" t="s">
        <v>57</v>
      </c>
    </row>
    <row r="388">
      <c r="A388" s="3" t="s">
        <v>1709</v>
      </c>
      <c r="B388" s="4" t="str">
        <f>IFERROR(__xludf.DUMMYFUNCTION("GOOGLETRANSLATE(A388, ""en"", ""te"")"),"లక్ష్మి బే ఆకులు")</f>
        <v>లక్ష్మి బే ఆకులు</v>
      </c>
      <c r="C388" s="4" t="str">
        <f>IFERROR(__xludf.DUMMYFUNCTION("GOOGLETRANSLATE(A388, ""en"", ""hi"")"),"लक्ष्मी तेज पत्ते")</f>
        <v>लक्ष्मी तेज पत्ते</v>
      </c>
      <c r="D388" s="5"/>
      <c r="E388" s="2" t="s">
        <v>442</v>
      </c>
      <c r="F388" s="1">
        <v>2.0</v>
      </c>
      <c r="G388" s="3" t="s">
        <v>57</v>
      </c>
    </row>
    <row r="389">
      <c r="A389" s="3" t="s">
        <v>2577</v>
      </c>
      <c r="B389" s="4" t="str">
        <f>IFERROR(__xludf.DUMMYFUNCTION("GOOGLETRANSLATE(A389, ""en"", ""te"")"),"లక్ష్మి దాల్చినచెక్కలు")</f>
        <v>లక్ష్మి దాల్చినచెక్కలు</v>
      </c>
      <c r="C389" s="4" t="str">
        <f>IFERROR(__xludf.DUMMYFUNCTION("GOOGLETRANSLATE(A389, ""en"", ""hi"")"),"लक्ष्मी दालचीनी की छड़ें")</f>
        <v>लक्ष्मी दालचीनी की छड़ें</v>
      </c>
      <c r="D389" s="2" t="s">
        <v>2581</v>
      </c>
      <c r="E389" s="2" t="s">
        <v>442</v>
      </c>
      <c r="F389" s="1">
        <v>2.0</v>
      </c>
      <c r="G389" s="3" t="s">
        <v>57</v>
      </c>
    </row>
    <row r="390">
      <c r="A390" s="3" t="s">
        <v>2583</v>
      </c>
      <c r="B390" s="4" t="str">
        <f>IFERROR(__xludf.DUMMYFUNCTION("GOOGLETRANSLATE(A390, ""en"", ""te"")"),"లక్ష్మి మెంతి గింజలు")</f>
        <v>లక్ష్మి మెంతి గింజలు</v>
      </c>
      <c r="C390" s="4" t="str">
        <f>IFERROR(__xludf.DUMMYFUNCTION("GOOGLETRANSLATE(A390, ""en"", ""hi"")"),"लक्ष्मी साबुत मेथी के बीज")</f>
        <v>लक्ष्मी साबुत मेथी के बीज</v>
      </c>
      <c r="D390" s="2" t="s">
        <v>2588</v>
      </c>
      <c r="E390" s="2" t="s">
        <v>442</v>
      </c>
      <c r="F390" s="1">
        <v>2.0</v>
      </c>
      <c r="G390" s="3" t="s">
        <v>57</v>
      </c>
    </row>
    <row r="391">
      <c r="A391" s="3" t="s">
        <v>2590</v>
      </c>
      <c r="B391" s="4" t="str">
        <f>IFERROR(__xludf.DUMMYFUNCTION("GOOGLETRANSLATE(A391, ""en"", ""te"")"),"లక్ష్మి ఎండు మిరపకాయలు")</f>
        <v>లక్ష్మి ఎండు మిరపకాయలు</v>
      </c>
      <c r="C391" s="4" t="str">
        <f>IFERROR(__xludf.DUMMYFUNCTION("GOOGLETRANSLATE(A391, ""en"", ""hi"")"),"लक्ष्मी सूखी साबुत मिर्च")</f>
        <v>लक्ष्मी सूखी साबुत मिर्च</v>
      </c>
      <c r="D391" s="2" t="s">
        <v>2593</v>
      </c>
      <c r="E391" s="2" t="s">
        <v>442</v>
      </c>
      <c r="F391" s="1">
        <v>2.0</v>
      </c>
      <c r="G391" s="3" t="s">
        <v>57</v>
      </c>
    </row>
    <row r="392">
      <c r="A392" s="3" t="s">
        <v>2595</v>
      </c>
      <c r="B392" s="4" t="str">
        <f>IFERROR(__xludf.DUMMYFUNCTION("GOOGLETRANSLATE(A392, ""en"", ""te"")"),"లక్ష్మి కలంజి విత్తనాలు")</f>
        <v>లక్ష్మి కలంజి విత్తనాలు</v>
      </c>
      <c r="C392" s="4" t="str">
        <f>IFERROR(__xludf.DUMMYFUNCTION("GOOGLETRANSLATE(A392, ""en"", ""hi"")"),"लक्ष्मी कलौंजी के बीज")</f>
        <v>लक्ष्मी कलौंजी के बीज</v>
      </c>
      <c r="D392" s="2" t="s">
        <v>2599</v>
      </c>
      <c r="E392" s="2" t="s">
        <v>442</v>
      </c>
      <c r="F392" s="1">
        <v>2.0</v>
      </c>
      <c r="G392" s="3" t="s">
        <v>63</v>
      </c>
    </row>
    <row r="393">
      <c r="A393" s="3" t="s">
        <v>2601</v>
      </c>
      <c r="B393" s="4" t="str">
        <f>IFERROR(__xludf.DUMMYFUNCTION("GOOGLETRANSLATE(A393, ""en"", ""te"")"),"స్వాద్ వెల్లుల్లి పొడి")</f>
        <v>స్వాద్ వెల్లుల్లి పొడి</v>
      </c>
      <c r="C393" s="4" t="str">
        <f>IFERROR(__xludf.DUMMYFUNCTION("GOOGLETRANSLATE(A393, ""en"", ""hi"")"),"स्वाद लहसुन पाउडर")</f>
        <v>स्वाद लहसुन पाउडर</v>
      </c>
      <c r="D393" s="2" t="s">
        <v>2604</v>
      </c>
      <c r="E393" s="2" t="s">
        <v>442</v>
      </c>
      <c r="F393" s="1">
        <v>2.0</v>
      </c>
      <c r="G393" s="3" t="s">
        <v>63</v>
      </c>
    </row>
    <row r="394">
      <c r="A394" s="3" t="s">
        <v>2606</v>
      </c>
      <c r="B394" s="4" t="str">
        <f>IFERROR(__xludf.DUMMYFUNCTION("GOOGLETRANSLATE(A394, ""en"", ""te"")"),"బట్స్ అల్లం పొడి")</f>
        <v>బట్స్ అల్లం పొడి</v>
      </c>
      <c r="C394" s="4" t="str">
        <f>IFERROR(__xludf.DUMMYFUNCTION("GOOGLETRANSLATE(A394, ""en"", ""hi"")"),"बट का अदरक पाउडर")</f>
        <v>बट का अदरक पाउडर</v>
      </c>
      <c r="D394" s="2" t="s">
        <v>2341</v>
      </c>
      <c r="E394" s="2" t="s">
        <v>442</v>
      </c>
      <c r="F394" s="1">
        <v>2.0</v>
      </c>
      <c r="G394" s="3" t="s">
        <v>63</v>
      </c>
    </row>
    <row r="395">
      <c r="A395" s="3" t="s">
        <v>2639</v>
      </c>
      <c r="B395" s="4" t="str">
        <f>IFERROR(__xludf.DUMMYFUNCTION("GOOGLETRANSLATE(A395, ""en"", ""te"")"),"స్వాద్ గరం మసాలా మొత్తం")</f>
        <v>స్వాద్ గరం మసాలా మొత్తం</v>
      </c>
      <c r="C395" s="4" t="str">
        <f>IFERROR(__xludf.DUMMYFUNCTION("GOOGLETRANSLATE(A395, ""en"", ""hi"")"),"स्वाद गरम मसाला साबुत")</f>
        <v>स्वाद गरम मसाला साबुत</v>
      </c>
      <c r="D395" s="2" t="s">
        <v>1070</v>
      </c>
      <c r="E395" s="2" t="s">
        <v>442</v>
      </c>
      <c r="F395" s="1">
        <v>2.0</v>
      </c>
      <c r="G395" s="3" t="s">
        <v>63</v>
      </c>
    </row>
    <row r="396">
      <c r="A396" s="3" t="s">
        <v>2547</v>
      </c>
      <c r="B396" s="4" t="str">
        <f>IFERROR(__xludf.DUMMYFUNCTION("GOOGLETRANSLATE(A396, ""en"", ""te"")"),"లక్ష్మి జీలకర్ర గింజలు")</f>
        <v>లక్ష్మి జీలకర్ర గింజలు</v>
      </c>
      <c r="C396" s="4" t="str">
        <f>IFERROR(__xludf.DUMMYFUNCTION("GOOGLETRANSLATE(A396, ""en"", ""hi"")"),"लक्ष्मी साबुत जीरा")</f>
        <v>लक्ष्मी साबुत जीरा</v>
      </c>
      <c r="D396" s="2" t="s">
        <v>1701</v>
      </c>
      <c r="E396" s="2" t="s">
        <v>442</v>
      </c>
      <c r="F396" s="1">
        <v>2.0</v>
      </c>
      <c r="G396" s="3" t="s">
        <v>63</v>
      </c>
    </row>
    <row r="397">
      <c r="A397" s="3" t="s">
        <v>2640</v>
      </c>
      <c r="B397" s="4" t="str">
        <f>IFERROR(__xludf.DUMMYFUNCTION("GOOGLETRANSLATE(A397, ""en"", ""te"")"),"లక్ష్మి సోంపు గింజలు")</f>
        <v>లక్ష్మి సోంపు గింజలు</v>
      </c>
      <c r="C397" s="4" t="str">
        <f>IFERROR(__xludf.DUMMYFUNCTION("GOOGLETRANSLATE(A397, ""en"", ""hi"")"),"लक्ष्मी सौंफ के बीज")</f>
        <v>लक्ष्मी सौंफ के बीज</v>
      </c>
      <c r="D397" s="2" t="s">
        <v>2641</v>
      </c>
      <c r="E397" s="2" t="s">
        <v>442</v>
      </c>
      <c r="F397" s="1">
        <v>2.0</v>
      </c>
      <c r="G397" s="3" t="s">
        <v>63</v>
      </c>
    </row>
    <row r="398">
      <c r="A398" s="3" t="s">
        <v>2642</v>
      </c>
      <c r="B398" s="4" t="str">
        <f>IFERROR(__xludf.DUMMYFUNCTION("GOOGLETRANSLATE(A398, ""en"", ""te"")"),"లక్ష్మి లాజ్‌సీడ్స్")</f>
        <v>లక్ష్మి లాజ్‌సీడ్స్</v>
      </c>
      <c r="C398" s="4" t="str">
        <f>IFERROR(__xludf.DUMMYFUNCTION("GOOGLETRANSLATE(A398, ""en"", ""hi"")"),"लक्ष्मी लाज़सीड्स")</f>
        <v>लक्ष्मी लाज़सीड्स</v>
      </c>
      <c r="D398" s="5"/>
      <c r="E398" s="2" t="s">
        <v>442</v>
      </c>
      <c r="F398" s="1">
        <v>2.0</v>
      </c>
      <c r="G398" s="3" t="s">
        <v>63</v>
      </c>
    </row>
    <row r="399">
      <c r="A399" s="3" t="s">
        <v>2643</v>
      </c>
      <c r="B399" s="4" t="str">
        <f>IFERROR(__xludf.DUMMYFUNCTION("GOOGLETRANSLATE(A399, ""en"", ""te"")"),"స్వాద్ కొత్తిమీర పొడి")</f>
        <v>స్వాద్ కొత్తిమీర పొడి</v>
      </c>
      <c r="C399" s="4" t="str">
        <f>IFERROR(__xludf.DUMMYFUNCTION("GOOGLETRANSLATE(A399, ""en"", ""hi"")"),"स्वाद धनिया पाउडर")</f>
        <v>स्वाद धनिया पाउडर</v>
      </c>
      <c r="D399" s="2" t="s">
        <v>2644</v>
      </c>
      <c r="E399" s="2" t="s">
        <v>442</v>
      </c>
      <c r="F399" s="1">
        <v>2.0</v>
      </c>
      <c r="G399" s="3" t="s">
        <v>63</v>
      </c>
    </row>
    <row r="400">
      <c r="A400" s="3" t="s">
        <v>2645</v>
      </c>
      <c r="B400" s="4" t="str">
        <f>IFERROR(__xludf.DUMMYFUNCTION("GOOGLETRANSLATE(A400, ""en"", ""te"")"),"స్వాద్ పసుపు పొడి")</f>
        <v>స్వాద్ పసుపు పొడి</v>
      </c>
      <c r="C400" s="4" t="str">
        <f>IFERROR(__xludf.DUMMYFUNCTION("GOOGLETRANSLATE(A400, ""en"", ""hi"")"),"स्वाद हल्दी पाउडर")</f>
        <v>स्वाद हल्दी पाउडर</v>
      </c>
      <c r="D400" s="2" t="s">
        <v>1599</v>
      </c>
      <c r="E400" s="2" t="s">
        <v>442</v>
      </c>
      <c r="F400" s="1">
        <v>2.0</v>
      </c>
      <c r="G400" s="3" t="s">
        <v>63</v>
      </c>
    </row>
    <row r="401">
      <c r="A401" s="3" t="s">
        <v>2646</v>
      </c>
      <c r="B401" s="4" t="str">
        <f>IFERROR(__xludf.DUMMYFUNCTION("GOOGLETRANSLATE(A401, ""en"", ""te"")"),"స్వాద్ రెడ్ చిల్లీ పౌడర్")</f>
        <v>స్వాద్ రెడ్ చిల్లీ పౌడర్</v>
      </c>
      <c r="C401" s="4" t="str">
        <f>IFERROR(__xludf.DUMMYFUNCTION("GOOGLETRANSLATE(A401, ""en"", ""hi"")"),"स्वाद लाल मिर्च पाउडर")</f>
        <v>स्वाद लाल मिर्च पाउडर</v>
      </c>
      <c r="D401" s="2" t="s">
        <v>2647</v>
      </c>
      <c r="E401" s="2" t="s">
        <v>442</v>
      </c>
      <c r="F401" s="1">
        <v>2.0</v>
      </c>
      <c r="G401" s="3" t="s">
        <v>63</v>
      </c>
    </row>
    <row r="402">
      <c r="A402" s="3" t="s">
        <v>2648</v>
      </c>
      <c r="B402" s="4" t="str">
        <f>IFERROR(__xludf.DUMMYFUNCTION("GOOGLETRANSLATE(A402, ""en"", ""te"")"),"కాపిట్ ఇన్‌స్టంట్ నూడుల్స్")</f>
        <v>కాపిట్ ఇన్‌స్టంట్ నూడుల్స్</v>
      </c>
      <c r="C402" s="4" t="str">
        <f>IFERROR(__xludf.DUMMYFUNCTION("GOOGLETRANSLATE(A402, ""en"", ""hi"")"),"कैपिट इंस्टेंट नूडल्स")</f>
        <v>कैपिट इंस्टेंट नूडल्स</v>
      </c>
      <c r="D402" s="5"/>
      <c r="E402" s="2" t="s">
        <v>2649</v>
      </c>
      <c r="F402" s="1">
        <v>2.0</v>
      </c>
      <c r="G402" s="3" t="s">
        <v>68</v>
      </c>
    </row>
    <row r="403">
      <c r="A403" s="3" t="s">
        <v>2650</v>
      </c>
      <c r="B403" s="4" t="str">
        <f>IFERROR(__xludf.DUMMYFUNCTION("GOOGLETRANSLATE(A403, ""en"", ""te"")"),"మ్యాగీ 2-నిమిషాల ఇన్‌స్టంట్ నూడుల్స్")</f>
        <v>మ్యాగీ 2-నిమిషాల ఇన్‌స్టంట్ నూడుల్స్</v>
      </c>
      <c r="C403" s="4" t="str">
        <f>IFERROR(__xludf.DUMMYFUNCTION("GOOGLETRANSLATE(A403, ""en"", ""hi"")"),"मैगी 2-मिनट इंस्टेंट नूडल्स")</f>
        <v>मैगी 2-मिनट इंस्टेंट नूडल्स</v>
      </c>
      <c r="D403" s="2" t="s">
        <v>2314</v>
      </c>
      <c r="E403" s="2" t="s">
        <v>2649</v>
      </c>
      <c r="F403" s="1">
        <v>2.0</v>
      </c>
      <c r="G403" s="3" t="s">
        <v>68</v>
      </c>
    </row>
    <row r="404">
      <c r="A404" s="3" t="s">
        <v>2651</v>
      </c>
      <c r="B404" s="4" t="str">
        <f>IFERROR(__xludf.DUMMYFUNCTION("GOOGLETRANSLATE(A404, ""en"", ""te"")"),"ముంబై ఇన్‌స్టంట్ నూడుల్స్")</f>
        <v>ముంబై ఇన్‌స్టంట్ నూడుల్స్</v>
      </c>
      <c r="C404" s="4" t="str">
        <f>IFERROR(__xludf.DUMMYFUNCTION("GOOGLETRANSLATE(A404, ""en"", ""hi"")"),"मुंबई इंस्टेंट नूडल्स")</f>
        <v>मुंबई इंस्टेंट नूडल्स</v>
      </c>
      <c r="D404" s="2" t="s">
        <v>2314</v>
      </c>
      <c r="E404" s="2" t="s">
        <v>2649</v>
      </c>
      <c r="F404" s="1">
        <v>2.0</v>
      </c>
      <c r="G404" s="3" t="s">
        <v>68</v>
      </c>
    </row>
    <row r="405">
      <c r="A405" s="3" t="s">
        <v>2652</v>
      </c>
      <c r="B405" s="4" t="str">
        <f>IFERROR(__xludf.DUMMYFUNCTION("GOOGLETRANSLATE(A405, ""en"", ""te"")"),"స్పైసీ చీజీ ఇన్‌స్టంట్ నూడుల్స్")</f>
        <v>స్పైసీ చీజీ ఇన్‌స్టంట్ నూడుల్స్</v>
      </c>
      <c r="C405" s="4" t="str">
        <f>IFERROR(__xludf.DUMMYFUNCTION("GOOGLETRANSLATE(A405, ""en"", ""hi"")"),"मसालेदार चीज़ी इंस्टेंट नूडल्स")</f>
        <v>मसालेदार चीज़ी इंस्टेंट नूडल्स</v>
      </c>
      <c r="D405" s="2" t="s">
        <v>2314</v>
      </c>
      <c r="E405" s="2" t="s">
        <v>2649</v>
      </c>
      <c r="F405" s="1">
        <v>2.0</v>
      </c>
      <c r="G405" s="3" t="s">
        <v>68</v>
      </c>
    </row>
    <row r="406">
      <c r="A406" s="3" t="s">
        <v>2653</v>
      </c>
      <c r="B406" s="4" t="str">
        <f>IFERROR(__xludf.DUMMYFUNCTION("GOOGLETRANSLATE(A406, ""en"", ""te"")"),"ఆచీ గరం మసాలా")</f>
        <v>ఆచీ గరం మసాలా</v>
      </c>
      <c r="C406" s="4" t="str">
        <f>IFERROR(__xludf.DUMMYFUNCTION("GOOGLETRANSLATE(A406, ""en"", ""hi"")"),"आची गरम मसाला")</f>
        <v>आची गरम मसाला</v>
      </c>
      <c r="D406" s="2" t="s">
        <v>2347</v>
      </c>
      <c r="E406" s="2" t="s">
        <v>442</v>
      </c>
      <c r="F406" s="1">
        <v>2.0</v>
      </c>
      <c r="G406" s="3" t="s">
        <v>49</v>
      </c>
    </row>
    <row r="407">
      <c r="A407" s="3" t="s">
        <v>172</v>
      </c>
      <c r="B407" s="4" t="str">
        <f>IFERROR(__xludf.DUMMYFUNCTION("GOOGLETRANSLATE(A407, ""en"", ""te"")"),"ఆచి రసం పొడి")</f>
        <v>ఆచి రసం పొడి</v>
      </c>
      <c r="C407" s="4" t="str">
        <f>IFERROR(__xludf.DUMMYFUNCTION("GOOGLETRANSLATE(A407, ""en"", ""hi"")"),"आची रसम पाउडर")</f>
        <v>आची रसम पाउडर</v>
      </c>
      <c r="D407" s="2" t="s">
        <v>2654</v>
      </c>
      <c r="E407" s="2" t="s">
        <v>442</v>
      </c>
      <c r="F407" s="1">
        <v>2.0</v>
      </c>
      <c r="G407" s="3" t="s">
        <v>49</v>
      </c>
    </row>
    <row r="408">
      <c r="A408" s="3" t="s">
        <v>2655</v>
      </c>
      <c r="B408" s="4" t="str">
        <f>IFERROR(__xludf.DUMMYFUNCTION("GOOGLETRANSLATE(A408, ""en"", ""te"")"),"ఆచీ మద్రాస్ సాంబార్")</f>
        <v>ఆచీ మద్రాస్ సాంబార్</v>
      </c>
      <c r="C408" s="4" t="str">
        <f>IFERROR(__xludf.DUMMYFUNCTION("GOOGLETRANSLATE(A408, ""en"", ""hi"")"),"आची मद्रास सांभर")</f>
        <v>आची मद्रास सांभर</v>
      </c>
      <c r="D408" s="2" t="s">
        <v>1134</v>
      </c>
      <c r="E408" s="2" t="s">
        <v>442</v>
      </c>
      <c r="F408" s="1">
        <v>2.0</v>
      </c>
      <c r="G408" s="3" t="s">
        <v>600</v>
      </c>
    </row>
    <row r="409">
      <c r="A409" s="3" t="s">
        <v>2653</v>
      </c>
      <c r="B409" s="4" t="str">
        <f>IFERROR(__xludf.DUMMYFUNCTION("GOOGLETRANSLATE(A409, ""en"", ""te"")"),"ఆచీ గరం మసాలా")</f>
        <v>ఆచీ గరం మసాలా</v>
      </c>
      <c r="C409" s="4" t="str">
        <f>IFERROR(__xludf.DUMMYFUNCTION("GOOGLETRANSLATE(A409, ""en"", ""hi"")"),"आची गरम मसाला")</f>
        <v>आची गरम मसाला</v>
      </c>
      <c r="D409" s="2" t="s">
        <v>2347</v>
      </c>
      <c r="E409" s="2" t="s">
        <v>442</v>
      </c>
      <c r="F409" s="1">
        <v>2.0</v>
      </c>
      <c r="G409" s="3" t="s">
        <v>600</v>
      </c>
    </row>
    <row r="410">
      <c r="A410" s="3" t="s">
        <v>2657</v>
      </c>
      <c r="B410" s="4" t="str">
        <f>IFERROR(__xludf.DUMMYFUNCTION("GOOGLETRANSLATE(A410, ""en"", ""te"")"),"ఆచీ ఫిష్ ఫ్రై మసాలా")</f>
        <v>ఆచీ ఫిష్ ఫ్రై మసాలా</v>
      </c>
      <c r="C410" s="4" t="str">
        <f>IFERROR(__xludf.DUMMYFUNCTION("GOOGLETRANSLATE(A410, ""en"", ""hi"")"),"आची फिश फ्राई मसाला")</f>
        <v>आची फिश फ्राई मसाला</v>
      </c>
      <c r="D410" s="5"/>
      <c r="E410" s="2" t="s">
        <v>442</v>
      </c>
      <c r="F410" s="1">
        <v>2.0</v>
      </c>
      <c r="G410" s="3" t="s">
        <v>600</v>
      </c>
    </row>
    <row r="411">
      <c r="A411" s="3" t="s">
        <v>2658</v>
      </c>
      <c r="B411" s="4" t="str">
        <f>IFERROR(__xludf.DUMMYFUNCTION("GOOGLETRANSLATE(A411, ""en"", ""te"")"),"దానే నవాబ్ మటన్ బిర్యానీ")</f>
        <v>దానే నవాబ్ మటన్ బిర్యానీ</v>
      </c>
      <c r="C411" s="4" t="str">
        <f>IFERROR(__xludf.DUMMYFUNCTION("GOOGLETRANSLATE(A411, ""en"", ""hi"")"),"दाने नवाब की मटन बिरयानी")</f>
        <v>दाने नवाब की मटन बिरयानी</v>
      </c>
      <c r="D411" s="2" t="s">
        <v>2660</v>
      </c>
      <c r="E411" s="2" t="s">
        <v>9</v>
      </c>
      <c r="F411" s="1">
        <v>2.0</v>
      </c>
      <c r="G411" s="3" t="s">
        <v>55</v>
      </c>
    </row>
    <row r="412">
      <c r="A412" s="3" t="s">
        <v>2661</v>
      </c>
      <c r="B412" s="4" t="str">
        <f>IFERROR(__xludf.DUMMYFUNCTION("GOOGLETRANSLATE(A412, ""en"", ""te"")"),"దానే నవాబ్ మటన్ కర్రీ")</f>
        <v>దానే నవాబ్ మటన్ కర్రీ</v>
      </c>
      <c r="C412" s="4" t="str">
        <f>IFERROR(__xludf.DUMMYFUNCTION("GOOGLETRANSLATE(A412, ""en"", ""hi"")"),"दाने नवाब की मटन करी")</f>
        <v>दाने नवाब की मटन करी</v>
      </c>
      <c r="D412" s="2" t="s">
        <v>2663</v>
      </c>
      <c r="E412" s="2" t="s">
        <v>940</v>
      </c>
      <c r="F412" s="1">
        <v>2.0</v>
      </c>
      <c r="G412" s="3" t="s">
        <v>55</v>
      </c>
    </row>
    <row r="413">
      <c r="A413" s="3" t="s">
        <v>2665</v>
      </c>
      <c r="B413" s="4" t="str">
        <f>IFERROR(__xludf.DUMMYFUNCTION("GOOGLETRANSLATE(A413, ""en"", ""te"")"),"దానే నవాబ్ హలీమ్")</f>
        <v>దానే నవాబ్ హలీమ్</v>
      </c>
      <c r="C413" s="4" t="str">
        <f>IFERROR(__xludf.DUMMYFUNCTION("GOOGLETRANSLATE(A413, ""en"", ""hi"")"),"दाने नवाब का हलीम")</f>
        <v>दाने नवाब का हलीम</v>
      </c>
      <c r="D413" s="5"/>
      <c r="E413" s="2" t="s">
        <v>940</v>
      </c>
      <c r="F413" s="1">
        <v>2.0</v>
      </c>
      <c r="G413" s="3" t="s">
        <v>55</v>
      </c>
    </row>
    <row r="414">
      <c r="A414" s="3" t="s">
        <v>2667</v>
      </c>
      <c r="B414" s="4" t="str">
        <f>IFERROR(__xludf.DUMMYFUNCTION("GOOGLETRANSLATE(A414, ""en"", ""te"")"),"దానే నవాబ్ కడాయి చికెన్")</f>
        <v>దానే నవాబ్ కడాయి చికెన్</v>
      </c>
      <c r="C414" s="4" t="str">
        <f>IFERROR(__xludf.DUMMYFUNCTION("GOOGLETRANSLATE(A414, ""en"", ""hi"")"),"दाने नवाब का कढ़ाई चिकन")</f>
        <v>दाने नवाब का कढ़ाई चिकन</v>
      </c>
      <c r="D414" s="5"/>
      <c r="E414" s="2" t="s">
        <v>940</v>
      </c>
      <c r="F414" s="1">
        <v>2.0</v>
      </c>
      <c r="G414" s="3" t="s">
        <v>55</v>
      </c>
    </row>
    <row r="415">
      <c r="A415" s="3" t="s">
        <v>2668</v>
      </c>
      <c r="B415" s="4" t="str">
        <f>IFERROR(__xludf.DUMMYFUNCTION("GOOGLETRANSLATE(A415, ""en"", ""te"")"),"దానే నవాబ్ చేపల వేపుడు")</f>
        <v>దానే నవాబ్ చేపల వేపుడు</v>
      </c>
      <c r="C415" s="4" t="str">
        <f>IFERROR(__xludf.DUMMYFUNCTION("GOOGLETRANSLATE(A415, ""en"", ""hi"")"),"दाने नवाब की मछली फ्राई")</f>
        <v>दाने नवाब की मछली फ्राई</v>
      </c>
      <c r="D415" s="2" t="s">
        <v>2362</v>
      </c>
      <c r="E415" s="2" t="s">
        <v>940</v>
      </c>
      <c r="F415" s="1">
        <v>2.0</v>
      </c>
      <c r="G415" s="3" t="s">
        <v>55</v>
      </c>
    </row>
    <row r="416">
      <c r="A416" s="3" t="s">
        <v>2670</v>
      </c>
      <c r="B416" s="4" t="str">
        <f>IFERROR(__xludf.DUMMYFUNCTION("GOOGLETRANSLATE(A416, ""en"", ""te"")"),"దానే నవాబ్ ఫ్రై మసాలా")</f>
        <v>దానే నవాబ్ ఫ్రై మసాలా</v>
      </c>
      <c r="C416" s="4" t="str">
        <f>IFERROR(__xludf.DUMMYFUNCTION("GOOGLETRANSLATE(A416, ""en"", ""hi"")"),"दाने नवाब का फ्राई मसाला")</f>
        <v>दाने नवाब का फ्राई मसाला</v>
      </c>
      <c r="D416" s="2" t="s">
        <v>2362</v>
      </c>
      <c r="E416" s="2" t="s">
        <v>442</v>
      </c>
      <c r="F416" s="1">
        <v>2.0</v>
      </c>
      <c r="G416" s="3" t="s">
        <v>55</v>
      </c>
    </row>
    <row r="417">
      <c r="A417" s="3" t="s">
        <v>2671</v>
      </c>
      <c r="B417" s="4" t="str">
        <f>IFERROR(__xludf.DUMMYFUNCTION("GOOGLETRANSLATE(A417, ""en"", ""te"")"),"దానే నవాబ్ చికెన్ లాలీపాప్స్")</f>
        <v>దానే నవాబ్ చికెన్ లాలీపాప్స్</v>
      </c>
      <c r="C417" s="4" t="str">
        <f>IFERROR(__xludf.DUMMYFUNCTION("GOOGLETRANSLATE(A417, ""en"", ""hi"")"),"दाने नवाब का चिकन लॉलीपॉप")</f>
        <v>दाने नवाब का चिकन लॉलीपॉप</v>
      </c>
      <c r="D417" s="5"/>
      <c r="E417" s="2" t="s">
        <v>940</v>
      </c>
      <c r="F417" s="1">
        <v>2.0</v>
      </c>
      <c r="G417" s="3" t="s">
        <v>608</v>
      </c>
    </row>
    <row r="418">
      <c r="A418" s="3" t="s">
        <v>2672</v>
      </c>
      <c r="B418" s="4" t="str">
        <f>IFERROR(__xludf.DUMMYFUNCTION("GOOGLETRANSLATE(A418, ""en"", ""te"")"),"దానే నవాబ్ పాన్ కా చికెన్")</f>
        <v>దానే నవాబ్ పాన్ కా చికెన్</v>
      </c>
      <c r="C418" s="4" t="str">
        <f>IFERROR(__xludf.DUMMYFUNCTION("GOOGLETRANSLATE(A418, ""en"", ""hi"")"),"दाने नवाब का पान का चिकन")</f>
        <v>दाने नवाब का पान का चिकन</v>
      </c>
      <c r="D418" s="5"/>
      <c r="E418" s="2" t="s">
        <v>940</v>
      </c>
      <c r="F418" s="1">
        <v>2.0</v>
      </c>
      <c r="G418" s="3" t="s">
        <v>608</v>
      </c>
    </row>
    <row r="419">
      <c r="A419" s="3" t="s">
        <v>2673</v>
      </c>
      <c r="B419" s="4" t="str">
        <f>IFERROR(__xludf.DUMMYFUNCTION("GOOGLETRANSLATE(A419, ""en"", ""te"")"),"దానే నవాబ్ చికెన్ భునా")</f>
        <v>దానే నవాబ్ చికెన్ భునా</v>
      </c>
      <c r="C419" s="4" t="str">
        <f>IFERROR(__xludf.DUMMYFUNCTION("GOOGLETRANSLATE(A419, ""en"", ""hi"")"),"दाने नवाब का चिकन भुना")</f>
        <v>दाने नवाब का चिकन भुना</v>
      </c>
      <c r="D419" s="5"/>
      <c r="E419" s="2" t="s">
        <v>940</v>
      </c>
      <c r="F419" s="1">
        <v>2.0</v>
      </c>
      <c r="G419" s="3" t="s">
        <v>608</v>
      </c>
    </row>
    <row r="420">
      <c r="A420" s="3" t="s">
        <v>2674</v>
      </c>
      <c r="B420" s="4" t="str">
        <f>IFERROR(__xludf.DUMMYFUNCTION("GOOGLETRANSLATE(A420, ""en"", ""te"")"),"దానే నవాబ్ చికెన్ ఖోర్మా")</f>
        <v>దానే నవాబ్ చికెన్ ఖోర్మా</v>
      </c>
      <c r="C420" s="4" t="str">
        <f>IFERROR(__xludf.DUMMYFUNCTION("GOOGLETRANSLATE(A420, ""en"", ""hi"")"),"दाने नवाब का चिकन कोरमा")</f>
        <v>दाने नवाब का चिकन कोरमा</v>
      </c>
      <c r="D420" s="5"/>
      <c r="E420" s="2" t="s">
        <v>940</v>
      </c>
      <c r="F420" s="1">
        <v>2.0</v>
      </c>
      <c r="G420" s="3" t="s">
        <v>608</v>
      </c>
    </row>
    <row r="421">
      <c r="A421" s="3" t="s">
        <v>2675</v>
      </c>
      <c r="B421" s="4" t="str">
        <f>IFERROR(__xludf.DUMMYFUNCTION("GOOGLETRANSLATE(A421, ""en"", ""te"")"),"SWAD మస్టర్డ్")</f>
        <v>SWAD మస్టర్డ్</v>
      </c>
      <c r="C421" s="4" t="str">
        <f>IFERROR(__xludf.DUMMYFUNCTION("GOOGLETRANSLATE(A421, ""en"", ""hi"")"),"स्वाद सरसों")</f>
        <v>स्वाद सरसों</v>
      </c>
      <c r="D421" s="2" t="s">
        <v>1617</v>
      </c>
      <c r="E421" s="2" t="s">
        <v>442</v>
      </c>
      <c r="F421" s="1">
        <v>2.0</v>
      </c>
      <c r="G421" s="3" t="s">
        <v>57</v>
      </c>
    </row>
    <row r="422">
      <c r="A422" s="3" t="s">
        <v>2676</v>
      </c>
      <c r="B422" s="4" t="str">
        <f>IFERROR(__xludf.DUMMYFUNCTION("GOOGLETRANSLATE(A422, ""en"", ""te"")"),"స్వాద్ కడి మసాలా")</f>
        <v>స్వాద్ కడి మసాలా</v>
      </c>
      <c r="C422" s="4" t="str">
        <f>IFERROR(__xludf.DUMMYFUNCTION("GOOGLETRANSLATE(A422, ""en"", ""hi"")"),"स्वाद कढ़ी मसाला")</f>
        <v>स्वाद कढ़ी मसाला</v>
      </c>
      <c r="D422" s="2" t="s">
        <v>2677</v>
      </c>
      <c r="E422" s="2" t="s">
        <v>442</v>
      </c>
      <c r="F422" s="1">
        <v>2.0</v>
      </c>
      <c r="G422" s="3" t="s">
        <v>740</v>
      </c>
    </row>
    <row r="423">
      <c r="A423" s="3" t="s">
        <v>2678</v>
      </c>
      <c r="B423" s="4" t="str">
        <f>IFERROR(__xludf.DUMMYFUNCTION("GOOGLETRANSLATE(A423, ""en"", ""te"")"),"లక్ష్మి ఆవాలు గింజలు")</f>
        <v>లక్ష్మి ఆవాలు గింజలు</v>
      </c>
      <c r="C423" s="4" t="str">
        <f>IFERROR(__xludf.DUMMYFUNCTION("GOOGLETRANSLATE(A423, ""en"", ""hi"")"),"लक्ष्मी सरसों के बीज")</f>
        <v>लक्ष्मी सरसों के बीज</v>
      </c>
      <c r="D423" s="2" t="s">
        <v>1617</v>
      </c>
      <c r="E423" s="2" t="s">
        <v>442</v>
      </c>
      <c r="F423" s="1">
        <v>2.0</v>
      </c>
      <c r="G423" s="3" t="s">
        <v>740</v>
      </c>
    </row>
    <row r="424">
      <c r="A424" s="3" t="s">
        <v>2679</v>
      </c>
      <c r="B424" s="4" t="str">
        <f>IFERROR(__xludf.DUMMYFUNCTION("GOOGLETRANSLATE(A424, ""en"", ""te"")"),"లక్ష్మి జీలకర్ర (జీరా) మొత్తం")</f>
        <v>లక్ష్మి జీలకర్ర (జీరా) మొత్తం</v>
      </c>
      <c r="C424" s="4" t="str">
        <f>IFERROR(__xludf.DUMMYFUNCTION("GOOGLETRANSLATE(A424, ""en"", ""hi"")"),"लक्ष्मी जीरा (साबुत)")</f>
        <v>लक्ष्मी जीरा (साबुत)</v>
      </c>
      <c r="D424" s="2" t="s">
        <v>2680</v>
      </c>
      <c r="E424" s="2" t="s">
        <v>442</v>
      </c>
      <c r="F424" s="1">
        <v>2.0</v>
      </c>
      <c r="G424" s="3" t="s">
        <v>740</v>
      </c>
    </row>
    <row r="425">
      <c r="A425" s="3" t="s">
        <v>2681</v>
      </c>
      <c r="B425" s="4" t="str">
        <f>IFERROR(__xludf.DUMMYFUNCTION("GOOGLETRANSLATE(A425, ""en"", ""te"")"),"లక్ష్మి మెంతి ఆకులు")</f>
        <v>లక్ష్మి మెంతి ఆకులు</v>
      </c>
      <c r="C425" s="4" t="str">
        <f>IFERROR(__xludf.DUMMYFUNCTION("GOOGLETRANSLATE(A425, ""en"", ""hi"")"),"लक्ष्मी मेथी के पत्ते")</f>
        <v>लक्ष्मी मेथी के पत्ते</v>
      </c>
      <c r="D425" s="5"/>
      <c r="E425" s="2" t="s">
        <v>442</v>
      </c>
      <c r="F425" s="1">
        <v>2.0</v>
      </c>
      <c r="G425" s="3" t="s">
        <v>740</v>
      </c>
    </row>
    <row r="426">
      <c r="A426" s="3" t="s">
        <v>2692</v>
      </c>
      <c r="B426" s="4" t="str">
        <f>IFERROR(__xludf.DUMMYFUNCTION("GOOGLETRANSLATE(A426, ""en"", ""te"")"),"పటేల్స్ అల్లం మొత్తం")</f>
        <v>పటేల్స్ అల్లం మొత్తం</v>
      </c>
      <c r="C426" s="4" t="str">
        <f>IFERROR(__xludf.DUMMYFUNCTION("GOOGLETRANSLATE(A426, ""en"", ""hi"")"),"पटेल का अदरक साबुत")</f>
        <v>पटेल का अदरक साबुत</v>
      </c>
      <c r="D426" s="2" t="s">
        <v>2695</v>
      </c>
      <c r="E426" s="2" t="s">
        <v>442</v>
      </c>
      <c r="F426" s="1">
        <v>2.0</v>
      </c>
      <c r="G426" s="3" t="s">
        <v>63</v>
      </c>
    </row>
    <row r="427">
      <c r="A427" s="3" t="s">
        <v>2696</v>
      </c>
      <c r="B427" s="4" t="str">
        <f>IFERROR(__xludf.DUMMYFUNCTION("GOOGLETRANSLATE(A427, ""en"", ""te"")"),"పటేల్ అల్లం పొడి")</f>
        <v>పటేల్ అల్లం పొడి</v>
      </c>
      <c r="C427" s="4" t="str">
        <f>IFERROR(__xludf.DUMMYFUNCTION("GOOGLETRANSLATE(A427, ""en"", ""hi"")"),"पटेल का अदरक पाउडर")</f>
        <v>पटेल का अदरक पाउडर</v>
      </c>
      <c r="D427" s="2" t="s">
        <v>2341</v>
      </c>
      <c r="E427" s="2" t="s">
        <v>442</v>
      </c>
      <c r="F427" s="1">
        <v>2.0</v>
      </c>
      <c r="G427" s="3" t="s">
        <v>63</v>
      </c>
    </row>
    <row r="428">
      <c r="A428" s="3" t="s">
        <v>2697</v>
      </c>
      <c r="B428" s="4" t="str">
        <f>IFERROR(__xludf.DUMMYFUNCTION("GOOGLETRANSLATE(A428, ""en"", ""te"")"),"SWAD మేథి దాన")</f>
        <v>SWAD మేథి దాన</v>
      </c>
      <c r="C428" s="4" t="str">
        <f>IFERROR(__xludf.DUMMYFUNCTION("GOOGLETRANSLATE(A428, ""en"", ""hi"")"),"स्वाद मेथी दाना")</f>
        <v>स्वाद मेथी दाना</v>
      </c>
      <c r="D428" s="5"/>
      <c r="E428" s="2" t="s">
        <v>1038</v>
      </c>
      <c r="F428" s="1">
        <v>2.0</v>
      </c>
      <c r="G428" s="3" t="s">
        <v>63</v>
      </c>
    </row>
    <row r="429">
      <c r="A429" s="3" t="s">
        <v>2698</v>
      </c>
      <c r="B429" s="4" t="str">
        <f>IFERROR(__xludf.DUMMYFUNCTION("GOOGLETRANSLATE(A429, ""en"", ""te"")"),"లక్ష్మి కొత్తిమీర పొడి")</f>
        <v>లక్ష్మి కొత్తిమీర పొడి</v>
      </c>
      <c r="C429" s="4" t="str">
        <f>IFERROR(__xludf.DUMMYFUNCTION("GOOGLETRANSLATE(A429, ""en"", ""hi"")"),"लक्ष्मी धनिया पाउडर")</f>
        <v>लक्ष्मी धनिया पाउडर</v>
      </c>
      <c r="D429" s="2" t="s">
        <v>2644</v>
      </c>
      <c r="E429" s="2" t="s">
        <v>442</v>
      </c>
      <c r="F429" s="1">
        <v>2.0</v>
      </c>
      <c r="G429" s="3" t="s">
        <v>63</v>
      </c>
    </row>
    <row r="430">
      <c r="A430" s="3" t="s">
        <v>2699</v>
      </c>
      <c r="B430" s="4" t="str">
        <f>IFERROR(__xludf.DUMMYFUNCTION("GOOGLETRANSLATE(A430, ""en"", ""te"")"),"స్వాద్ ప్రీమియం నాణ్యత గల అవిసె గింజలు")</f>
        <v>స్వాద్ ప్రీమియం నాణ్యత గల అవిసె గింజలు</v>
      </c>
      <c r="C430" s="4" t="str">
        <f>IFERROR(__xludf.DUMMYFUNCTION("GOOGLETRANSLATE(A430, ""en"", ""hi"")"),"स्वाद प्रीमियम गुणवत्ता वाले अलसी के बीज")</f>
        <v>स्वाद प्रीमियम गुणवत्ता वाले अलसी के बीज</v>
      </c>
      <c r="D430" s="5"/>
      <c r="E430" s="2" t="s">
        <v>2700</v>
      </c>
      <c r="F430" s="1">
        <v>2.0</v>
      </c>
      <c r="G430" s="3" t="s">
        <v>63</v>
      </c>
    </row>
    <row r="431">
      <c r="A431" s="3" t="s">
        <v>2701</v>
      </c>
      <c r="B431" s="4" t="str">
        <f>IFERROR(__xludf.DUMMYFUNCTION("GOOGLETRANSLATE(A431, ""en"", ""te"")"),"లక్ష్మి అవిసె గింజలు")</f>
        <v>లక్ష్మి అవిసె గింజలు</v>
      </c>
      <c r="C431" s="4" t="str">
        <f>IFERROR(__xludf.DUMMYFUNCTION("GOOGLETRANSLATE(A431, ""en"", ""hi"")"),"लक्ष्मी अलसी के बीज")</f>
        <v>लक्ष्मी अलसी के बीज</v>
      </c>
      <c r="D431" s="5"/>
      <c r="E431" s="2" t="s">
        <v>2700</v>
      </c>
      <c r="F431" s="1">
        <v>2.0</v>
      </c>
      <c r="G431" s="3" t="s">
        <v>63</v>
      </c>
    </row>
    <row r="432">
      <c r="A432" s="3" t="s">
        <v>2702</v>
      </c>
      <c r="B432" s="4" t="str">
        <f>IFERROR(__xludf.DUMMYFUNCTION("GOOGLETRANSLATE(A432, ""en"", ""te"")"),"స్వాద్ జీలకర్ర పొడి")</f>
        <v>స్వాద్ జీలకర్ర పొడి</v>
      </c>
      <c r="C432" s="4" t="str">
        <f>IFERROR(__xludf.DUMMYFUNCTION("GOOGLETRANSLATE(A432, ""en"", ""hi"")"),"स्वाद जीरा पाउडर")</f>
        <v>स्वाद जीरा पाउडर</v>
      </c>
      <c r="D432" s="2" t="s">
        <v>1695</v>
      </c>
      <c r="E432" s="2" t="s">
        <v>442</v>
      </c>
      <c r="F432" s="1">
        <v>2.0</v>
      </c>
      <c r="G432" s="3" t="s">
        <v>806</v>
      </c>
    </row>
    <row r="433">
      <c r="A433" s="3" t="s">
        <v>2703</v>
      </c>
      <c r="B433" s="4" t="str">
        <f>IFERROR(__xludf.DUMMYFUNCTION("GOOGLETRANSLATE(A433, ""en"", ""te"")"),"లక్ష్మి సోంపు గింజలు / సౌంఫ్")</f>
        <v>లక్ష్మి సోంపు గింజలు / సౌంఫ్</v>
      </c>
      <c r="C433" s="4" t="str">
        <f>IFERROR(__xludf.DUMMYFUNCTION("GOOGLETRANSLATE(A433, ""en"", ""hi"")"),"लक्ष्मी (सौंफ के बीज)")</f>
        <v>लक्ष्मी (सौंफ के बीज)</v>
      </c>
      <c r="D433" s="5"/>
      <c r="E433" s="2" t="s">
        <v>442</v>
      </c>
      <c r="F433" s="1">
        <v>2.0</v>
      </c>
      <c r="G433" s="3" t="s">
        <v>806</v>
      </c>
    </row>
    <row r="434">
      <c r="A434" s="3" t="s">
        <v>2704</v>
      </c>
      <c r="B434" s="4" t="str">
        <f>IFERROR(__xludf.DUMMYFUNCTION("GOOGLETRANSLATE(A434, ""en"", ""te"")"),"లక్ష్మి జీలకర్ర")</f>
        <v>లక్ష్మి జీలకర్ర</v>
      </c>
      <c r="C434" s="4" t="str">
        <f>IFERROR(__xludf.DUMMYFUNCTION("GOOGLETRANSLATE(A434, ""en"", ""hi"")"),"लक्ष्मी जीरा साबुत")</f>
        <v>लक्ष्मी जीरा साबुत</v>
      </c>
      <c r="D434" s="2" t="s">
        <v>1695</v>
      </c>
      <c r="E434" s="2" t="s">
        <v>442</v>
      </c>
      <c r="F434" s="1">
        <v>2.0</v>
      </c>
      <c r="G434" s="3" t="s">
        <v>806</v>
      </c>
    </row>
    <row r="435">
      <c r="A435" s="3" t="s">
        <v>2707</v>
      </c>
      <c r="B435" s="4" t="str">
        <f>IFERROR(__xludf.DUMMYFUNCTION("GOOGLETRANSLATE(A435, ""en"", ""te"")"),"లక్ష్మి ఎండిన సోంపు ఆకులు")</f>
        <v>లక్ష్మి ఎండిన సోంపు ఆకులు</v>
      </c>
      <c r="C435" s="4" t="str">
        <f>IFERROR(__xludf.DUMMYFUNCTION("GOOGLETRANSLATE(A435, ""en"", ""hi"")"),"लक्ष्मी सूखे डिल के पत्ते")</f>
        <v>लक्ष्मी सूखे डिल के पत्ते</v>
      </c>
      <c r="D435" s="5"/>
      <c r="E435" s="2" t="s">
        <v>442</v>
      </c>
      <c r="F435" s="1">
        <v>2.0</v>
      </c>
      <c r="G435" s="3" t="s">
        <v>806</v>
      </c>
    </row>
    <row r="436">
      <c r="A436" s="3" t="s">
        <v>2708</v>
      </c>
      <c r="B436" s="4" t="str">
        <f>IFERROR(__xludf.DUMMYFUNCTION("GOOGLETRANSLATE(A436, ""en"", ""te"")"),"లక్ష్మి యాలకుల పచ్చదనం")</f>
        <v>లక్ష్మి యాలకుల పచ్చదనం</v>
      </c>
      <c r="C436" s="4" t="str">
        <f>IFERROR(__xludf.DUMMYFUNCTION("GOOGLETRANSLATE(A436, ""en"", ""hi"")"),"लक्ष्मी इलायची हरी")</f>
        <v>लक्ष्मी इलायची हरी</v>
      </c>
      <c r="D436" s="2" t="s">
        <v>2709</v>
      </c>
      <c r="E436" s="2" t="s">
        <v>442</v>
      </c>
      <c r="F436" s="1">
        <v>2.0</v>
      </c>
      <c r="G436" s="3" t="s">
        <v>806</v>
      </c>
    </row>
    <row r="437">
      <c r="A437" s="3" t="s">
        <v>2710</v>
      </c>
      <c r="B437" s="4" t="str">
        <f>IFERROR(__xludf.DUMMYFUNCTION("GOOGLETRANSLATE(A437, ""en"", ""te"")"),"మ్యాగీ మసాలా నూడుల్స్")</f>
        <v>మ్యాగీ మసాలా నూడుల్స్</v>
      </c>
      <c r="C437" s="4" t="str">
        <f>IFERROR(__xludf.DUMMYFUNCTION("GOOGLETRANSLATE(A437, ""en"", ""hi"")"),"मैगी मसाला नूडल्स")</f>
        <v>मैगी मसाला नूडल्स</v>
      </c>
      <c r="D437" s="5"/>
      <c r="E437" s="2" t="s">
        <v>940</v>
      </c>
      <c r="F437" s="1">
        <v>2.0</v>
      </c>
      <c r="G437" s="3" t="s">
        <v>837</v>
      </c>
    </row>
    <row r="438">
      <c r="A438" s="3" t="s">
        <v>2711</v>
      </c>
      <c r="B438" s="4" t="str">
        <f>IFERROR(__xludf.DUMMYFUNCTION("GOOGLETRANSLATE(A438, ""en"", ""te"")"),"సోయా చంక్స్")</f>
        <v>సోయా చంక్స్</v>
      </c>
      <c r="C438" s="4" t="str">
        <f>IFERROR(__xludf.DUMMYFUNCTION("GOOGLETRANSLATE(A438, ""en"", ""hi"")"),"सोया चंक्स")</f>
        <v>सोया चंक्स</v>
      </c>
      <c r="D438" s="5"/>
      <c r="E438" s="2" t="s">
        <v>2700</v>
      </c>
      <c r="F438" s="1">
        <v>2.0</v>
      </c>
      <c r="G438" s="3" t="s">
        <v>837</v>
      </c>
    </row>
    <row r="439">
      <c r="A439" s="3" t="s">
        <v>172</v>
      </c>
      <c r="B439" s="4" t="str">
        <f>IFERROR(__xludf.DUMMYFUNCTION("GOOGLETRANSLATE(A439, ""en"", ""te"")"),"ఆచి రసం పొడి")</f>
        <v>ఆచి రసం పొడి</v>
      </c>
      <c r="C439" s="4" t="str">
        <f>IFERROR(__xludf.DUMMYFUNCTION("GOOGLETRANSLATE(A439, ""en"", ""hi"")"),"आची रसम पाउडर")</f>
        <v>आची रसम पाउडर</v>
      </c>
      <c r="D439" s="2" t="s">
        <v>2654</v>
      </c>
      <c r="E439" s="2" t="s">
        <v>442</v>
      </c>
      <c r="F439" s="1">
        <v>2.0</v>
      </c>
      <c r="G439" s="3" t="s">
        <v>600</v>
      </c>
    </row>
    <row r="440">
      <c r="A440" s="3" t="s">
        <v>2712</v>
      </c>
      <c r="B440" s="4" t="str">
        <f>IFERROR(__xludf.DUMMYFUNCTION("GOOGLETRANSLATE(A440, ""en"", ""te"")"),"ఆచీ ఎగ్ కర్రీ మసాలా")</f>
        <v>ఆచీ ఎగ్ కర్రీ మసాలా</v>
      </c>
      <c r="C440" s="4" t="str">
        <f>IFERROR(__xludf.DUMMYFUNCTION("GOOGLETRANSLATE(A440, ""en"", ""hi"")"),"आची अंडा करी मसाला")</f>
        <v>आची अंडा करी मसाला</v>
      </c>
      <c r="D440" s="5"/>
      <c r="E440" s="2" t="s">
        <v>442</v>
      </c>
      <c r="F440" s="1">
        <v>2.0</v>
      </c>
      <c r="G440" s="3" t="s">
        <v>600</v>
      </c>
    </row>
    <row r="441">
      <c r="A441" s="3" t="s">
        <v>2713</v>
      </c>
      <c r="B441" s="4" t="str">
        <f>IFERROR(__xludf.DUMMYFUNCTION("GOOGLETRANSLATE(A441, ""en"", ""te"")"),"ఆచి పప్పు బియ్యం పొడి")</f>
        <v>ఆచి పప్పు బియ్యం పొడి</v>
      </c>
      <c r="C441" s="4" t="str">
        <f>IFERROR(__xludf.DUMMYFUNCTION("GOOGLETRANSLATE(A441, ""en"", ""hi"")"),"आची दाल चावल पाउडर")</f>
        <v>आची दाल चावल पाउडर</v>
      </c>
      <c r="D441" s="5"/>
      <c r="E441" s="2" t="s">
        <v>2649</v>
      </c>
      <c r="F441" s="1">
        <v>2.0</v>
      </c>
      <c r="G441" s="3" t="s">
        <v>600</v>
      </c>
    </row>
    <row r="442">
      <c r="A442" s="3" t="s">
        <v>2714</v>
      </c>
      <c r="B442" s="4" t="str">
        <f>IFERROR(__xludf.DUMMYFUNCTION("GOOGLETRANSLATE(A442, ""en"", ""te"")"),"ఆచీ కర్రీ మసాలా")</f>
        <v>ఆచీ కర్రీ మసాలా</v>
      </c>
      <c r="C442" s="4" t="str">
        <f>IFERROR(__xludf.DUMMYFUNCTION("GOOGLETRANSLATE(A442, ""en"", ""hi"")"),"आची करी मसाला")</f>
        <v>आची करी मसाला</v>
      </c>
      <c r="D442" s="5"/>
      <c r="E442" s="2" t="s">
        <v>442</v>
      </c>
      <c r="F442" s="1">
        <v>2.0</v>
      </c>
      <c r="G442" s="3" t="s">
        <v>600</v>
      </c>
    </row>
    <row r="443">
      <c r="A443" s="3" t="s">
        <v>2715</v>
      </c>
      <c r="B443" s="4" t="str">
        <f>IFERROR(__xludf.DUMMYFUNCTION("GOOGLETRANSLATE(A443, ""en"", ""te"")"),"దానా నవాబ్ ట్రై మసాలా")</f>
        <v>దానా నవాబ్ ట్రై మసాలా</v>
      </c>
      <c r="C443" s="4" t="str">
        <f>IFERROR(__xludf.DUMMYFUNCTION("GOOGLETRANSLATE(A443, ""en"", ""hi"")"),"दाना नवाब का मसाला आजमाएं")</f>
        <v>दाना नवाब का मसाला आजमाएं</v>
      </c>
      <c r="D443" s="5"/>
      <c r="E443" s="2" t="s">
        <v>442</v>
      </c>
      <c r="F443" s="1">
        <v>2.0</v>
      </c>
      <c r="G443" s="3" t="s">
        <v>608</v>
      </c>
    </row>
    <row r="444">
      <c r="A444" s="3" t="s">
        <v>2716</v>
      </c>
      <c r="B444" s="4" t="str">
        <f>IFERROR(__xludf.DUMMYFUNCTION("GOOGLETRANSLATE(A444, ""en"", ""te"")"),"దానా నవాబ్ చికెన్ లాలిపాప్")</f>
        <v>దానా నవాబ్ చికెన్ లాలిపాప్</v>
      </c>
      <c r="C444" s="4" t="str">
        <f>IFERROR(__xludf.DUMMYFUNCTION("GOOGLETRANSLATE(A444, ""en"", ""hi"")"),"दाना नवाब का चिकन लॉलीपॉप")</f>
        <v>दाना नवाब का चिकन लॉलीपॉप</v>
      </c>
      <c r="D444" s="5"/>
      <c r="E444" s="2" t="s">
        <v>351</v>
      </c>
      <c r="F444" s="1">
        <v>2.0</v>
      </c>
      <c r="G444" s="3" t="s">
        <v>608</v>
      </c>
    </row>
    <row r="445">
      <c r="A445" s="3" t="s">
        <v>2717</v>
      </c>
      <c r="B445" s="4" t="str">
        <f>IFERROR(__xludf.DUMMYFUNCTION("GOOGLETRANSLATE(A445, ""en"", ""te"")"),"దానా నవాబ్ దమ్ కి చికెన్")</f>
        <v>దానా నవాబ్ దమ్ కి చికెన్</v>
      </c>
      <c r="C445" s="4" t="str">
        <f>IFERROR(__xludf.DUMMYFUNCTION("GOOGLETRANSLATE(A445, ""en"", ""hi"")"),"दाना नवाब का दम की चिकन")</f>
        <v>दाना नवाब का दम की चिकन</v>
      </c>
      <c r="D445" s="5"/>
      <c r="E445" s="2" t="s">
        <v>351</v>
      </c>
      <c r="F445" s="1">
        <v>2.0</v>
      </c>
      <c r="G445" s="3" t="s">
        <v>608</v>
      </c>
    </row>
    <row r="446">
      <c r="A446" s="3" t="s">
        <v>2718</v>
      </c>
      <c r="B446" s="4" t="str">
        <f>IFERROR(__xludf.DUMMYFUNCTION("GOOGLETRANSLATE(A446, ""en"", ""te"")"),"దానా నవాబ్ షాహీ మటన్ బిర్యానీ")</f>
        <v>దానా నవాబ్ షాహీ మటన్ బిర్యానీ</v>
      </c>
      <c r="C446" s="4" t="str">
        <f>IFERROR(__xludf.DUMMYFUNCTION("GOOGLETRANSLATE(A446, ""en"", ""hi"")"),"दाना नवाब की शाही मटन बिरयानी")</f>
        <v>दाना नवाब की शाही मटन बिरयानी</v>
      </c>
      <c r="D446" s="2" t="s">
        <v>2660</v>
      </c>
      <c r="E446" s="2" t="s">
        <v>351</v>
      </c>
      <c r="F446" s="1">
        <v>2.0</v>
      </c>
      <c r="G446" s="3" t="s">
        <v>608</v>
      </c>
    </row>
    <row r="447">
      <c r="A447" s="3" t="s">
        <v>2719</v>
      </c>
      <c r="B447" s="4" t="str">
        <f>IFERROR(__xludf.DUMMYFUNCTION("GOOGLETRANSLATE(A447, ""en"", ""te"")"),"దానా నవాబ్ చికెన్ ఖోర్మా")</f>
        <v>దానా నవాబ్ చికెన్ ఖోర్మా</v>
      </c>
      <c r="C447" s="4" t="str">
        <f>IFERROR(__xludf.DUMMYFUNCTION("GOOGLETRANSLATE(A447, ""en"", ""hi"")"),"दाना नवाब का चिकन कोरमा")</f>
        <v>दाना नवाब का चिकन कोरमा</v>
      </c>
      <c r="D447" s="5"/>
      <c r="E447" s="2" t="s">
        <v>351</v>
      </c>
      <c r="F447" s="1">
        <v>2.0</v>
      </c>
      <c r="G447" s="3" t="s">
        <v>608</v>
      </c>
    </row>
    <row r="448">
      <c r="A448" s="3" t="s">
        <v>2720</v>
      </c>
      <c r="B448" s="4" t="str">
        <f>IFERROR(__xludf.DUMMYFUNCTION("GOOGLETRANSLATE(A448, ""en"", ""te"")"),"దానా నవాబు బొంబాయి మటన్ బిర్యానీ")</f>
        <v>దానా నవాబు బొంబాయి మటన్ బిర్యానీ</v>
      </c>
      <c r="C448" s="4" t="str">
        <f>IFERROR(__xludf.DUMMYFUNCTION("GOOGLETRANSLATE(A448, ""en"", ""hi"")"),"दाना नवाब की बॉम्बे मटन बिरयानी")</f>
        <v>दाना नवाब की बॉम्बे मटन बिरयानी</v>
      </c>
      <c r="D448" s="2" t="s">
        <v>2660</v>
      </c>
      <c r="E448" s="2" t="s">
        <v>351</v>
      </c>
      <c r="F448" s="1">
        <v>2.0</v>
      </c>
      <c r="G448" s="3" t="s">
        <v>608</v>
      </c>
    </row>
    <row r="449">
      <c r="A449" s="3" t="s">
        <v>2721</v>
      </c>
      <c r="B449" s="4" t="str">
        <f>IFERROR(__xludf.DUMMYFUNCTION("GOOGLETRANSLATE(A449, ""en"", ""te"")"),"దానా నవాబ్ చికెన్ మసాలా")</f>
        <v>దానా నవాబ్ చికెన్ మసాలా</v>
      </c>
      <c r="C449" s="4" t="str">
        <f>IFERROR(__xludf.DUMMYFUNCTION("GOOGLETRANSLATE(A449, ""en"", ""hi"")"),"दाना नवाब का चिकन मसाला")</f>
        <v>दाना नवाब का चिकन मसाला</v>
      </c>
      <c r="D449" s="2" t="s">
        <v>1070</v>
      </c>
      <c r="E449" s="2" t="s">
        <v>442</v>
      </c>
      <c r="F449" s="1">
        <v>2.0</v>
      </c>
      <c r="G449" s="3" t="s">
        <v>608</v>
      </c>
    </row>
    <row r="450">
      <c r="A450" s="3" t="s">
        <v>2722</v>
      </c>
      <c r="B450" s="4" t="str">
        <f>IFERROR(__xludf.DUMMYFUNCTION("GOOGLETRANSLATE(A450, ""en"", ""te"")"),"దానా నవాబ్ యొక్క BBQ మసాలా")</f>
        <v>దానా నవాబ్ యొక్క BBQ మసాలా</v>
      </c>
      <c r="C450" s="4" t="str">
        <f>IFERROR(__xludf.DUMMYFUNCTION("GOOGLETRANSLATE(A450, ""en"", ""hi"")"),"दाना नवाब का बारबेक्यू मसाला")</f>
        <v>दाना नवाब का बारबेक्यू मसाला</v>
      </c>
      <c r="D450" s="2" t="s">
        <v>2723</v>
      </c>
      <c r="E450" s="2" t="s">
        <v>442</v>
      </c>
      <c r="F450" s="1">
        <v>2.0</v>
      </c>
      <c r="G450" s="3" t="s">
        <v>608</v>
      </c>
    </row>
    <row r="451">
      <c r="A451" s="3" t="s">
        <v>2724</v>
      </c>
      <c r="B451" s="4" t="str">
        <f>IFERROR(__xludf.DUMMYFUNCTION("GOOGLETRANSLATE(A451, ""en"", ""te"")"),"దానా నవాబ్ బటర్ చికెన్")</f>
        <v>దానా నవాబ్ బటర్ చికెన్</v>
      </c>
      <c r="C451" s="4" t="str">
        <f>IFERROR(__xludf.DUMMYFUNCTION("GOOGLETRANSLATE(A451, ""en"", ""hi"")"),"दाना नवाब का बटर चिकन")</f>
        <v>दाना नवाब का बटर चिकन</v>
      </c>
      <c r="D451" s="5"/>
      <c r="E451" s="2" t="s">
        <v>442</v>
      </c>
      <c r="F451" s="1">
        <v>2.0</v>
      </c>
      <c r="G451" s="3" t="s">
        <v>608</v>
      </c>
    </row>
    <row r="452">
      <c r="A452" s="3" t="s">
        <v>2726</v>
      </c>
      <c r="B452" s="4" t="str">
        <f>IFERROR(__xludf.DUMMYFUNCTION("GOOGLETRANSLATE(A452, ""en"", ""te"")"),"స్వాద్ ఆవాలు గింజలు")</f>
        <v>స్వాద్ ఆవాలు గింజలు</v>
      </c>
      <c r="C452" s="4" t="str">
        <f>IFERROR(__xludf.DUMMYFUNCTION("GOOGLETRANSLATE(A452, ""en"", ""hi"")"),"स्वाद सरसों के बीज")</f>
        <v>स्वाद सरसों के बीज</v>
      </c>
      <c r="D452" s="2" t="s">
        <v>1617</v>
      </c>
      <c r="E452" s="2" t="s">
        <v>442</v>
      </c>
      <c r="F452" s="1">
        <v>2.0</v>
      </c>
      <c r="G452" s="3" t="s">
        <v>740</v>
      </c>
    </row>
    <row r="453">
      <c r="A453" s="3" t="s">
        <v>2731</v>
      </c>
      <c r="B453" s="4" t="str">
        <f>IFERROR(__xludf.DUMMYFUNCTION("GOOGLETRANSLATE(A453, ""en"", ""te"")"),"స్వాద్ మెంతి విత్తనాలు")</f>
        <v>స్వాద్ మెంతి విత్తనాలు</v>
      </c>
      <c r="C453" s="4" t="str">
        <f>IFERROR(__xludf.DUMMYFUNCTION("GOOGLETRANSLATE(A453, ""en"", ""hi"")"),"स्वाद मेथी के बीज")</f>
        <v>स्वाद मेथी के बीज</v>
      </c>
      <c r="D453" s="5"/>
      <c r="E453" s="2" t="s">
        <v>442</v>
      </c>
      <c r="F453" s="1">
        <v>2.0</v>
      </c>
      <c r="G453" s="3" t="s">
        <v>740</v>
      </c>
    </row>
    <row r="454">
      <c r="A454" s="3" t="s">
        <v>2736</v>
      </c>
      <c r="B454" s="4" t="str">
        <f>IFERROR(__xludf.DUMMYFUNCTION("GOOGLETRANSLATE(A454, ""en"", ""te"")"),"ఆవాలు గింజలు")</f>
        <v>ఆవాలు గింజలు</v>
      </c>
      <c r="C454" s="4" t="str">
        <f>IFERROR(__xludf.DUMMYFUNCTION("GOOGLETRANSLATE(A454, ""en"", ""hi"")"),"सरसों के बीज")</f>
        <v>सरसों के बीज</v>
      </c>
      <c r="D454" s="2" t="s">
        <v>2738</v>
      </c>
      <c r="E454" s="2" t="s">
        <v>442</v>
      </c>
      <c r="F454" s="1">
        <v>2.0</v>
      </c>
      <c r="G454" s="3" t="s">
        <v>740</v>
      </c>
    </row>
    <row r="455">
      <c r="A455" s="3" t="s">
        <v>2739</v>
      </c>
      <c r="B455" s="4" t="str">
        <f>IFERROR(__xludf.DUMMYFUNCTION("GOOGLETRANSLATE(A455, ""en"", ""te"")"),"మెంతి గింజలు")</f>
        <v>మెంతి గింజలు</v>
      </c>
      <c r="C455" s="4" t="str">
        <f>IFERROR(__xludf.DUMMYFUNCTION("GOOGLETRANSLATE(A455, ""en"", ""hi"")"),"मेथी के बीज")</f>
        <v>मेथी के बीज</v>
      </c>
      <c r="D455" s="5"/>
      <c r="E455" s="2" t="s">
        <v>442</v>
      </c>
      <c r="F455" s="1">
        <v>2.0</v>
      </c>
      <c r="G455" s="3" t="s">
        <v>740</v>
      </c>
    </row>
    <row r="456">
      <c r="A456" s="3" t="s">
        <v>2741</v>
      </c>
      <c r="B456" s="4" t="str">
        <f>IFERROR(__xludf.DUMMYFUNCTION("GOOGLETRANSLATE(A456, ""en"", ""te"")"),"లక్ష్మి ప్రీమియం నాణ్యత గల అవిసె గింజలు")</f>
        <v>లక్ష్మి ప్రీమియం నాణ్యత గల అవిసె గింజలు</v>
      </c>
      <c r="C456" s="4" t="str">
        <f>IFERROR(__xludf.DUMMYFUNCTION("GOOGLETRANSLATE(A456, ""en"", ""hi"")"),"लक्ष्मी प्रीमियम गुणवत्ता वाले अलसी के बीज")</f>
        <v>लक्ष्मी प्रीमियम गुणवत्ता वाले अलसी के बीज</v>
      </c>
      <c r="D456" s="5"/>
      <c r="E456" s="2" t="s">
        <v>2649</v>
      </c>
      <c r="F456" s="1">
        <v>2.0</v>
      </c>
      <c r="G456" s="3" t="s">
        <v>806</v>
      </c>
    </row>
    <row r="457">
      <c r="A457" s="3" t="s">
        <v>2701</v>
      </c>
      <c r="B457" s="4" t="str">
        <f>IFERROR(__xludf.DUMMYFUNCTION("GOOGLETRANSLATE(A457, ""en"", ""te"")"),"లక్ష్మి అవిసె గింజలు")</f>
        <v>లక్ష్మి అవిసె గింజలు</v>
      </c>
      <c r="C457" s="4" t="str">
        <f>IFERROR(__xludf.DUMMYFUNCTION("GOOGLETRANSLATE(A457, ""en"", ""hi"")"),"लक्ष्मी अलसी के बीज")</f>
        <v>लक्ष्मी अलसी के बीज</v>
      </c>
      <c r="D457" s="5"/>
      <c r="E457" s="2" t="s">
        <v>2700</v>
      </c>
      <c r="F457" s="1">
        <v>2.0</v>
      </c>
      <c r="G457" s="3" t="s">
        <v>806</v>
      </c>
    </row>
    <row r="458">
      <c r="A458" s="3" t="s">
        <v>2773</v>
      </c>
      <c r="B458" s="4" t="str">
        <f>IFERROR(__xludf.DUMMYFUNCTION("GOOGLETRANSLATE(A458, ""en"", ""te"")"),"SWAD మెంతి గింజలు")</f>
        <v>SWAD మెంతి గింజలు</v>
      </c>
      <c r="C458" s="4" t="str">
        <f>IFERROR(__xludf.DUMMYFUNCTION("GOOGLETRANSLATE(A458, ""en"", ""hi"")"),"स्वाद मेथी के बीज")</f>
        <v>स्वाद मेथी के बीज</v>
      </c>
      <c r="D458" s="2" t="s">
        <v>1239</v>
      </c>
      <c r="E458" s="2" t="s">
        <v>442</v>
      </c>
      <c r="F458" s="1">
        <v>2.0</v>
      </c>
      <c r="G458" s="3" t="s">
        <v>806</v>
      </c>
    </row>
    <row r="459">
      <c r="A459" s="3" t="s">
        <v>2898</v>
      </c>
      <c r="B459" s="4" t="str">
        <f>IFERROR(__xludf.DUMMYFUNCTION("GOOGLETRANSLATE(A459, ""en"", ""te"")"),"లక్ష్మి మెంతి గింజలు")</f>
        <v>లక్ష్మి మెంతి గింజలు</v>
      </c>
      <c r="C459" s="4" t="str">
        <f>IFERROR(__xludf.DUMMYFUNCTION("GOOGLETRANSLATE(A459, ""en"", ""hi"")"),"लक्ष्मी मेथी के बीज")</f>
        <v>लक्ष्मी मेथी के बीज</v>
      </c>
      <c r="D459" s="2" t="s">
        <v>1239</v>
      </c>
      <c r="E459" s="2" t="s">
        <v>442</v>
      </c>
      <c r="F459" s="1">
        <v>2.0</v>
      </c>
      <c r="G459" s="3" t="s">
        <v>806</v>
      </c>
    </row>
    <row r="460">
      <c r="A460" s="3" t="s">
        <v>3024</v>
      </c>
      <c r="B460" s="4" t="str">
        <f>IFERROR(__xludf.DUMMYFUNCTION("GOOGLETRANSLATE(A460, ""en"", ""te"")"),"లక్ష్మి సోంపు గింజలు")</f>
        <v>లక్ష్మి సోంపు గింజలు</v>
      </c>
      <c r="C460" s="4" t="str">
        <f>IFERROR(__xludf.DUMMYFUNCTION("GOOGLETRANSLATE(A460, ""en"", ""hi"")"),"लक्ष्मी सौंफ के बीज")</f>
        <v>लक्ष्मी सौंफ के बीज</v>
      </c>
      <c r="D460" s="2" t="s">
        <v>2641</v>
      </c>
      <c r="E460" s="2" t="s">
        <v>442</v>
      </c>
      <c r="F460" s="1">
        <v>2.0</v>
      </c>
      <c r="G460" s="3" t="s">
        <v>806</v>
      </c>
    </row>
    <row r="461">
      <c r="A461" s="3" t="s">
        <v>3036</v>
      </c>
      <c r="B461" s="4" t="str">
        <f>IFERROR(__xludf.DUMMYFUNCTION("GOOGLETRANSLATE(A461, ""en"", ""te"")"),"ఆసియా సోంపు విత్తనాలు లక్నో")</f>
        <v>ఆసియా సోంపు విత్తనాలు లక్నో</v>
      </c>
      <c r="C461" s="4" t="str">
        <f>IFERROR(__xludf.DUMMYFUNCTION("GOOGLETRANSLATE(A461, ""en"", ""hi"")"),"एशिया सौंफ के बीज, लखनऊ")</f>
        <v>एशिया सौंफ के बीज, लखनऊ</v>
      </c>
      <c r="D461" s="2" t="s">
        <v>1617</v>
      </c>
      <c r="E461" s="2" t="s">
        <v>442</v>
      </c>
      <c r="F461" s="1">
        <v>2.0</v>
      </c>
      <c r="G461" s="3" t="s">
        <v>806</v>
      </c>
    </row>
    <row r="462">
      <c r="A462" s="3" t="s">
        <v>3043</v>
      </c>
      <c r="B462" s="4" t="str">
        <f>IFERROR(__xludf.DUMMYFUNCTION("GOOGLETRANSLATE(A462, ""en"", ""te"")"),"జియాస్ దగద్ ఫూల్")</f>
        <v>జియాస్ దగద్ ఫూల్</v>
      </c>
      <c r="C462" s="4" t="str">
        <f>IFERROR(__xludf.DUMMYFUNCTION("GOOGLETRANSLATE(A462, ""en"", ""hi"")"),"जियास दगड़ फूल")</f>
        <v>जियास दगड़ फूल</v>
      </c>
      <c r="D462" s="5"/>
      <c r="E462" s="2" t="s">
        <v>442</v>
      </c>
      <c r="F462" s="1">
        <v>2.0</v>
      </c>
      <c r="G462" s="3" t="s">
        <v>806</v>
      </c>
    </row>
    <row r="463">
      <c r="A463" s="3" t="s">
        <v>3047</v>
      </c>
      <c r="B463" s="4" t="str">
        <f>IFERROR(__xludf.DUMMYFUNCTION("GOOGLETRANSLATE(A463, ""en"", ""te"")"),"జియాస్ జీలకర్ర గింజలు 200 గ్రాములు")</f>
        <v>జియాస్ జీలకర్ర గింజలు 200 గ్రాములు</v>
      </c>
      <c r="C463" s="4" t="str">
        <f>IFERROR(__xludf.DUMMYFUNCTION("GOOGLETRANSLATE(A463, ""en"", ""hi"")"),"जियास जीरा 200 ग्राम")</f>
        <v>जियास जीरा 200 ग्राम</v>
      </c>
      <c r="D463" s="2" t="s">
        <v>3080</v>
      </c>
      <c r="E463" s="2" t="s">
        <v>442</v>
      </c>
      <c r="F463" s="1">
        <v>2.0</v>
      </c>
      <c r="G463" s="3" t="s">
        <v>806</v>
      </c>
    </row>
    <row r="464">
      <c r="A464" s="3" t="s">
        <v>3109</v>
      </c>
      <c r="B464" s="4" t="str">
        <f>IFERROR(__xludf.DUMMYFUNCTION("GOOGLETRANSLATE(A464, ""en"", ""te"")"),"మ్యాగీ 2-నిమిషాల మసాలా నూడుల్స్")</f>
        <v>మ్యాగీ 2-నిమిషాల మసాలా నూడుల్స్</v>
      </c>
      <c r="C464" s="4" t="str">
        <f>IFERROR(__xludf.DUMMYFUNCTION("GOOGLETRANSLATE(A464, ""en"", ""hi"")"),"मैगी 2-मिनट मसाला नूडल्स")</f>
        <v>मैगी 2-मिनट मसाला नूडल्स</v>
      </c>
      <c r="D464" s="5"/>
      <c r="E464" s="2" t="s">
        <v>940</v>
      </c>
      <c r="F464" s="1">
        <v>2.0</v>
      </c>
      <c r="G464" s="3" t="s">
        <v>837</v>
      </c>
    </row>
    <row r="465">
      <c r="A465" s="3" t="s">
        <v>3119</v>
      </c>
      <c r="B465" s="4" t="str">
        <f>IFERROR(__xludf.DUMMYFUNCTION("GOOGLETRANSLATE(A465, ""en"", ""te"")"),"చీటోస్")</f>
        <v>చీటోస్</v>
      </c>
      <c r="C465" s="4" t="str">
        <f>IFERROR(__xludf.DUMMYFUNCTION("GOOGLETRANSLATE(A465, ""en"", ""hi"")"),"Cheetos")</f>
        <v>Cheetos</v>
      </c>
      <c r="D465" s="5"/>
      <c r="E465" s="2" t="s">
        <v>1294</v>
      </c>
      <c r="F465" s="1">
        <v>2.0</v>
      </c>
      <c r="G465" s="3" t="s">
        <v>837</v>
      </c>
    </row>
    <row r="466">
      <c r="A466" s="3" t="s">
        <v>3125</v>
      </c>
      <c r="B466" s="4" t="str">
        <f>IFERROR(__xludf.DUMMYFUNCTION("GOOGLETRANSLATE(A466, ""en"", ""te"")"),"బన్నే నవాబ్ చికెన్ కోర్మా")</f>
        <v>బన్నే నవాబ్ చికెన్ కోర్మా</v>
      </c>
      <c r="C466" s="4" t="str">
        <f>IFERROR(__xludf.DUMMYFUNCTION("GOOGLETRANSLATE(A466, ""en"", ""hi"")"),"बन्ने नवाब का चिकन कोरमा")</f>
        <v>बन्ने नवाब का चिकन कोरमा</v>
      </c>
      <c r="D466" s="2" t="s">
        <v>3128</v>
      </c>
      <c r="E466" s="2" t="s">
        <v>940</v>
      </c>
      <c r="F466" s="1">
        <v>2.0</v>
      </c>
      <c r="G466" s="3" t="s">
        <v>600</v>
      </c>
    </row>
    <row r="467">
      <c r="A467" s="3" t="s">
        <v>3131</v>
      </c>
      <c r="B467" s="4" t="str">
        <f>IFERROR(__xludf.DUMMYFUNCTION("GOOGLETRANSLATE(A467, ""en"", ""te"")"),"బన్నె నవాబ్ యొక్క బొంబాయి చికెన్ బిర్యానీ")</f>
        <v>బన్నె నవాబ్ యొక్క బొంబాయి చికెన్ బిర్యానీ</v>
      </c>
      <c r="C467" s="4" t="str">
        <f>IFERROR(__xludf.DUMMYFUNCTION("GOOGLETRANSLATE(A467, ""en"", ""hi"")"),"बन्ने नवाब की बॉम्बे चिकन बिरयानी")</f>
        <v>बन्ने नवाब की बॉम्बे चिकन बिरयानी</v>
      </c>
      <c r="D467" s="2" t="s">
        <v>3135</v>
      </c>
      <c r="E467" s="2" t="s">
        <v>940</v>
      </c>
      <c r="F467" s="1">
        <v>2.0</v>
      </c>
      <c r="G467" s="3" t="s">
        <v>600</v>
      </c>
    </row>
    <row r="468">
      <c r="A468" s="3" t="s">
        <v>3137</v>
      </c>
      <c r="B468" s="4" t="str">
        <f>IFERROR(__xludf.DUMMYFUNCTION("GOOGLETRANSLATE(A468, ""en"", ""te"")"),"బన్నే నవాబ్ చికెన్ మసాలా")</f>
        <v>బన్నే నవాబ్ చికెన్ మసాలా</v>
      </c>
      <c r="C468" s="4" t="str">
        <f>IFERROR(__xludf.DUMMYFUNCTION("GOOGLETRANSLATE(A468, ""en"", ""hi"")"),"बन्ने नवाब का चिकन मसाला")</f>
        <v>बन्ने नवाब का चिकन मसाला</v>
      </c>
      <c r="D468" s="2" t="s">
        <v>3140</v>
      </c>
      <c r="E468" s="2" t="s">
        <v>940</v>
      </c>
      <c r="F468" s="1">
        <v>2.0</v>
      </c>
      <c r="G468" s="3" t="s">
        <v>600</v>
      </c>
    </row>
    <row r="469">
      <c r="A469" s="3" t="s">
        <v>3145</v>
      </c>
      <c r="B469" s="4" t="str">
        <f>IFERROR(__xludf.DUMMYFUNCTION("GOOGLETRANSLATE(A469, ""en"", ""te"")"),"బన్నే నవాబ్ యొక్క BBQ మసాలా")</f>
        <v>బన్నే నవాబ్ యొక్క BBQ మసాలా</v>
      </c>
      <c r="C469" s="4" t="str">
        <f>IFERROR(__xludf.DUMMYFUNCTION("GOOGLETRANSLATE(A469, ""en"", ""hi"")"),"बन्ने नवाब का बारबेक्यू मसाला")</f>
        <v>बन्ने नवाब का बारबेक्यू मसाला</v>
      </c>
      <c r="D469" s="2" t="s">
        <v>3148</v>
      </c>
      <c r="E469" s="2" t="s">
        <v>442</v>
      </c>
      <c r="F469" s="1">
        <v>2.0</v>
      </c>
      <c r="G469" s="3" t="s">
        <v>600</v>
      </c>
    </row>
    <row r="470">
      <c r="A470" s="3" t="s">
        <v>3150</v>
      </c>
      <c r="B470" s="4" t="str">
        <f>IFERROR(__xludf.DUMMYFUNCTION("GOOGLETRANSLATE(A470, ""en"", ""te"")"),"బన్నే నవాబ్ బటర్ చికెన్")</f>
        <v>బన్నే నవాబ్ బటర్ చికెన్</v>
      </c>
      <c r="C470" s="4" t="str">
        <f>IFERROR(__xludf.DUMMYFUNCTION("GOOGLETRANSLATE(A470, ""en"", ""hi"")"),"बन्ने नवाब का बटर चिकन")</f>
        <v>बन्ने नवाब का बटर चिकन</v>
      </c>
      <c r="D470" s="2" t="s">
        <v>3155</v>
      </c>
      <c r="E470" s="2" t="s">
        <v>940</v>
      </c>
      <c r="F470" s="1">
        <v>2.0</v>
      </c>
      <c r="G470" s="3" t="s">
        <v>600</v>
      </c>
    </row>
    <row r="471">
      <c r="A471" s="3" t="s">
        <v>3158</v>
      </c>
      <c r="B471" s="4" t="str">
        <f>IFERROR(__xludf.DUMMYFUNCTION("GOOGLETRANSLATE(A471, ""en"", ""te"")"),"బన్నే నవాబ్ యొక్క అపోలో చేప")</f>
        <v>బన్నే నవాబ్ యొక్క అపోలో చేప</v>
      </c>
      <c r="C471" s="4" t="str">
        <f>IFERROR(__xludf.DUMMYFUNCTION("GOOGLETRANSLATE(A471, ""en"", ""hi"")"),"बन्ने नवाब की अपोलो मछली")</f>
        <v>बन्ने नवाब की अपोलो मछली</v>
      </c>
      <c r="D471" s="5"/>
      <c r="E471" s="2" t="s">
        <v>996</v>
      </c>
      <c r="F471" s="1">
        <v>2.0</v>
      </c>
      <c r="G471" s="3" t="s">
        <v>600</v>
      </c>
    </row>
    <row r="472">
      <c r="A472" s="3" t="s">
        <v>3162</v>
      </c>
      <c r="B472" s="4" t="str">
        <f>IFERROR(__xludf.DUMMYFUNCTION("GOOGLETRANSLATE(A472, ""en"", ""te"")"),"బాద్షా ఉంధియా మసాలా")</f>
        <v>బాద్షా ఉంధియా మసాలా</v>
      </c>
      <c r="C472" s="4" t="str">
        <f>IFERROR(__xludf.DUMMYFUNCTION("GOOGLETRANSLATE(A472, ""en"", ""hi"")"),"बादशाह उन्धिया मसाला")</f>
        <v>बादशाह उन्धिया मसाला</v>
      </c>
      <c r="D472" s="5"/>
      <c r="E472" s="2" t="s">
        <v>996</v>
      </c>
      <c r="F472" s="1">
        <v>2.0</v>
      </c>
      <c r="G472" s="3" t="s">
        <v>600</v>
      </c>
    </row>
    <row r="473">
      <c r="A473" s="3" t="s">
        <v>3167</v>
      </c>
      <c r="B473" s="4" t="str">
        <f>IFERROR(__xludf.DUMMYFUNCTION("GOOGLETRANSLATE(A473, ""en"", ""te"")"),"లక్ష్మి మెంతి విత్తనాలు")</f>
        <v>లక్ష్మి మెంతి విత్తనాలు</v>
      </c>
      <c r="C473" s="4" t="str">
        <f>IFERROR(__xludf.DUMMYFUNCTION("GOOGLETRANSLATE(A473, ""en"", ""hi"")"),"लक्ष्मी मेथी के बीज")</f>
        <v>लक्ष्मी मेथी के बीज</v>
      </c>
      <c r="D473" s="2" t="s">
        <v>3080</v>
      </c>
      <c r="E473" s="2" t="s">
        <v>442</v>
      </c>
      <c r="F473" s="1">
        <v>2.0</v>
      </c>
      <c r="G473" s="3" t="s">
        <v>608</v>
      </c>
    </row>
    <row r="474">
      <c r="A474" s="3" t="s">
        <v>3193</v>
      </c>
      <c r="B474" s="4" t="str">
        <f>IFERROR(__xludf.DUMMYFUNCTION("GOOGLETRANSLATE(A474, ""en"", ""te"")"),"స్వాద్ మద్రాస్")</f>
        <v>స్వాద్ మద్రాస్</v>
      </c>
      <c r="C474" s="4" t="str">
        <f>IFERROR(__xludf.DUMMYFUNCTION("GOOGLETRANSLATE(A474, ""en"", ""hi"")"),"स्वाद मद्रास")</f>
        <v>स्वाद मद्रास</v>
      </c>
      <c r="D474" s="2" t="s">
        <v>1134</v>
      </c>
      <c r="E474" s="2" t="s">
        <v>442</v>
      </c>
      <c r="F474" s="1">
        <v>2.0</v>
      </c>
      <c r="G474" s="3" t="s">
        <v>608</v>
      </c>
    </row>
    <row r="475">
      <c r="A475" s="3" t="s">
        <v>3365</v>
      </c>
      <c r="B475" s="4" t="str">
        <f>IFERROR(__xludf.DUMMYFUNCTION("GOOGLETRANSLATE(A475, ""en"", ""te"")"),"లక్ష్మి జాజికాయ")</f>
        <v>లక్ష్మి జాజికాయ</v>
      </c>
      <c r="C475" s="4" t="str">
        <f>IFERROR(__xludf.DUMMYFUNCTION("GOOGLETRANSLATE(A475, ""en"", ""hi"")"),"लक्ष्मी होल जायफल")</f>
        <v>लक्ष्मी होल जायफल</v>
      </c>
      <c r="D475" s="2" t="s">
        <v>3369</v>
      </c>
      <c r="E475" s="2" t="s">
        <v>442</v>
      </c>
      <c r="F475" s="1">
        <v>2.0</v>
      </c>
      <c r="G475" s="3" t="s">
        <v>608</v>
      </c>
    </row>
    <row r="476">
      <c r="A476" s="3" t="s">
        <v>3372</v>
      </c>
      <c r="B476" s="4" t="str">
        <f>IFERROR(__xludf.DUMMYFUNCTION("GOOGLETRANSLATE(A476, ""en"", ""te"")"),"లక్ష్మి సోంపు గింజలు")</f>
        <v>లక్ష్మి సోంపు గింజలు</v>
      </c>
      <c r="C476" s="4" t="str">
        <f>IFERROR(__xludf.DUMMYFUNCTION("GOOGLETRANSLATE(A476, ""en"", ""hi"")"),"लक्ष्मी सौंफ के बीज")</f>
        <v>लक्ष्मी सौंफ के बीज</v>
      </c>
      <c r="D476" s="2" t="s">
        <v>2641</v>
      </c>
      <c r="E476" s="2" t="s">
        <v>442</v>
      </c>
      <c r="F476" s="1">
        <v>2.0</v>
      </c>
      <c r="G476" s="3" t="s">
        <v>740</v>
      </c>
    </row>
    <row r="477">
      <c r="A477" s="3" t="s">
        <v>3377</v>
      </c>
      <c r="B477" s="4" t="str">
        <f>IFERROR(__xludf.DUMMYFUNCTION("GOOGLETRANSLATE(A477, ""en"", ""te"")"),"జియాస్ దగద్ ఫూల్ స్టోన్ ఫ్లవర్")</f>
        <v>జియాస్ దగద్ ఫూల్ స్టోన్ ఫ్లవర్</v>
      </c>
      <c r="C477" s="4" t="str">
        <f>IFERROR(__xludf.DUMMYFUNCTION("GOOGLETRANSLATE(A477, ""en"", ""hi"")"),"जिया का दगड़ फूल पत्थर का फूल")</f>
        <v>जिया का दगड़ फूल पत्थर का फूल</v>
      </c>
      <c r="D477" s="5"/>
      <c r="E477" s="2" t="s">
        <v>442</v>
      </c>
      <c r="F477" s="1">
        <v>2.0</v>
      </c>
      <c r="G477" s="3" t="s">
        <v>740</v>
      </c>
    </row>
    <row r="478">
      <c r="A478" s="3" t="s">
        <v>3378</v>
      </c>
      <c r="B478" s="4" t="str">
        <f>IFERROR(__xludf.DUMMYFUNCTION("GOOGLETRANSLATE(A478, ""en"", ""te"")"),"బాన్సీ వేయించిన ధనియాల పప్పు")</f>
        <v>బాన్సీ వేయించిన ధనియాల పప్పు</v>
      </c>
      <c r="C478" s="4" t="str">
        <f>IFERROR(__xludf.DUMMYFUNCTION("GOOGLETRANSLATE(A478, ""en"", ""hi"")"),"बंसी भुनी हुई धना दाल")</f>
        <v>बंसी भुनी हुई धना दाल</v>
      </c>
      <c r="D478" s="2" t="s">
        <v>3379</v>
      </c>
      <c r="E478" s="2" t="s">
        <v>1038</v>
      </c>
      <c r="F478" s="1">
        <v>2.0</v>
      </c>
      <c r="G478" s="3" t="s">
        <v>740</v>
      </c>
    </row>
    <row r="479">
      <c r="A479" s="3" t="s">
        <v>3380</v>
      </c>
      <c r="B479" s="4" t="str">
        <f>IFERROR(__xludf.DUMMYFUNCTION("GOOGLETRANSLATE(A479, ""en"", ""te"")"),"స్వాహా ధన")</f>
        <v>స్వాహా ధన</v>
      </c>
      <c r="C479" s="4" t="str">
        <f>IFERROR(__xludf.DUMMYFUNCTION("GOOGLETRANSLATE(A479, ""en"", ""hi"")"),"स्वाहा धना")</f>
        <v>स्वाहा धना</v>
      </c>
      <c r="D479" s="2" t="s">
        <v>3379</v>
      </c>
      <c r="E479" s="2" t="s">
        <v>1038</v>
      </c>
      <c r="F479" s="1">
        <v>2.0</v>
      </c>
      <c r="G479" s="3" t="s">
        <v>740</v>
      </c>
    </row>
    <row r="480">
      <c r="A480" s="3" t="s">
        <v>3381</v>
      </c>
      <c r="B480" s="4" t="str">
        <f>IFERROR(__xludf.DUMMYFUNCTION("GOOGLETRANSLATE(A480, ""en"", ""te"")"),"స్వాద్ సోంపు గింజలు")</f>
        <v>స్వాద్ సోంపు గింజలు</v>
      </c>
      <c r="C480" s="4" t="str">
        <f>IFERROR(__xludf.DUMMYFUNCTION("GOOGLETRANSLATE(A480, ""en"", ""hi"")"),"स्वाद डिल के बीज")</f>
        <v>स्वाद डिल के बीज</v>
      </c>
      <c r="D480" s="2" t="s">
        <v>3382</v>
      </c>
      <c r="E480" s="2" t="s">
        <v>442</v>
      </c>
      <c r="F480" s="1">
        <v>2.0</v>
      </c>
      <c r="G480" s="3" t="s">
        <v>740</v>
      </c>
    </row>
    <row r="481">
      <c r="A481" s="3" t="s">
        <v>3383</v>
      </c>
      <c r="B481" s="4" t="str">
        <f>IFERROR(__xludf.DUMMYFUNCTION("GOOGLETRANSLATE(A481, ""en"", ""te"")"),"లక్ష్మి నల్ల యాలకులు")</f>
        <v>లక్ష్మి నల్ల యాలకులు</v>
      </c>
      <c r="C481" s="4" t="str">
        <f>IFERROR(__xludf.DUMMYFUNCTION("GOOGLETRANSLATE(A481, ""en"", ""hi"")"),"लक्ष्मी काली इलायची")</f>
        <v>लक्ष्मी काली इलायची</v>
      </c>
      <c r="D481" s="2" t="s">
        <v>2561</v>
      </c>
      <c r="E481" s="2" t="s">
        <v>442</v>
      </c>
      <c r="F481" s="1">
        <v>2.0</v>
      </c>
      <c r="G481" s="3" t="s">
        <v>740</v>
      </c>
    </row>
    <row r="482">
      <c r="A482" s="3" t="s">
        <v>3384</v>
      </c>
      <c r="B482" s="4" t="str">
        <f>IFERROR(__xludf.DUMMYFUNCTION("GOOGLETRANSLATE(A482, ""en"", ""te"")"),"మ్యాగీ సోయా చంక్స్ 100% శాకాహారం")</f>
        <v>మ్యాగీ సోయా చంక్స్ 100% శాకాహారం</v>
      </c>
      <c r="C482" s="4" t="str">
        <f>IFERROR(__xludf.DUMMYFUNCTION("GOOGLETRANSLATE(A482, ""en"", ""hi"")"),"मैगी सोया चंक्स 100% शाकाहारी")</f>
        <v>मैगी सोया चंक्स 100% शाकाहारी</v>
      </c>
      <c r="D482" s="5"/>
      <c r="E482" s="2" t="s">
        <v>2700</v>
      </c>
      <c r="F482" s="1">
        <v>2.0</v>
      </c>
      <c r="G482" s="3" t="s">
        <v>806</v>
      </c>
    </row>
    <row r="483">
      <c r="A483" s="3" t="s">
        <v>3385</v>
      </c>
      <c r="B483" s="4" t="str">
        <f>IFERROR(__xludf.DUMMYFUNCTION("GOOGLETRANSLATE(A483, ""en"", ""te"")"),"మ్యాగీ 2 నిమిషాల నూడుల్స్")</f>
        <v>మ్యాగీ 2 నిమిషాల నూడుల్స్</v>
      </c>
      <c r="C483" s="4" t="str">
        <f>IFERROR(__xludf.DUMMYFUNCTION("GOOGLETRANSLATE(A483, ""en"", ""hi"")"),"मैगी 2 मिनट नूडल्स")</f>
        <v>मैगी 2 मिनट नूडल्स</v>
      </c>
      <c r="D483" s="2" t="s">
        <v>2314</v>
      </c>
      <c r="E483" s="2" t="s">
        <v>9</v>
      </c>
      <c r="F483" s="1">
        <v>2.0</v>
      </c>
      <c r="G483" s="3" t="s">
        <v>806</v>
      </c>
    </row>
    <row r="484">
      <c r="A484" s="3" t="s">
        <v>3386</v>
      </c>
      <c r="B484" s="4" t="str">
        <f>IFERROR(__xludf.DUMMYFUNCTION("GOOGLETRANSLATE(A484, ""en"", ""te"")"),"మంచూరియన్")</f>
        <v>మంచూరియన్</v>
      </c>
      <c r="C484" s="4" t="str">
        <f>IFERROR(__xludf.DUMMYFUNCTION("GOOGLETRANSLATE(A484, ""en"", ""hi"")"),"मंचूरियन")</f>
        <v>मंचूरियन</v>
      </c>
      <c r="D484" s="5"/>
      <c r="E484" s="2" t="s">
        <v>1294</v>
      </c>
      <c r="F484" s="1">
        <v>2.0</v>
      </c>
      <c r="G484" s="3" t="s">
        <v>806</v>
      </c>
    </row>
    <row r="485">
      <c r="A485" s="3" t="s">
        <v>3387</v>
      </c>
      <c r="B485" s="4" t="str">
        <f>IFERROR(__xludf.DUMMYFUNCTION("GOOGLETRANSLATE(A485, ""en"", ""te"")"),"బాను నవాబ్ మటన్ చికెన్ బిర్యానీ")</f>
        <v>బాను నవాబ్ మటన్ చికెన్ బిర్యానీ</v>
      </c>
      <c r="C485" s="4" t="str">
        <f>IFERROR(__xludf.DUMMYFUNCTION("GOOGLETRANSLATE(A485, ""en"", ""hi"")"),"बानू नवाब की मटन चिकन बिरयानी")</f>
        <v>बानू नवाब की मटन चिकन बिरयानी</v>
      </c>
      <c r="D485" s="2" t="s">
        <v>2660</v>
      </c>
      <c r="E485" s="2" t="s">
        <v>9</v>
      </c>
      <c r="F485" s="1">
        <v>2.0</v>
      </c>
      <c r="G485" s="3" t="s">
        <v>71</v>
      </c>
    </row>
    <row r="486">
      <c r="A486" s="3" t="s">
        <v>3388</v>
      </c>
      <c r="B486" s="4" t="str">
        <f>IFERROR(__xludf.DUMMYFUNCTION("GOOGLETRANSLATE(A486, ""en"", ""te"")"),"బాను నవాబు యొక్క అపోలో చేప")</f>
        <v>బాను నవాబు యొక్క అపోలో చేప</v>
      </c>
      <c r="C486" s="4" t="str">
        <f>IFERROR(__xludf.DUMMYFUNCTION("GOOGLETRANSLATE(A486, ""en"", ""hi"")"),"बानू नवाब की अपोलो मछली")</f>
        <v>बानू नवाब की अपोलो मछली</v>
      </c>
      <c r="D486" s="5"/>
      <c r="E486" s="2" t="s">
        <v>351</v>
      </c>
      <c r="F486" s="1">
        <v>2.0</v>
      </c>
      <c r="G486" s="3" t="s">
        <v>71</v>
      </c>
    </row>
    <row r="487">
      <c r="A487" s="3" t="s">
        <v>3389</v>
      </c>
      <c r="B487" s="4" t="str">
        <f>IFERROR(__xludf.DUMMYFUNCTION("GOOGLETRANSLATE(A487, ""en"", ""te"")"),"బాద్షా ఉంధియా మసాలా")</f>
        <v>బాద్షా ఉంధియా మసాలా</v>
      </c>
      <c r="C487" s="4" t="str">
        <f>IFERROR(__xludf.DUMMYFUNCTION("GOOGLETRANSLATE(A487, ""en"", ""hi"")"),"बादशाह उंधिया मसाला")</f>
        <v>बादशाह उंधिया मसाला</v>
      </c>
      <c r="D487" s="5"/>
      <c r="E487" s="2" t="s">
        <v>996</v>
      </c>
      <c r="F487" s="1">
        <v>2.0</v>
      </c>
      <c r="G487" s="3" t="s">
        <v>71</v>
      </c>
    </row>
    <row r="488">
      <c r="A488" s="3" t="s">
        <v>3390</v>
      </c>
      <c r="B488" s="4" t="str">
        <f>IFERROR(__xludf.DUMMYFUNCTION("GOOGLETRANSLATE(A488, ""en"", ""te"")"),"బాద్షా మటన్ బిర్యానీ మసాలా")</f>
        <v>బాద్షా మటన్ బిర్యానీ మసాలా</v>
      </c>
      <c r="C488" s="4" t="str">
        <f>IFERROR(__xludf.DUMMYFUNCTION("GOOGLETRANSLATE(A488, ""en"", ""hi"")"),"बादशाह मटन बिरयानी मसाला")</f>
        <v>बादशाह मटन बिरयानी मसाला</v>
      </c>
      <c r="D488" s="2" t="s">
        <v>3391</v>
      </c>
      <c r="E488" s="2" t="s">
        <v>442</v>
      </c>
      <c r="F488" s="1">
        <v>2.0</v>
      </c>
      <c r="G488" s="3" t="s">
        <v>71</v>
      </c>
    </row>
    <row r="489">
      <c r="A489" s="3" t="s">
        <v>3392</v>
      </c>
      <c r="B489" s="4" t="str">
        <f>IFERROR(__xludf.DUMMYFUNCTION("GOOGLETRANSLATE(A489, ""en"", ""te"")"),"బాద్షా మోమో మసాలా")</f>
        <v>బాద్షా మోమో మసాలా</v>
      </c>
      <c r="C489" s="4" t="str">
        <f>IFERROR(__xludf.DUMMYFUNCTION("GOOGLETRANSLATE(A489, ""en"", ""hi"")"),"बादशाह मोमो मसाला")</f>
        <v>बादशाह मोमो मसाला</v>
      </c>
      <c r="D489" s="5"/>
      <c r="E489" s="2" t="s">
        <v>442</v>
      </c>
      <c r="F489" s="1">
        <v>2.0</v>
      </c>
      <c r="G489" s="3" t="s">
        <v>71</v>
      </c>
    </row>
    <row r="490">
      <c r="A490" s="3" t="s">
        <v>3393</v>
      </c>
      <c r="B490" s="4" t="str">
        <f>IFERROR(__xludf.DUMMYFUNCTION("GOOGLETRANSLATE(A490, ""en"", ""te"")"),"బాద్షా")</f>
        <v>బాద్షా</v>
      </c>
      <c r="C490" s="4" t="str">
        <f>IFERROR(__xludf.DUMMYFUNCTION("GOOGLETRANSLATE(A490, ""en"", ""hi"")"),"बादशाह")</f>
        <v>बादशाह</v>
      </c>
      <c r="D490" s="5"/>
      <c r="E490" s="2" t="s">
        <v>1294</v>
      </c>
      <c r="F490" s="1">
        <v>2.0</v>
      </c>
      <c r="G490" s="3" t="s">
        <v>71</v>
      </c>
    </row>
    <row r="491">
      <c r="A491" s="3" t="s">
        <v>3394</v>
      </c>
      <c r="B491" s="4" t="str">
        <f>IFERROR(__xludf.DUMMYFUNCTION("GOOGLETRANSLATE(A491, ""en"", ""te"")"),"స్వాద్")</f>
        <v>స్వాద్</v>
      </c>
      <c r="C491" s="4" t="str">
        <f>IFERROR(__xludf.DUMMYFUNCTION("GOOGLETRANSLATE(A491, ""en"", ""hi"")"),"स्वाद")</f>
        <v>स्वाद</v>
      </c>
      <c r="D491" s="5"/>
      <c r="E491" s="2" t="s">
        <v>2279</v>
      </c>
      <c r="F491" s="1">
        <v>2.0</v>
      </c>
      <c r="G491" s="3" t="s">
        <v>76</v>
      </c>
    </row>
    <row r="492">
      <c r="A492" s="3" t="s">
        <v>3395</v>
      </c>
      <c r="B492" s="4" t="str">
        <f>IFERROR(__xludf.DUMMYFUNCTION("GOOGLETRANSLATE(A492, ""en"", ""te"")"),"లక్ష్మి జాజికాయ")</f>
        <v>లక్ష్మి జాజికాయ</v>
      </c>
      <c r="C492" s="4" t="str">
        <f>IFERROR(__xludf.DUMMYFUNCTION("GOOGLETRANSLATE(A492, ""en"", ""hi"")"),"लक्ष्मी साबुत जायफल")</f>
        <v>लक्ष्मी साबुत जायफल</v>
      </c>
      <c r="D492" s="2" t="s">
        <v>3369</v>
      </c>
      <c r="E492" s="2" t="s">
        <v>442</v>
      </c>
      <c r="F492" s="1">
        <v>2.0</v>
      </c>
      <c r="G492" s="3" t="s">
        <v>76</v>
      </c>
    </row>
    <row r="493">
      <c r="A493" s="3" t="s">
        <v>3396</v>
      </c>
      <c r="B493" s="4" t="str">
        <f>IFERROR(__xludf.DUMMYFUNCTION("GOOGLETRANSLATE(A493, ""en"", ""te"")"),"లక్ష్మి జాజికాయ పొడి")</f>
        <v>లక్ష్మి జాజికాయ పొడి</v>
      </c>
      <c r="C493" s="4" t="str">
        <f>IFERROR(__xludf.DUMMYFUNCTION("GOOGLETRANSLATE(A493, ""en"", ""hi"")"),"लक्ष्मी जायफल पाउडर")</f>
        <v>लक्ष्मी जायफल पाउडर</v>
      </c>
      <c r="D493" s="2" t="s">
        <v>3397</v>
      </c>
      <c r="E493" s="2" t="s">
        <v>442</v>
      </c>
      <c r="F493" s="1">
        <v>2.0</v>
      </c>
      <c r="G493" s="3" t="s">
        <v>76</v>
      </c>
    </row>
    <row r="494">
      <c r="A494" s="3" t="s">
        <v>3409</v>
      </c>
      <c r="B494" s="4" t="str">
        <f>IFERROR(__xludf.DUMMYFUNCTION("GOOGLETRANSLATE(A494, ""en"", ""te"")"),"జియాద్ ఉల్లిపాయ పొడి")</f>
        <v>జియాద్ ఉల్లిపాయ పొడి</v>
      </c>
      <c r="C494" s="4" t="str">
        <f>IFERROR(__xludf.DUMMYFUNCTION("GOOGLETRANSLATE(A494, ""en"", ""hi"")"),"ज़ियाद प्याज पाउडर")</f>
        <v>ज़ियाद प्याज पाउडर</v>
      </c>
      <c r="D494" s="5"/>
      <c r="E494" s="2" t="s">
        <v>442</v>
      </c>
      <c r="F494" s="1">
        <v>2.0</v>
      </c>
      <c r="G494" s="3" t="s">
        <v>76</v>
      </c>
    </row>
    <row r="495">
      <c r="A495" s="3" t="s">
        <v>3410</v>
      </c>
      <c r="B495" s="4" t="str">
        <f>IFERROR(__xludf.DUMMYFUNCTION("GOOGLETRANSLATE(A495, ""en"", ""te"")"),"లక్ష్మి")</f>
        <v>లక్ష్మి</v>
      </c>
      <c r="C495" s="4" t="str">
        <f>IFERROR(__xludf.DUMMYFUNCTION("GOOGLETRANSLATE(A495, ""en"", ""hi"")"),"लक्ष्मी")</f>
        <v>लक्ष्मी</v>
      </c>
      <c r="D495" s="2" t="s">
        <v>3411</v>
      </c>
      <c r="E495" s="2" t="s">
        <v>1038</v>
      </c>
      <c r="F495" s="1">
        <v>2.0</v>
      </c>
      <c r="G495" s="3" t="s">
        <v>76</v>
      </c>
    </row>
    <row r="496">
      <c r="A496" s="3" t="s">
        <v>2640</v>
      </c>
      <c r="B496" s="4" t="str">
        <f>IFERROR(__xludf.DUMMYFUNCTION("GOOGLETRANSLATE(A496, ""en"", ""te"")"),"లక్ష్మి సోంపు గింజలు")</f>
        <v>లక్ష్మి సోంపు గింజలు</v>
      </c>
      <c r="C496" s="4" t="str">
        <f>IFERROR(__xludf.DUMMYFUNCTION("GOOGLETRANSLATE(A496, ""en"", ""hi"")"),"लक्ष्मी सौंफ के बीज")</f>
        <v>लक्ष्मी सौंफ के बीज</v>
      </c>
      <c r="D496" s="2" t="s">
        <v>2641</v>
      </c>
      <c r="E496" s="2" t="s">
        <v>442</v>
      </c>
      <c r="F496" s="1">
        <v>2.0</v>
      </c>
      <c r="G496" s="3" t="s">
        <v>85</v>
      </c>
    </row>
    <row r="497">
      <c r="A497" s="3" t="s">
        <v>3413</v>
      </c>
      <c r="B497" s="4" t="str">
        <f>IFERROR(__xludf.DUMMYFUNCTION("GOOGLETRANSLATE(A497, ""en"", ""te"")"),"జియా యొక్క దగద్ ఫూల్ స్టోన్ ఫ్లవర్")</f>
        <v>జియా యొక్క దగద్ ఫూల్ స్టోన్ ఫ్లవర్</v>
      </c>
      <c r="C497" s="4" t="str">
        <f>IFERROR(__xludf.DUMMYFUNCTION("GOOGLETRANSLATE(A497, ""en"", ""hi"")"),"जिया के दगड़ फूल पत्थर फूल")</f>
        <v>जिया के दगड़ फूल पत्थर फूल</v>
      </c>
      <c r="D497" s="5"/>
      <c r="E497" s="2" t="s">
        <v>442</v>
      </c>
      <c r="F497" s="1">
        <v>2.0</v>
      </c>
      <c r="G497" s="3" t="s">
        <v>85</v>
      </c>
    </row>
    <row r="498">
      <c r="A498" s="3" t="s">
        <v>3414</v>
      </c>
      <c r="B498" s="4" t="str">
        <f>IFERROR(__xludf.DUMMYFUNCTION("GOOGLETRANSLATE(A498, ""en"", ""te"")"),"బన్సీ వేయించిన ధనియాల పప్పు")</f>
        <v>బన్సీ వేయించిన ధనియాల పప్పు</v>
      </c>
      <c r="C498" s="4" t="str">
        <f>IFERROR(__xludf.DUMMYFUNCTION("GOOGLETRANSLATE(A498, ""en"", ""hi"")"),"बंसी रोस्टेड धना दाल")</f>
        <v>बंसी रोस्टेड धना दाल</v>
      </c>
      <c r="D498" s="2" t="s">
        <v>3379</v>
      </c>
      <c r="E498" s="2" t="s">
        <v>1038</v>
      </c>
      <c r="F498" s="1">
        <v>2.0</v>
      </c>
      <c r="G498" s="3" t="s">
        <v>85</v>
      </c>
    </row>
    <row r="499">
      <c r="A499" s="3" t="s">
        <v>3417</v>
      </c>
      <c r="B499" s="4" t="str">
        <f>IFERROR(__xludf.DUMMYFUNCTION("GOOGLETRANSLATE(A499, ""en"", ""te"")"),"ఆల ధన")</f>
        <v>ఆల ధన</v>
      </c>
      <c r="C499" s="4" t="str">
        <f>IFERROR(__xludf.DUMMYFUNCTION("GOOGLETRANSLATE(A499, ""en"", ""hi"")"),"आला धना")</f>
        <v>आला धना</v>
      </c>
      <c r="D499" s="5"/>
      <c r="E499" s="2" t="s">
        <v>1038</v>
      </c>
      <c r="F499" s="1">
        <v>2.0</v>
      </c>
      <c r="G499" s="3" t="s">
        <v>85</v>
      </c>
    </row>
    <row r="500">
      <c r="A500" s="3" t="s">
        <v>3419</v>
      </c>
      <c r="B500" s="4" t="str">
        <f>IFERROR(__xludf.DUMMYFUNCTION("GOOGLETRANSLATE(A500, ""en"", ""te"")"),"స్వాద్ డిల్ విత్తనాలు")</f>
        <v>స్వాద్ డిల్ విత్తనాలు</v>
      </c>
      <c r="C500" s="4" t="str">
        <f>IFERROR(__xludf.DUMMYFUNCTION("GOOGLETRANSLATE(A500, ""en"", ""hi"")"),"स्वाद डिल के बीज")</f>
        <v>स्वाद डिल के बीज</v>
      </c>
      <c r="D500" s="2" t="s">
        <v>3382</v>
      </c>
      <c r="E500" s="2" t="s">
        <v>442</v>
      </c>
      <c r="F500" s="1">
        <v>2.0</v>
      </c>
      <c r="G500" s="3" t="s">
        <v>85</v>
      </c>
    </row>
    <row r="501">
      <c r="A501" s="3" t="s">
        <v>3420</v>
      </c>
      <c r="B501" s="4" t="str">
        <f>IFERROR(__xludf.DUMMYFUNCTION("GOOGLETRANSLATE(A501, ""en"", ""te"")"),"లక్ష్మి నల్ల యాలకులు")</f>
        <v>లక్ష్మి నల్ల యాలకులు</v>
      </c>
      <c r="C501" s="4" t="str">
        <f>IFERROR(__xludf.DUMMYFUNCTION("GOOGLETRANSLATE(A501, ""en"", ""hi"")"),"लक्ष्मी काली इलायची")</f>
        <v>लक्ष्मी काली इलायची</v>
      </c>
      <c r="D501" s="2" t="s">
        <v>2561</v>
      </c>
      <c r="E501" s="2" t="s">
        <v>442</v>
      </c>
      <c r="F501" s="1">
        <v>2.0</v>
      </c>
      <c r="G501" s="3" t="s">
        <v>85</v>
      </c>
    </row>
    <row r="502">
      <c r="A502" s="3" t="s">
        <v>3422</v>
      </c>
      <c r="B502" s="4" t="str">
        <f>IFERROR(__xludf.DUMMYFUNCTION("GOOGLETRANSLATE(A502, ""en"", ""te"")"),"యాలకుల నలుపు")</f>
        <v>యాలకుల నలుపు</v>
      </c>
      <c r="C502" s="4" t="str">
        <f>IFERROR(__xludf.DUMMYFUNCTION("GOOGLETRANSLATE(A502, ""en"", ""hi"")"),"काली इलायची")</f>
        <v>काली इलायची</v>
      </c>
      <c r="D502" s="5"/>
      <c r="E502" s="2" t="s">
        <v>442</v>
      </c>
      <c r="F502" s="1">
        <v>2.0</v>
      </c>
      <c r="G502" s="3" t="s">
        <v>85</v>
      </c>
    </row>
    <row r="503">
      <c r="A503" s="3" t="s">
        <v>1667</v>
      </c>
      <c r="B503" s="4" t="str">
        <f>IFERROR(__xludf.DUMMYFUNCTION("GOOGLETRANSLATE(A503, ""en"", ""te"")"),"యాలకుల పొడి")</f>
        <v>యాలకుల పొడి</v>
      </c>
      <c r="C503" s="4" t="str">
        <f>IFERROR(__xludf.DUMMYFUNCTION("GOOGLETRANSLATE(A503, ""en"", ""hi"")"),"इलायची पाउडर")</f>
        <v>इलायची पाउडर</v>
      </c>
      <c r="D503" s="2" t="s">
        <v>3424</v>
      </c>
      <c r="E503" s="2" t="s">
        <v>442</v>
      </c>
      <c r="F503" s="1">
        <v>2.0</v>
      </c>
      <c r="G503" s="3" t="s">
        <v>85</v>
      </c>
    </row>
    <row r="504">
      <c r="A504" s="3" t="s">
        <v>3425</v>
      </c>
      <c r="B504" s="4" t="str">
        <f>IFERROR(__xludf.DUMMYFUNCTION("GOOGLETRANSLATE(A504, ""en"", ""te"")"),"లక్ష్మి యాలకుల పొడి")</f>
        <v>లక్ష్మి యాలకుల పొడి</v>
      </c>
      <c r="C504" s="4" t="str">
        <f>IFERROR(__xludf.DUMMYFUNCTION("GOOGLETRANSLATE(A504, ""en"", ""hi"")"),"लक्ष्मी इलायची पाउडर")</f>
        <v>लक्ष्मी इलायची पाउडर</v>
      </c>
      <c r="D504" s="2" t="s">
        <v>3424</v>
      </c>
      <c r="E504" s="2" t="s">
        <v>442</v>
      </c>
      <c r="F504" s="1">
        <v>2.0</v>
      </c>
      <c r="G504" s="3" t="s">
        <v>85</v>
      </c>
    </row>
    <row r="505">
      <c r="A505" s="3" t="s">
        <v>2711</v>
      </c>
      <c r="B505" s="4" t="str">
        <f>IFERROR(__xludf.DUMMYFUNCTION("GOOGLETRANSLATE(A505, ""en"", ""te"")"),"సోయా చంక్స్")</f>
        <v>సోయా చంక్స్</v>
      </c>
      <c r="C505" s="4" t="str">
        <f>IFERROR(__xludf.DUMMYFUNCTION("GOOGLETRANSLATE(A505, ""en"", ""hi"")"),"सोया चंक्स")</f>
        <v>सोया चंक्स</v>
      </c>
      <c r="D505" s="5"/>
      <c r="E505" s="2" t="s">
        <v>2700</v>
      </c>
      <c r="F505" s="1">
        <v>2.0</v>
      </c>
      <c r="G505" s="3" t="s">
        <v>114</v>
      </c>
    </row>
    <row r="506">
      <c r="A506" s="3" t="s">
        <v>3428</v>
      </c>
      <c r="B506" s="4" t="str">
        <f>IFERROR(__xludf.DUMMYFUNCTION("GOOGLETRANSLATE(A506, ""en"", ""te"")"),"మ్యాగీ 2-నిమిషాల నూడుల్స్")</f>
        <v>మ్యాగీ 2-నిమిషాల నూడుల్స్</v>
      </c>
      <c r="C506" s="4" t="str">
        <f>IFERROR(__xludf.DUMMYFUNCTION("GOOGLETRANSLATE(A506, ""en"", ""hi"")"),"मैगी 2-मिनट नूडल्स")</f>
        <v>मैगी 2-मिनट नूडल्स</v>
      </c>
      <c r="D506" s="2" t="s">
        <v>2314</v>
      </c>
      <c r="E506" s="2" t="s">
        <v>9</v>
      </c>
      <c r="F506" s="1">
        <v>2.0</v>
      </c>
      <c r="G506" s="3" t="s">
        <v>114</v>
      </c>
    </row>
    <row r="507">
      <c r="A507" s="3" t="s">
        <v>3429</v>
      </c>
      <c r="B507" s="4" t="str">
        <f>IFERROR(__xludf.DUMMYFUNCTION("GOOGLETRANSLATE(A507, ""en"", ""te"")"),"మంచూరియన్")</f>
        <v>మంచూరియన్</v>
      </c>
      <c r="C507" s="4" t="str">
        <f>IFERROR(__xludf.DUMMYFUNCTION("GOOGLETRANSLATE(A507, ""en"", ""hi"")"),"मंचूरियन")</f>
        <v>मंचूरियन</v>
      </c>
      <c r="D507" s="5"/>
      <c r="E507" s="2" t="s">
        <v>1294</v>
      </c>
      <c r="F507" s="1">
        <v>2.0</v>
      </c>
      <c r="G507" s="3" t="s">
        <v>114</v>
      </c>
    </row>
    <row r="508">
      <c r="A508" s="3" t="s">
        <v>3431</v>
      </c>
      <c r="B508" s="4" t="str">
        <f>IFERROR(__xludf.DUMMYFUNCTION("GOOGLETRANSLATE(A508, ""en"", ""te"")"),"వీబా హక్కా నూడుల్స్")</f>
        <v>వీబా హక్కా నూడుల్స్</v>
      </c>
      <c r="C508" s="4" t="str">
        <f>IFERROR(__xludf.DUMMYFUNCTION("GOOGLETRANSLATE(A508, ""en"", ""hi"")"),"वीबा हक्का नूडल्स")</f>
        <v>वीबा हक्का नूडल्स</v>
      </c>
      <c r="D508" s="2" t="s">
        <v>2291</v>
      </c>
      <c r="E508" s="2" t="s">
        <v>9</v>
      </c>
      <c r="F508" s="1">
        <v>2.0</v>
      </c>
      <c r="G508" s="3" t="s">
        <v>114</v>
      </c>
    </row>
    <row r="509">
      <c r="A509" s="3" t="s">
        <v>3432</v>
      </c>
      <c r="B509" s="4" t="str">
        <f>IFERROR(__xludf.DUMMYFUNCTION("GOOGLETRANSLATE(A509, ""en"", ""te"")"),"బాద్షా అల్లం పొడి")</f>
        <v>బాద్షా అల్లం పొడి</v>
      </c>
      <c r="C509" s="4" t="str">
        <f>IFERROR(__xludf.DUMMYFUNCTION("GOOGLETRANSLATE(A509, ""en"", ""hi"")"),"बादशाह अदरक पाउडर")</f>
        <v>बादशाह अदरक पाउडर</v>
      </c>
      <c r="D509" s="2" t="s">
        <v>2341</v>
      </c>
      <c r="E509" s="2" t="s">
        <v>442</v>
      </c>
      <c r="F509" s="1">
        <v>2.0</v>
      </c>
      <c r="G509" s="3" t="s">
        <v>475</v>
      </c>
    </row>
    <row r="510">
      <c r="A510" s="3" t="s">
        <v>3433</v>
      </c>
      <c r="B510" s="4" t="str">
        <f>IFERROR(__xludf.DUMMYFUNCTION("GOOGLETRANSLATE(A510, ""en"", ""te"")"),"బాద్షా చికెన్ మసాలా")</f>
        <v>బాద్షా చికెన్ మసాలా</v>
      </c>
      <c r="C510" s="4" t="str">
        <f>IFERROR(__xludf.DUMMYFUNCTION("GOOGLETRANSLATE(A510, ""en"", ""hi"")"),"बादशाह चिकन मसाला")</f>
        <v>बादशाह चिकन मसाला</v>
      </c>
      <c r="D510" s="5"/>
      <c r="E510" s="2" t="s">
        <v>442</v>
      </c>
      <c r="F510" s="1">
        <v>2.0</v>
      </c>
      <c r="G510" s="3" t="s">
        <v>475</v>
      </c>
    </row>
    <row r="511">
      <c r="A511" s="3" t="s">
        <v>3434</v>
      </c>
      <c r="B511" s="4" t="str">
        <f>IFERROR(__xludf.DUMMYFUNCTION("GOOGLETRANSLATE(A511, ""en"", ""te"")"),"బాద్షా స్వాద్ సుగరోన్ కా రాజా")</f>
        <v>బాద్షా స్వాద్ సుగరోన్ కా రాజా</v>
      </c>
      <c r="C511" s="4" t="str">
        <f>IFERROR(__xludf.DUMMYFUNCTION("GOOGLETRANSLATE(A511, ""en"", ""hi"")"),"बादशाह स्वाद सुगरों का राजा")</f>
        <v>बादशाह स्वाद सुगरों का राजा</v>
      </c>
      <c r="D511" s="2" t="s">
        <v>3435</v>
      </c>
      <c r="E511" s="2" t="s">
        <v>1038</v>
      </c>
      <c r="F511" s="1">
        <v>2.0</v>
      </c>
      <c r="G511" s="3" t="s">
        <v>475</v>
      </c>
    </row>
    <row r="512">
      <c r="A512" s="3" t="s">
        <v>3436</v>
      </c>
      <c r="B512" s="4" t="str">
        <f>IFERROR(__xludf.DUMMYFUNCTION("GOOGLETRANSLATE(A512, ""en"", ""te"")"),"మిస్టర్ బెంగాలీ మిక్స్ పై")</f>
        <v>మిస్టర్ బెంగాలీ మిక్స్ పై</v>
      </c>
      <c r="C512" s="4" t="str">
        <f>IFERROR(__xludf.DUMMYFUNCTION("GOOGLETRANSLATE(A512, ""en"", ""hi"")"),"श्री बंगाली मिक्स पाई")</f>
        <v>श्री बंगाली मिक्स पाई</v>
      </c>
      <c r="D512" s="2" t="s">
        <v>3437</v>
      </c>
      <c r="E512" s="2" t="s">
        <v>3438</v>
      </c>
      <c r="F512" s="1">
        <v>2.0</v>
      </c>
      <c r="G512" s="3" t="s">
        <v>475</v>
      </c>
    </row>
    <row r="513">
      <c r="A513" s="3" t="s">
        <v>3439</v>
      </c>
      <c r="B513" s="4" t="str">
        <f>IFERROR(__xludf.DUMMYFUNCTION("GOOGLETRANSLATE(A513, ""en"", ""te"")"),"బ్రాహ్మణుల కాశ్మీరీ మిరప పొడి")</f>
        <v>బ్రాహ్మణుల కాశ్మీరీ మిరప పొడి</v>
      </c>
      <c r="C513" s="4" t="str">
        <f>IFERROR(__xludf.DUMMYFUNCTION("GOOGLETRANSLATE(A513, ""en"", ""hi"")"),"ब्राह्मण का कश्मीरी मिर्च पाउडर")</f>
        <v>ब्राह्मण का कश्मीरी मिर्च पाउडर</v>
      </c>
      <c r="D513" s="2" t="s">
        <v>1636</v>
      </c>
      <c r="E513" s="2" t="s">
        <v>442</v>
      </c>
      <c r="F513" s="1">
        <v>2.0</v>
      </c>
      <c r="G513" s="3" t="s">
        <v>475</v>
      </c>
    </row>
    <row r="514">
      <c r="A514" s="3" t="s">
        <v>3440</v>
      </c>
      <c r="B514" s="4" t="str">
        <f>IFERROR(__xludf.DUMMYFUNCTION("GOOGLETRANSLATE(A514, ""en"", ""te"")"),"శ్వేత తెలుగు వెల్లూరి కారం పొడి")</f>
        <v>శ్వేత తెలుగు వెల్లూరి కారం పొడి</v>
      </c>
      <c r="C514" s="4" t="str">
        <f>IFERROR(__xludf.DUMMYFUNCTION("GOOGLETRANSLATE(A514, ""en"", ""hi"")"),"स्वेता तेलुगु वेल्लुरी करम पोदी")</f>
        <v>स्वेता तेलुगु वेल्लुरी करम पोदी</v>
      </c>
      <c r="D514" s="5"/>
      <c r="E514" s="2" t="s">
        <v>442</v>
      </c>
      <c r="F514" s="1">
        <v>2.0</v>
      </c>
      <c r="G514" s="3" t="s">
        <v>475</v>
      </c>
    </row>
    <row r="515">
      <c r="A515" s="3" t="s">
        <v>3441</v>
      </c>
      <c r="B515" s="4" t="str">
        <f>IFERROR(__xludf.DUMMYFUNCTION("GOOGLETRANSLATE(A515, ""en"", ""te"")"),"ఎవరెస్ట్")</f>
        <v>ఎవరెస్ట్</v>
      </c>
      <c r="C515" s="4" t="str">
        <f>IFERROR(__xludf.DUMMYFUNCTION("GOOGLETRANSLATE(A515, ""en"", ""hi"")"),"एवेरेस्ट")</f>
        <v>एवेरेस्ट</v>
      </c>
      <c r="D515" s="5"/>
      <c r="E515" s="2" t="s">
        <v>2279</v>
      </c>
      <c r="F515" s="1">
        <v>2.0</v>
      </c>
      <c r="G515" s="3" t="s">
        <v>475</v>
      </c>
    </row>
    <row r="516">
      <c r="A516" s="3" t="s">
        <v>3443</v>
      </c>
      <c r="B516" s="4" t="str">
        <f>IFERROR(__xludf.DUMMYFUNCTION("GOOGLETRANSLATE(A516, ""en"", ""te"")"),"జియాద్ ప్రీమియం ఉల్లిపాయ పొడి")</f>
        <v>జియాద్ ప్రీమియం ఉల్లిపాయ పొడి</v>
      </c>
      <c r="C516" s="4" t="str">
        <f>IFERROR(__xludf.DUMMYFUNCTION("GOOGLETRANSLATE(A516, ""en"", ""hi"")"),"ज़ियाद प्रीमियम प्याज पाउडर")</f>
        <v>ज़ियाद प्रीमियम प्याज पाउडर</v>
      </c>
      <c r="D516" s="2" t="s">
        <v>3445</v>
      </c>
      <c r="E516" s="2" t="s">
        <v>442</v>
      </c>
      <c r="F516" s="1">
        <v>2.0</v>
      </c>
      <c r="G516" s="3" t="s">
        <v>488</v>
      </c>
    </row>
    <row r="517">
      <c r="A517" s="3" t="s">
        <v>3461</v>
      </c>
      <c r="B517" s="4" t="str">
        <f>IFERROR(__xludf.DUMMYFUNCTION("GOOGLETRANSLATE(A517, ""en"", ""te"")"),"లక్ష్మి పాపీ")</f>
        <v>లక్ష్మి పాపీ</v>
      </c>
      <c r="C517" s="4" t="str">
        <f>IFERROR(__xludf.DUMMYFUNCTION("GOOGLETRANSLATE(A517, ""en"", ""hi"")"),"लक्ष्मी अफीम")</f>
        <v>लक्ष्मी अफीम</v>
      </c>
      <c r="D517" s="5"/>
      <c r="E517" s="2" t="s">
        <v>2700</v>
      </c>
      <c r="F517" s="1">
        <v>2.0</v>
      </c>
      <c r="G517" s="3" t="s">
        <v>488</v>
      </c>
    </row>
    <row r="518">
      <c r="A518" s="3" t="s">
        <v>3466</v>
      </c>
      <c r="B518" s="4" t="str">
        <f>IFERROR(__xludf.DUMMYFUNCTION("GOOGLETRANSLATE(A518, ""en"", ""te"")"),"భారతదేశంలో అత్యుత్తమ రుచిగల స్వాద్")</f>
        <v>భారతదేశంలో అత్యుత్తమ రుచిగల స్వాద్</v>
      </c>
      <c r="C518" s="4" t="str">
        <f>IFERROR(__xludf.DUMMYFUNCTION("GOOGLETRANSLATE(A518, ""en"", ""hi"")"),"भारत में सबसे स्वादिष्ट स्वाद")</f>
        <v>भारत में सबसे स्वादिष्ट स्वाद</v>
      </c>
      <c r="D518" s="5"/>
      <c r="E518" s="2" t="s">
        <v>3438</v>
      </c>
      <c r="F518" s="1">
        <v>2.0</v>
      </c>
      <c r="G518" s="3" t="s">
        <v>488</v>
      </c>
    </row>
    <row r="519">
      <c r="A519" s="3" t="s">
        <v>3471</v>
      </c>
      <c r="B519" s="4" t="str">
        <f>IFERROR(__xludf.DUMMYFUNCTION("GOOGLETRANSLATE(A519, ""en"", ""te"")"),"మిరపకాయ")</f>
        <v>మిరపకాయ</v>
      </c>
      <c r="C519" s="4" t="str">
        <f>IFERROR(__xludf.DUMMYFUNCTION("GOOGLETRANSLATE(A519, ""en"", ""hi"")"),"पेपरिका")</f>
        <v>पेपरिका</v>
      </c>
      <c r="D519" s="5"/>
      <c r="E519" s="2" t="s">
        <v>442</v>
      </c>
      <c r="F519" s="1">
        <v>2.0</v>
      </c>
      <c r="G519" s="3" t="s">
        <v>488</v>
      </c>
    </row>
    <row r="520">
      <c r="A520" s="3" t="s">
        <v>3476</v>
      </c>
      <c r="B520" s="4" t="str">
        <f>IFERROR(__xludf.DUMMYFUNCTION("GOOGLETRANSLATE(A520, ""en"", ""te"")"),"స్వాద్ ప్రీమియం")</f>
        <v>స్వాద్ ప్రీమియం</v>
      </c>
      <c r="C520" s="4" t="str">
        <f>IFERROR(__xludf.DUMMYFUNCTION("GOOGLETRANSLATE(A520, ""en"", ""hi"")"),"स्वाद प्रीमियम")</f>
        <v>स्वाद प्रीमियम</v>
      </c>
      <c r="D520" s="5"/>
      <c r="E520" s="2" t="s">
        <v>67</v>
      </c>
      <c r="F520" s="1">
        <v>2.0</v>
      </c>
      <c r="G520" s="3" t="s">
        <v>488</v>
      </c>
    </row>
    <row r="521">
      <c r="A521" s="3" t="s">
        <v>3480</v>
      </c>
      <c r="B521" s="4" t="str">
        <f>IFERROR(__xludf.DUMMYFUNCTION("GOOGLETRANSLATE(A521, ""en"", ""te"")"),"డీర్ డీప్")</f>
        <v>డీర్ డీప్</v>
      </c>
      <c r="C521" s="4" t="str">
        <f>IFERROR(__xludf.DUMMYFUNCTION("GOOGLETRANSLATE(A521, ""en"", ""hi"")"),"हिरण गहरा")</f>
        <v>हिरण गहरा</v>
      </c>
      <c r="D521" s="2" t="s">
        <v>3484</v>
      </c>
      <c r="E521" s="2" t="s">
        <v>2649</v>
      </c>
      <c r="F521" s="1">
        <v>2.0</v>
      </c>
      <c r="G521" s="3" t="s">
        <v>488</v>
      </c>
    </row>
    <row r="522">
      <c r="A522" s="3" t="s">
        <v>3486</v>
      </c>
      <c r="B522" s="4" t="str">
        <f>IFERROR(__xludf.DUMMYFUNCTION("GOOGLETRANSLATE(A522, ""en"", ""te"")"),"దైవ్")</f>
        <v>దైవ్</v>
      </c>
      <c r="C522" s="4" t="str">
        <f>IFERROR(__xludf.DUMMYFUNCTION("GOOGLETRANSLATE(A522, ""en"", ""hi"")"),"दैव")</f>
        <v>दैव</v>
      </c>
      <c r="D522" s="5"/>
      <c r="E522" s="2" t="s">
        <v>54</v>
      </c>
      <c r="F522" s="1">
        <v>2.0</v>
      </c>
      <c r="G522" s="3" t="s">
        <v>488</v>
      </c>
    </row>
    <row r="523">
      <c r="A523" s="3" t="s">
        <v>3490</v>
      </c>
      <c r="B523" s="4" t="str">
        <f>IFERROR(__xludf.DUMMYFUNCTION("GOOGLETRANSLATE(A523, ""en"", ""te"")"),"సలాడ్ యాలకులు నలుపు")</f>
        <v>సలాడ్ యాలకులు నలుపు</v>
      </c>
      <c r="C523" s="4" t="str">
        <f>IFERROR(__xludf.DUMMYFUNCTION("GOOGLETRANSLATE(A523, ""en"", ""hi"")"),"सलाद इलायची काली")</f>
        <v>सलाद इलायची काली</v>
      </c>
      <c r="D523" s="2" t="s">
        <v>2561</v>
      </c>
      <c r="E523" s="2" t="s">
        <v>442</v>
      </c>
      <c r="F523" s="1">
        <v>2.0</v>
      </c>
      <c r="G523" s="3" t="s">
        <v>490</v>
      </c>
    </row>
    <row r="524">
      <c r="A524" s="3" t="s">
        <v>3425</v>
      </c>
      <c r="B524" s="4" t="str">
        <f>IFERROR(__xludf.DUMMYFUNCTION("GOOGLETRANSLATE(A524, ""en"", ""te"")"),"లక్ష్మి యాలకుల పొడి")</f>
        <v>లక్ష్మి యాలకుల పొడి</v>
      </c>
      <c r="C524" s="4" t="str">
        <f>IFERROR(__xludf.DUMMYFUNCTION("GOOGLETRANSLATE(A524, ""en"", ""hi"")"),"लक्ष्मी इलायची पाउडर")</f>
        <v>लक्ष्मी इलायची पाउडर</v>
      </c>
      <c r="D524" s="2" t="s">
        <v>3424</v>
      </c>
      <c r="E524" s="2" t="s">
        <v>442</v>
      </c>
      <c r="F524" s="1">
        <v>2.0</v>
      </c>
      <c r="G524" s="3" t="s">
        <v>490</v>
      </c>
    </row>
    <row r="525">
      <c r="A525" s="3" t="s">
        <v>3519</v>
      </c>
      <c r="B525" s="4" t="str">
        <f>IFERROR(__xludf.DUMMYFUNCTION("GOOGLETRANSLATE(A525, ""en"", ""te"")"),"ఆశీర్వాద్ పచ్చ యాలకులు")</f>
        <v>ఆశీర్వాద్ పచ్చ యాలకులు</v>
      </c>
      <c r="C525" s="4" t="str">
        <f>IFERROR(__xludf.DUMMYFUNCTION("GOOGLETRANSLATE(A525, ""en"", ""hi"")"),"आशीर्वाद हरी इलायची")</f>
        <v>आशीर्वाद हरी इलायची</v>
      </c>
      <c r="D525" s="5"/>
      <c r="E525" s="2" t="s">
        <v>442</v>
      </c>
      <c r="F525" s="1">
        <v>2.0</v>
      </c>
      <c r="G525" s="3" t="s">
        <v>490</v>
      </c>
    </row>
    <row r="526">
      <c r="A526" s="3" t="s">
        <v>3522</v>
      </c>
      <c r="B526" s="4" t="str">
        <f>IFERROR(__xludf.DUMMYFUNCTION("GOOGLETRANSLATE(A526, ""en"", ""te"")"),"ముదురు ఆకుపచ్చ యాలకులు")</f>
        <v>ముదురు ఆకుపచ్చ యాలకులు</v>
      </c>
      <c r="C526" s="4" t="str">
        <f>IFERROR(__xludf.DUMMYFUNCTION("GOOGLETRANSLATE(A526, ""en"", ""hi"")"),"गहरे हरे रंग की इलायची")</f>
        <v>गहरे हरे रंग की इलायची</v>
      </c>
      <c r="D526" s="5"/>
      <c r="E526" s="2" t="s">
        <v>442</v>
      </c>
      <c r="F526" s="1">
        <v>2.0</v>
      </c>
      <c r="G526" s="3" t="s">
        <v>490</v>
      </c>
    </row>
    <row r="527">
      <c r="A527" s="3" t="s">
        <v>1672</v>
      </c>
      <c r="B527" s="4" t="str">
        <f>IFERROR(__xludf.DUMMYFUNCTION("GOOGLETRANSLATE(A527, ""en"", ""te"")"),"యాలకుల గింజలు")</f>
        <v>యాలకుల గింజలు</v>
      </c>
      <c r="C527" s="4" t="str">
        <f>IFERROR(__xludf.DUMMYFUNCTION("GOOGLETRANSLATE(A527, ""en"", ""hi"")"),"इलायची के बीज")</f>
        <v>इलायची के बीज</v>
      </c>
      <c r="D527" s="2" t="s">
        <v>2561</v>
      </c>
      <c r="E527" s="2" t="s">
        <v>442</v>
      </c>
      <c r="F527" s="1">
        <v>2.0</v>
      </c>
      <c r="G527" s="3" t="s">
        <v>490</v>
      </c>
    </row>
    <row r="528">
      <c r="A528" s="3" t="s">
        <v>3530</v>
      </c>
      <c r="B528" s="4" t="str">
        <f>IFERROR(__xludf.DUMMYFUNCTION("GOOGLETRANSLATE(A528, ""en"", ""te"")"),"చింగ్స్ వెజ్ హక్కా నూడుల్స్")</f>
        <v>చింగ్స్ వెజ్ హక్కా నూడుల్స్</v>
      </c>
      <c r="C528" s="4" t="str">
        <f>IFERROR(__xludf.DUMMYFUNCTION("GOOGLETRANSLATE(A528, ""en"", ""hi"")"),"चिंग के वेज हक्का नूडल्स")</f>
        <v>चिंग के वेज हक्का नूडल्स</v>
      </c>
      <c r="D528" s="2" t="s">
        <v>3534</v>
      </c>
      <c r="E528" s="2" t="s">
        <v>940</v>
      </c>
      <c r="F528" s="1">
        <v>2.0</v>
      </c>
      <c r="G528" s="3" t="s">
        <v>588</v>
      </c>
    </row>
    <row r="529">
      <c r="A529" s="3" t="s">
        <v>2349</v>
      </c>
      <c r="B529" s="4" t="str">
        <f>IFERROR(__xludf.DUMMYFUNCTION("GOOGLETRANSLATE(A529, ""en"", ""te"")"),"తక్షణ నూడుల్స్")</f>
        <v>తక్షణ నూడుల్స్</v>
      </c>
      <c r="C529" s="4" t="str">
        <f>IFERROR(__xludf.DUMMYFUNCTION("GOOGLETRANSLATE(A529, ""en"", ""hi"")"),"तत्काल नूडल्स")</f>
        <v>तत्काल नूडल्स</v>
      </c>
      <c r="D529" s="5"/>
      <c r="E529" s="2" t="s">
        <v>9</v>
      </c>
      <c r="F529" s="1">
        <v>2.0</v>
      </c>
      <c r="G529" s="3" t="s">
        <v>588</v>
      </c>
    </row>
    <row r="530">
      <c r="A530" s="3" t="s">
        <v>3538</v>
      </c>
      <c r="B530" s="4" t="str">
        <f>IFERROR(__xludf.DUMMYFUNCTION("GOOGLETRANSLATE(A530, ""en"", ""te"")"),"ఆనంద్ మసాలా")</f>
        <v>ఆనంద్ మసాలా</v>
      </c>
      <c r="C530" s="4" t="str">
        <f>IFERROR(__xludf.DUMMYFUNCTION("GOOGLETRANSLATE(A530, ""en"", ""hi"")"),"आनंद मसाला")</f>
        <v>आनंद मसाला</v>
      </c>
      <c r="D530" s="2" t="s">
        <v>1676</v>
      </c>
      <c r="E530" s="2" t="s">
        <v>442</v>
      </c>
      <c r="F530" s="1">
        <v>2.0</v>
      </c>
      <c r="G530" s="3" t="s">
        <v>588</v>
      </c>
    </row>
    <row r="531">
      <c r="A531" s="3" t="s">
        <v>3439</v>
      </c>
      <c r="B531" s="4" t="str">
        <f>IFERROR(__xludf.DUMMYFUNCTION("GOOGLETRANSLATE(A531, ""en"", ""te"")"),"బ్రాహ్మణుల కాశ్మీరీ మిరప పొడి")</f>
        <v>బ్రాహ్మణుల కాశ్మీరీ మిరప పొడి</v>
      </c>
      <c r="C531" s="4" t="str">
        <f>IFERROR(__xludf.DUMMYFUNCTION("GOOGLETRANSLATE(A531, ""en"", ""hi"")"),"ब्राह्मण का कश्मीरी मिर्च पाउडर")</f>
        <v>ब्राह्मण का कश्मीरी मिर्च पाउडर</v>
      </c>
      <c r="D531" s="2" t="s">
        <v>1636</v>
      </c>
      <c r="E531" s="2" t="s">
        <v>442</v>
      </c>
      <c r="F531" s="1">
        <v>2.0</v>
      </c>
      <c r="G531" s="3" t="s">
        <v>524</v>
      </c>
    </row>
    <row r="532">
      <c r="A532" s="3" t="s">
        <v>3545</v>
      </c>
      <c r="B532" s="4" t="str">
        <f>IFERROR(__xludf.DUMMYFUNCTION("GOOGLETRANSLATE(A532, ""en"", ""te"")"),"శ్వేత తెలుగు వెల్లుల్లి కారం పొడి")</f>
        <v>శ్వేత తెలుగు వెల్లుల్లి కారం పొడి</v>
      </c>
      <c r="C532" s="4" t="str">
        <f>IFERROR(__xludf.DUMMYFUNCTION("GOOGLETRANSLATE(A532, ""en"", ""hi"")"),"स्वेता तेलुगु वेल्लुल्ली करम पोदी")</f>
        <v>स्वेता तेलुगु वेल्लुल्ली करम पोदी</v>
      </c>
      <c r="D532" s="5"/>
      <c r="E532" s="2" t="s">
        <v>442</v>
      </c>
      <c r="F532" s="1">
        <v>2.0</v>
      </c>
      <c r="G532" s="3" t="s">
        <v>524</v>
      </c>
    </row>
    <row r="533">
      <c r="A533" s="3" t="s">
        <v>3550</v>
      </c>
      <c r="B533" s="4" t="str">
        <f>IFERROR(__xludf.DUMMYFUNCTION("GOOGLETRANSLATE(A533, ""en"", ""te"")"),"శ్వేత తెలుగు సాంబార్ పౌడర్")</f>
        <v>శ్వేత తెలుగు సాంబార్ పౌడర్</v>
      </c>
      <c r="C533" s="4" t="str">
        <f>IFERROR(__xludf.DUMMYFUNCTION("GOOGLETRANSLATE(A533, ""en"", ""hi"")"),"श्वेता तेलुगु सांभर पाउडर")</f>
        <v>श्वेता तेलुगु सांभर पाउडर</v>
      </c>
      <c r="D533" s="2" t="s">
        <v>1087</v>
      </c>
      <c r="E533" s="2" t="s">
        <v>442</v>
      </c>
      <c r="F533" s="1">
        <v>2.0</v>
      </c>
      <c r="G533" s="3" t="s">
        <v>524</v>
      </c>
    </row>
    <row r="534">
      <c r="A534" s="3" t="s">
        <v>3556</v>
      </c>
      <c r="B534" s="4" t="str">
        <f>IFERROR(__xludf.DUMMYFUNCTION("GOOGLETRANSLATE(A534, ""en"", ""te"")"),"శ్వేత తెలుగు రసం పౌడర్")</f>
        <v>శ్వేత తెలుగు రసం పౌడర్</v>
      </c>
      <c r="C534" s="4" t="str">
        <f>IFERROR(__xludf.DUMMYFUNCTION("GOOGLETRANSLATE(A534, ""en"", ""hi"")"),"श्वेता तेलुगु रसम पाउडर")</f>
        <v>श्वेता तेलुगु रसम पाउडर</v>
      </c>
      <c r="D534" s="2" t="s">
        <v>1087</v>
      </c>
      <c r="E534" s="2" t="s">
        <v>442</v>
      </c>
      <c r="F534" s="1">
        <v>2.0</v>
      </c>
      <c r="G534" s="3" t="s">
        <v>524</v>
      </c>
    </row>
    <row r="535">
      <c r="A535" s="3" t="s">
        <v>3561</v>
      </c>
      <c r="B535" s="4" t="str">
        <f>IFERROR(__xludf.DUMMYFUNCTION("GOOGLETRANSLATE(A535, ""en"", ""te"")"),"శ్వేత తెలుగు పుట్నాల కారం పొడి వేయించిన చిక్పీ &amp; మిక్స్ పౌడర్")</f>
        <v>శ్వేత తెలుగు పుట్నాల కారం పొడి వేయించిన చిక్పీ &amp; మిక్స్ పౌడర్</v>
      </c>
      <c r="C535" s="4" t="str">
        <f>IFERROR(__xludf.DUMMYFUNCTION("GOOGLETRANSLATE(A535, ""en"", ""hi"")"),"स्वेता तेलुगु पुतनाला करम पोदी भुना हुआ चना और मिक्स पाउडर")</f>
        <v>स्वेता तेलुगु पुतनाला करम पोदी भुना हुआ चना और मिक्स पाउडर</v>
      </c>
      <c r="D535" s="2" t="s">
        <v>1087</v>
      </c>
      <c r="E535" s="2" t="s">
        <v>442</v>
      </c>
      <c r="F535" s="1">
        <v>2.0</v>
      </c>
      <c r="G535" s="3" t="s">
        <v>524</v>
      </c>
    </row>
    <row r="536">
      <c r="A536" s="3" t="s">
        <v>3567</v>
      </c>
      <c r="B536" s="4" t="str">
        <f>IFERROR(__xludf.DUMMYFUNCTION("GOOGLETRANSLATE(A536, ""en"", ""te"")"),"శ్వేత తెలుగు కోతిమీర కారం పొడి కొత్తిమీర ఆకు మసాలా మిక్స్ పౌడర్")</f>
        <v>శ్వేత తెలుగు కోతిమీర కారం పొడి కొత్తిమీర ఆకు మసాలా మిక్స్ పౌడర్</v>
      </c>
      <c r="C536" s="4" t="str">
        <f>IFERROR(__xludf.DUMMYFUNCTION("GOOGLETRANSLATE(A536, ""en"", ""hi"")"),"स्वेता तेलुगु कोथिमीरा करम पोदी धनिया पत्ता मसाला मिक्स पाउडर")</f>
        <v>स्वेता तेलुगु कोथिमीरा करम पोदी धनिया पत्ता मसाला मिक्स पाउडर</v>
      </c>
      <c r="D536" s="2" t="s">
        <v>2644</v>
      </c>
      <c r="E536" s="2" t="s">
        <v>442</v>
      </c>
      <c r="F536" s="1">
        <v>2.0</v>
      </c>
      <c r="G536" s="3" t="s">
        <v>524</v>
      </c>
    </row>
    <row r="537">
      <c r="A537" s="3" t="s">
        <v>3572</v>
      </c>
      <c r="B537" s="4" t="str">
        <f>IFERROR(__xludf.DUMMYFUNCTION("GOOGLETRANSLATE(A537, ""en"", ""te"")"),"శ్వేత తెలుగు మద్రాస్ సాంబార్")</f>
        <v>శ్వేత తెలుగు మద్రాస్ సాంబార్</v>
      </c>
      <c r="C537" s="4" t="str">
        <f>IFERROR(__xludf.DUMMYFUNCTION("GOOGLETRANSLATE(A537, ""en"", ""hi"")"),"श्वेता तेलुगु मद्रास सांभर")</f>
        <v>श्वेता तेलुगु मद्रास सांभर</v>
      </c>
      <c r="D537" s="5"/>
      <c r="E537" s="2" t="s">
        <v>1038</v>
      </c>
      <c r="F537" s="1">
        <v>2.0</v>
      </c>
      <c r="G537" s="3" t="s">
        <v>524</v>
      </c>
    </row>
    <row r="538">
      <c r="A538" s="3" t="s">
        <v>3576</v>
      </c>
      <c r="B538" s="4" t="str">
        <f>IFERROR(__xludf.DUMMYFUNCTION("GOOGLETRANSLATE(A538, ""en"", ""te"")"),"శ్వేత తెలుగు పాలీ కారం పొడి రెడ్ చిల్లి మిక్స్ పౌడర్")</f>
        <v>శ్వేత తెలుగు పాలీ కారం పొడి రెడ్ చిల్లి మిక్స్ పౌడర్</v>
      </c>
      <c r="C538" s="4" t="str">
        <f>IFERROR(__xludf.DUMMYFUNCTION("GOOGLETRANSLATE(A538, ""en"", ""hi"")"),"स्वेता तेलुगु पाली करम पोडी लाल मिर्च मिक्स पाउडर")</f>
        <v>स्वेता तेलुगु पाली करम पोडी लाल मिर्च मिक्स पाउडर</v>
      </c>
      <c r="D538" s="5"/>
      <c r="E538" s="2" t="s">
        <v>442</v>
      </c>
      <c r="F538" s="1">
        <v>2.0</v>
      </c>
      <c r="G538" s="3" t="s">
        <v>524</v>
      </c>
    </row>
    <row r="539">
      <c r="A539" s="3" t="s">
        <v>3581</v>
      </c>
      <c r="B539" s="4" t="str">
        <f>IFERROR(__xludf.DUMMYFUNCTION("GOOGLETRANSLATE(A539, ""en"", ""te"")"),"శ్వేత తెలుగు మునగాకు కరమ్ పొడి మొరింగ ఆకు మసాలా మిక్స్ పౌడర్")</f>
        <v>శ్వేత తెలుగు మునగాకు కరమ్ పొడి మొరింగ ఆకు మసాలా మిక్స్ పౌడర్</v>
      </c>
      <c r="C539" s="4" t="str">
        <f>IFERROR(__xludf.DUMMYFUNCTION("GOOGLETRANSLATE(A539, ""en"", ""hi"")"),"स्वेता तेलुगु मुनागाकु करम पोदी मोरिंगा लीफ स्पाइस मिक्स पाउडर")</f>
        <v>स्वेता तेलुगु मुनागाकु करम पोदी मोरिंगा लीफ स्पाइस मिक्स पाउडर</v>
      </c>
      <c r="D539" s="5"/>
      <c r="E539" s="2" t="s">
        <v>442</v>
      </c>
      <c r="F539" s="1">
        <v>2.0</v>
      </c>
      <c r="G539" s="3" t="s">
        <v>524</v>
      </c>
    </row>
    <row r="540">
      <c r="A540" s="3" t="s">
        <v>3584</v>
      </c>
      <c r="B540" s="4" t="str">
        <f>IFERROR(__xludf.DUMMYFUNCTION("GOOGLETRANSLATE(A540, ""en"", ""te"")"),"దాల్వి నువ్వులు")</f>
        <v>దాల్వి నువ్వులు</v>
      </c>
      <c r="C540" s="4" t="str">
        <f>IFERROR(__xludf.DUMMYFUNCTION("GOOGLETRANSLATE(A540, ""en"", ""hi"")"),"दालवी तिल के बीज")</f>
        <v>दालवी तिल के बीज</v>
      </c>
      <c r="D540" s="2" t="s">
        <v>1617</v>
      </c>
      <c r="E540" s="2" t="s">
        <v>2700</v>
      </c>
      <c r="F540" s="1">
        <v>2.0</v>
      </c>
      <c r="G540" s="3" t="s">
        <v>530</v>
      </c>
    </row>
    <row r="541">
      <c r="A541" s="3" t="s">
        <v>3585</v>
      </c>
      <c r="B541" s="4" t="str">
        <f>IFERROR(__xludf.DUMMYFUNCTION("GOOGLETRANSLATE(A541, ""en"", ""te"")"),"దల్వి తెల్ల నువ్వులు")</f>
        <v>దల్వి తెల్ల నువ్వులు</v>
      </c>
      <c r="C541" s="4" t="str">
        <f>IFERROR(__xludf.DUMMYFUNCTION("GOOGLETRANSLATE(A541, ""en"", ""hi"")"),"दालवी सफेद तिल")</f>
        <v>दालवी सफेद तिल</v>
      </c>
      <c r="D541" s="2" t="s">
        <v>1617</v>
      </c>
      <c r="E541" s="2" t="s">
        <v>442</v>
      </c>
      <c r="F541" s="1">
        <v>2.0</v>
      </c>
      <c r="G541" s="3" t="s">
        <v>530</v>
      </c>
    </row>
    <row r="542">
      <c r="A542" s="3" t="s">
        <v>3586</v>
      </c>
      <c r="B542" s="4" t="str">
        <f>IFERROR(__xludf.DUMMYFUNCTION("GOOGLETRANSLATE(A542, ""en"", ""te"")"),"లక్ష్మి బ్రౌన్ నువ్వులు")</f>
        <v>లక్ష్మి బ్రౌన్ నువ్వులు</v>
      </c>
      <c r="C542" s="4" t="str">
        <f>IFERROR(__xludf.DUMMYFUNCTION("GOOGLETRANSLATE(A542, ""en"", ""hi"")"),"लक्ष्मी ब्राउन तिल के बीज")</f>
        <v>लक्ष्मी ब्राउन तिल के बीज</v>
      </c>
      <c r="D542" s="2" t="s">
        <v>1617</v>
      </c>
      <c r="E542" s="2" t="s">
        <v>442</v>
      </c>
      <c r="F542" s="1">
        <v>2.0</v>
      </c>
      <c r="G542" s="3" t="s">
        <v>530</v>
      </c>
    </row>
    <row r="543">
      <c r="A543" s="3" t="s">
        <v>3587</v>
      </c>
      <c r="B543" s="4" t="str">
        <f>IFERROR(__xludf.DUMMYFUNCTION("GOOGLETRANSLATE(A543, ""en"", ""te"")"),"గోధుమ రంగు నువ్వులు")</f>
        <v>గోధుమ రంగు నువ్వులు</v>
      </c>
      <c r="C543" s="4" t="str">
        <f>IFERROR(__xludf.DUMMYFUNCTION("GOOGLETRANSLATE(A543, ""en"", ""hi"")"),"भूरे तिल")</f>
        <v>भूरे तिल</v>
      </c>
      <c r="D543" s="2" t="s">
        <v>1617</v>
      </c>
      <c r="E543" s="2" t="s">
        <v>442</v>
      </c>
      <c r="F543" s="1">
        <v>2.0</v>
      </c>
      <c r="G543" s="3" t="s">
        <v>530</v>
      </c>
    </row>
    <row r="544">
      <c r="A544" s="3" t="s">
        <v>3588</v>
      </c>
      <c r="B544" s="4" t="str">
        <f>IFERROR(__xludf.DUMMYFUNCTION("GOOGLETRANSLATE(A544, ""en"", ""te"")"),"పచ్చ యాలకులు ఏలకులు")</f>
        <v>పచ్చ యాలకులు ఏలకులు</v>
      </c>
      <c r="C544" s="4" t="str">
        <f>IFERROR(__xludf.DUMMYFUNCTION("GOOGLETRANSLATE(A544, ""en"", ""hi"")"),"हरी इलायची")</f>
        <v>हरी इलायची</v>
      </c>
      <c r="D544" s="2" t="s">
        <v>2709</v>
      </c>
      <c r="E544" s="2" t="s">
        <v>442</v>
      </c>
      <c r="F544" s="1">
        <v>2.0</v>
      </c>
      <c r="G544" s="3" t="s">
        <v>449</v>
      </c>
    </row>
    <row r="545">
      <c r="A545" s="3" t="s">
        <v>3589</v>
      </c>
      <c r="B545" s="4" t="str">
        <f>IFERROR(__xludf.DUMMYFUNCTION("GOOGLETRANSLATE(A545, ""en"", ""te"")"),"లక్ష్మి యాలకుల విత్తనాలు")</f>
        <v>లక్ష్మి యాలకుల విత్తనాలు</v>
      </c>
      <c r="C545" s="4" t="str">
        <f>IFERROR(__xludf.DUMMYFUNCTION("GOOGLETRANSLATE(A545, ""en"", ""hi"")"),"लक्ष्मी इलायची के बीज")</f>
        <v>लक्ष्मी इलायची के बीज</v>
      </c>
      <c r="D545" s="2" t="s">
        <v>3590</v>
      </c>
      <c r="E545" s="2" t="s">
        <v>442</v>
      </c>
      <c r="F545" s="1">
        <v>2.0</v>
      </c>
      <c r="G545" s="3" t="s">
        <v>449</v>
      </c>
    </row>
    <row r="546">
      <c r="A546" s="3" t="s">
        <v>3591</v>
      </c>
      <c r="B546" s="4" t="str">
        <f>IFERROR(__xludf.DUMMYFUNCTION("GOOGLETRANSLATE(A546, ""en"", ""te"")"),"స్వాద్ దాల్చినచెక్కలు (ఫ్లాట్)")</f>
        <v>స్వాద్ దాల్చినచెక్కలు (ఫ్లాట్)</v>
      </c>
      <c r="C546" s="4" t="str">
        <f>IFERROR(__xludf.DUMMYFUNCTION("GOOGLETRANSLATE(A546, ""en"", ""hi"")"),"स्वाद दालचीनी की छड़ें (चपटी)")</f>
        <v>स्वाद दालचीनी की छड़ें (चपटी)</v>
      </c>
      <c r="D546" s="2" t="s">
        <v>2581</v>
      </c>
      <c r="E546" s="2" t="s">
        <v>442</v>
      </c>
      <c r="F546" s="1">
        <v>2.0</v>
      </c>
      <c r="G546" s="3" t="s">
        <v>449</v>
      </c>
    </row>
    <row r="547">
      <c r="A547" s="3" t="s">
        <v>3592</v>
      </c>
      <c r="B547" s="4" t="str">
        <f>IFERROR(__xludf.DUMMYFUNCTION("GOOGLETRANSLATE(A547, ""en"", ""te"")"),"లక్ష్మి దాల్చినచెక్కలు (ఫ్లాట్) నికర బరువు 7oz (200గ్రా)")</f>
        <v>లక్ష్మి దాల్చినచెక్కలు (ఫ్లాట్) నికర బరువు 7oz (200గ్రా)</v>
      </c>
      <c r="C547" s="4" t="str">
        <f>IFERROR(__xludf.DUMMYFUNCTION("GOOGLETRANSLATE(A547, ""en"", ""hi"")"),"लक्ष्मी दालचीनी की छड़ें (चपटी) शुद्ध वजन 7 औंस (200 ग्राम)")</f>
        <v>लक्ष्मी दालचीनी की छड़ें (चपटी) शुद्ध वजन 7 औंस (200 ग्राम)</v>
      </c>
      <c r="D547" s="2" t="s">
        <v>2581</v>
      </c>
      <c r="E547" s="2" t="s">
        <v>442</v>
      </c>
      <c r="F547" s="1">
        <v>2.0</v>
      </c>
      <c r="G547" s="3" t="s">
        <v>449</v>
      </c>
    </row>
    <row r="548">
      <c r="A548" s="3" t="s">
        <v>3593</v>
      </c>
      <c r="B548" s="4" t="str">
        <f>IFERROR(__xludf.DUMMYFUNCTION("GOOGLETRANSLATE(A548, ""en"", ""te"")"),"దాల్చిన చెక్క చదును")</f>
        <v>దాల్చిన చెక్క చదును</v>
      </c>
      <c r="C548" s="4" t="str">
        <f>IFERROR(__xludf.DUMMYFUNCTION("GOOGLETRANSLATE(A548, ""en"", ""hi"")"),"दालचीनी की छड़ी चपटी")</f>
        <v>दालचीनी की छड़ी चपटी</v>
      </c>
      <c r="D548" s="2" t="s">
        <v>2581</v>
      </c>
      <c r="E548" s="2" t="s">
        <v>442</v>
      </c>
      <c r="F548" s="1">
        <v>2.0</v>
      </c>
      <c r="G548" s="3" t="s">
        <v>449</v>
      </c>
    </row>
    <row r="549">
      <c r="A549" s="3" t="s">
        <v>3594</v>
      </c>
      <c r="B549" s="4" t="str">
        <f>IFERROR(__xludf.DUMMYFUNCTION("GOOGLETRANSLATE(A549, ""en"", ""te"")"),"లక్ష్మి దాల్చినచెక్క పుల్లలు (గుండ్రంగా) నికర బరువు 3.5oz (100గ్రా)")</f>
        <v>లక్ష్మి దాల్చినచెక్క పుల్లలు (గుండ్రంగా) నికర బరువు 3.5oz (100గ్రా)</v>
      </c>
      <c r="C549" s="4" t="str">
        <f>IFERROR(__xludf.DUMMYFUNCTION("GOOGLETRANSLATE(A549, ""en"", ""hi"")"),"लक्ष्मी दालचीनी की छड़ें (गोल) शुद्ध वजन 3.5 औंस (100 ग्राम)")</f>
        <v>लक्ष्मी दालचीनी की छड़ें (गोल) शुद्ध वजन 3.5 औंस (100 ग्राम)</v>
      </c>
      <c r="D549" s="2" t="s">
        <v>2581</v>
      </c>
      <c r="E549" s="2" t="s">
        <v>442</v>
      </c>
      <c r="F549" s="1">
        <v>2.0</v>
      </c>
      <c r="G549" s="3" t="s">
        <v>449</v>
      </c>
    </row>
    <row r="550">
      <c r="A550" s="3" t="s">
        <v>3595</v>
      </c>
      <c r="B550" s="4" t="str">
        <f>IFERROR(__xludf.DUMMYFUNCTION("GOOGLETRANSLATE(A550, ""en"", ""te"")"),"స్వాద్ రోలీ దాల్చినచెక్కలు")</f>
        <v>స్వాద్ రోలీ దాల్చినచెక్కలు</v>
      </c>
      <c r="C550" s="4" t="str">
        <f>IFERROR(__xludf.DUMMYFUNCTION("GOOGLETRANSLATE(A550, ""en"", ""hi"")"),"स्वाद रोली दालचीनी स्टिक्स")</f>
        <v>स्वाद रोली दालचीनी स्टिक्स</v>
      </c>
      <c r="D550" s="2" t="s">
        <v>2581</v>
      </c>
      <c r="E550" s="2" t="s">
        <v>442</v>
      </c>
      <c r="F550" s="1">
        <v>2.0</v>
      </c>
      <c r="G550" s="3" t="s">
        <v>449</v>
      </c>
    </row>
    <row r="551">
      <c r="A551" s="3" t="s">
        <v>3596</v>
      </c>
      <c r="B551" s="4" t="str">
        <f>IFERROR(__xludf.DUMMYFUNCTION("GOOGLETRANSLATE(A551, ""en"", ""te"")"),"స్వాద్ పూర్తి లవంగాలు")</f>
        <v>స్వాద్ పూర్తి లవంగాలు</v>
      </c>
      <c r="C551" s="4" t="str">
        <f>IFERROR(__xludf.DUMMYFUNCTION("GOOGLETRANSLATE(A551, ""en"", ""hi"")"),"स्वाद साबुत लौंग")</f>
        <v>स्वाद साबुत लौंग</v>
      </c>
      <c r="D551" s="5"/>
      <c r="E551" s="2" t="s">
        <v>442</v>
      </c>
      <c r="F551" s="1">
        <v>2.0</v>
      </c>
      <c r="G551" s="3" t="s">
        <v>449</v>
      </c>
    </row>
    <row r="552">
      <c r="A552" s="3" t="s">
        <v>3530</v>
      </c>
      <c r="B552" s="4" t="str">
        <f>IFERROR(__xludf.DUMMYFUNCTION("GOOGLETRANSLATE(A552, ""en"", ""te"")"),"చింగ్స్ వెజ్ హక్కా నూడుల్స్")</f>
        <v>చింగ్స్ వెజ్ హక్కా నూడుల్స్</v>
      </c>
      <c r="C552" s="4" t="str">
        <f>IFERROR(__xludf.DUMMYFUNCTION("GOOGLETRANSLATE(A552, ""en"", ""hi"")"),"चिंग के वेज हक्का नूडल्स")</f>
        <v>चिंग के वेज हक्का नूडल्स</v>
      </c>
      <c r="D552" s="2" t="s">
        <v>3534</v>
      </c>
      <c r="E552" s="2" t="s">
        <v>940</v>
      </c>
      <c r="F552" s="1">
        <v>2.0</v>
      </c>
      <c r="G552" s="3" t="s">
        <v>453</v>
      </c>
    </row>
    <row r="553">
      <c r="A553" s="3" t="s">
        <v>3651</v>
      </c>
      <c r="B553" s="4" t="str">
        <f>IFERROR(__xludf.DUMMYFUNCTION("GOOGLETRANSLATE(A553, ""en"", ""te"")"),"బాబ్కో ఫుడ్స్ ఇంటర్నేషనల్ LLC. ఆనంద్ మసాలా")</f>
        <v>బాబ్కో ఫుడ్స్ ఇంటర్నేషనల్ LLC. ఆనంద్ మసాలా</v>
      </c>
      <c r="C553" s="4" t="str">
        <f>IFERROR(__xludf.DUMMYFUNCTION("GOOGLETRANSLATE(A553, ""en"", ""hi"")"),"बाबको फूड्स इंटरनेशनल एलएलसी. आनंद मसाला")</f>
        <v>बाबको फूड्स इंटरनेशनल एलएलसी. आनंद मसाला</v>
      </c>
      <c r="D553" s="5"/>
      <c r="E553" s="2" t="s">
        <v>442</v>
      </c>
      <c r="F553" s="1">
        <v>2.0</v>
      </c>
      <c r="G553" s="3" t="s">
        <v>453</v>
      </c>
    </row>
    <row r="554">
      <c r="A554" s="3" t="s">
        <v>3673</v>
      </c>
      <c r="B554" s="4" t="str">
        <f>IFERROR(__xludf.DUMMYFUNCTION("GOOGLETRANSLATE(A554, ""en"", ""te"")"),"ఎవరెస్ట్")</f>
        <v>ఎవరెస్ట్</v>
      </c>
      <c r="C554" s="4" t="str">
        <f>IFERROR(__xludf.DUMMYFUNCTION("GOOGLETRANSLATE(A554, ""en"", ""hi"")"),"एवरेस्ट")</f>
        <v>एवरेस्ट</v>
      </c>
      <c r="D554" s="5"/>
      <c r="E554" s="2" t="s">
        <v>2279</v>
      </c>
      <c r="F554" s="1">
        <v>2.0</v>
      </c>
      <c r="G554" s="3" t="s">
        <v>71</v>
      </c>
    </row>
    <row r="555">
      <c r="A555" s="3" t="s">
        <v>3683</v>
      </c>
      <c r="B555" s="4" t="str">
        <f>IFERROR(__xludf.DUMMYFUNCTION("GOOGLETRANSLATE(A555, ""en"", ""te"")"),"శ్వేత తెలుగు")</f>
        <v>శ్వేత తెలుగు</v>
      </c>
      <c r="C555" s="4" t="str">
        <f>IFERROR(__xludf.DUMMYFUNCTION("GOOGLETRANSLATE(A555, ""en"", ""hi"")"),"श्वेता तेलुगु")</f>
        <v>श्वेता तेलुगु</v>
      </c>
      <c r="D555" s="2" t="s">
        <v>1655</v>
      </c>
      <c r="E555" s="2" t="s">
        <v>2279</v>
      </c>
      <c r="F555" s="1">
        <v>2.0</v>
      </c>
      <c r="G555" s="3" t="s">
        <v>71</v>
      </c>
    </row>
    <row r="556">
      <c r="A556" s="3" t="s">
        <v>3686</v>
      </c>
      <c r="B556" s="4" t="str">
        <f>IFERROR(__xludf.DUMMYFUNCTION("GOOGLETRANSLATE(A556, ""en"", ""te"")"),"శ్వేత తెలుగు పుట్నాల కారం పొడి")</f>
        <v>శ్వేత తెలుగు పుట్నాల కారం పొడి</v>
      </c>
      <c r="C556" s="4" t="str">
        <f>IFERROR(__xludf.DUMMYFUNCTION("GOOGLETRANSLATE(A556, ""en"", ""hi"")"),"स्वेता तेलुगु पुत्नाला करम पोदी")</f>
        <v>स्वेता तेलुगु पुत्नाला करम पोदी</v>
      </c>
      <c r="D556" s="5"/>
      <c r="E556" s="2" t="s">
        <v>442</v>
      </c>
      <c r="F556" s="1">
        <v>2.0</v>
      </c>
      <c r="G556" s="3" t="s">
        <v>76</v>
      </c>
    </row>
    <row r="557">
      <c r="A557" s="3" t="s">
        <v>3688</v>
      </c>
      <c r="B557" s="4" t="str">
        <f>IFERROR(__xludf.DUMMYFUNCTION("GOOGLETRANSLATE(A557, ""en"", ""te"")"),"శ్వేత తెలుగు చాట్ మసాలా")</f>
        <v>శ్వేత తెలుగు చాట్ మసాలా</v>
      </c>
      <c r="C557" s="4" t="str">
        <f>IFERROR(__xludf.DUMMYFUNCTION("GOOGLETRANSLATE(A557, ""en"", ""hi"")"),"श्वेता तेलुगु चाट मसाला")</f>
        <v>श्वेता तेलुगु चाट मसाला</v>
      </c>
      <c r="D557" s="2" t="s">
        <v>1655</v>
      </c>
      <c r="E557" s="2" t="s">
        <v>442</v>
      </c>
      <c r="F557" s="1">
        <v>2.0</v>
      </c>
      <c r="G557" s="3" t="s">
        <v>76</v>
      </c>
    </row>
    <row r="558">
      <c r="A558" s="3" t="s">
        <v>3751</v>
      </c>
      <c r="B558" s="4" t="str">
        <f>IFERROR(__xludf.DUMMYFUNCTION("GOOGLETRANSLATE(A558, ""en"", ""te"")"),"శ్వేత తెలుగు చికెన్ మసాలా")</f>
        <v>శ్వేత తెలుగు చికెన్ మసాలా</v>
      </c>
      <c r="C558" s="4" t="str">
        <f>IFERROR(__xludf.DUMMYFUNCTION("GOOGLETRANSLATE(A558, ""en"", ""hi"")"),"श्वेता तेलुगु चिकन मसाला")</f>
        <v>श्वेता तेलुगु चिकन मसाला</v>
      </c>
      <c r="D558" s="5"/>
      <c r="E558" s="2" t="s">
        <v>442</v>
      </c>
      <c r="F558" s="1">
        <v>2.0</v>
      </c>
      <c r="G558" s="3" t="s">
        <v>76</v>
      </c>
    </row>
    <row r="559">
      <c r="A559" s="3" t="s">
        <v>3765</v>
      </c>
      <c r="B559" s="4" t="str">
        <f>IFERROR(__xludf.DUMMYFUNCTION("GOOGLETRANSLATE(A559, ""en"", ""te"")"),"శ్వేత తెలుగు చికెన్ 65 మసాలా")</f>
        <v>శ్వేత తెలుగు చికెన్ 65 మసాలా</v>
      </c>
      <c r="C559" s="4" t="str">
        <f>IFERROR(__xludf.DUMMYFUNCTION("GOOGLETRANSLATE(A559, ""en"", ""hi"")"),"श्वेता तेलुगु चिकन 65 मसाला")</f>
        <v>श्वेता तेलुगु चिकन 65 मसाला</v>
      </c>
      <c r="D559" s="5"/>
      <c r="E559" s="2" t="s">
        <v>442</v>
      </c>
      <c r="F559" s="1">
        <v>2.0</v>
      </c>
      <c r="G559" s="3" t="s">
        <v>76</v>
      </c>
    </row>
    <row r="560">
      <c r="A560" s="3" t="s">
        <v>3773</v>
      </c>
      <c r="B560" s="4" t="str">
        <f>IFERROR(__xludf.DUMMYFUNCTION("GOOGLETRANSLATE(A560, ""en"", ""te"")"),"శ్వేత తెలుగు హైదరాబాద్")</f>
        <v>శ్వేత తెలుగు హైదరాబాద్</v>
      </c>
      <c r="C560" s="4" t="str">
        <f>IFERROR(__xludf.DUMMYFUNCTION("GOOGLETRANSLATE(A560, ""en"", ""hi"")"),"श्वेता तेलुगु हैदराबादी")</f>
        <v>श्वेता तेलुगु हैदराबादी</v>
      </c>
      <c r="D560" s="5"/>
      <c r="E560" s="2" t="s">
        <v>442</v>
      </c>
      <c r="F560" s="1">
        <v>2.0</v>
      </c>
      <c r="G560" s="3" t="s">
        <v>76</v>
      </c>
    </row>
    <row r="561">
      <c r="A561" s="3" t="s">
        <v>3782</v>
      </c>
      <c r="B561" s="4" t="str">
        <f>IFERROR(__xludf.DUMMYFUNCTION("GOOGLETRANSLATE(A561, ""en"", ""te"")"),"తెలుగు అవిరిగింజల కారం పొడి")</f>
        <v>తెలుగు అవిరిగింజల కారం పొడి</v>
      </c>
      <c r="C561" s="4" t="str">
        <f>IFERROR(__xludf.DUMMYFUNCTION("GOOGLETRANSLATE(A561, ""en"", ""hi"")"),"तेलुगु अविरिगिंजला करम पोदी")</f>
        <v>तेलुगु अविरिगिंजला करम पोदी</v>
      </c>
      <c r="D561" s="5"/>
      <c r="E561" s="2" t="s">
        <v>442</v>
      </c>
      <c r="F561" s="1">
        <v>2.0</v>
      </c>
      <c r="G561" s="3" t="s">
        <v>76</v>
      </c>
    </row>
    <row r="562">
      <c r="A562" s="3" t="s">
        <v>3787</v>
      </c>
      <c r="B562" s="4" t="str">
        <f>IFERROR(__xludf.DUMMYFUNCTION("GOOGLETRANSLATE(A562, ""en"", ""te"")"),"తూర్పు చేపల మసాలా")</f>
        <v>తూర్పు చేపల మసాలా</v>
      </c>
      <c r="C562" s="4" t="str">
        <f>IFERROR(__xludf.DUMMYFUNCTION("GOOGLETRANSLATE(A562, ""en"", ""hi"")"),"पूर्वी मछली मसाला")</f>
        <v>पूर्वी मछली मसाला</v>
      </c>
      <c r="D562" s="5"/>
      <c r="E562" s="2" t="s">
        <v>442</v>
      </c>
      <c r="F562" s="1">
        <v>2.0</v>
      </c>
      <c r="G562" s="3" t="s">
        <v>76</v>
      </c>
    </row>
    <row r="563">
      <c r="A563" s="3" t="s">
        <v>3815</v>
      </c>
      <c r="B563" s="4" t="str">
        <f>IFERROR(__xludf.DUMMYFUNCTION("GOOGLETRANSLATE(A563, ""en"", ""te"")"),"తూర్పు కోడి")</f>
        <v>తూర్పు కోడి</v>
      </c>
      <c r="C563" s="4" t="str">
        <f>IFERROR(__xludf.DUMMYFUNCTION("GOOGLETRANSLATE(A563, ""en"", ""hi"")"),"पूर्वी चिकन")</f>
        <v>पूर्वी चिकन</v>
      </c>
      <c r="D563" s="5"/>
      <c r="E563" s="2" t="s">
        <v>1038</v>
      </c>
      <c r="F563" s="1">
        <v>2.0</v>
      </c>
      <c r="G563" s="3" t="s">
        <v>76</v>
      </c>
    </row>
    <row r="564">
      <c r="A564" s="3" t="s">
        <v>3821</v>
      </c>
      <c r="B564" s="4" t="str">
        <f>IFERROR(__xludf.DUMMYFUNCTION("GOOGLETRANSLATE(A564, ""en"", ""te"")"),"తూర్పు")</f>
        <v>తూర్పు</v>
      </c>
      <c r="C564" s="4" t="str">
        <f>IFERROR(__xludf.DUMMYFUNCTION("GOOGLETRANSLATE(A564, ""en"", ""hi"")"),"पूर्वी")</f>
        <v>पूर्वी</v>
      </c>
      <c r="D564" s="5"/>
      <c r="E564" s="2" t="s">
        <v>2279</v>
      </c>
      <c r="F564" s="1">
        <v>2.0</v>
      </c>
      <c r="G564" s="3" t="s">
        <v>76</v>
      </c>
    </row>
    <row r="565">
      <c r="A565" s="3" t="s">
        <v>3826</v>
      </c>
      <c r="B565" s="4" t="str">
        <f>IFERROR(__xludf.DUMMYFUNCTION("GOOGLETRANSLATE(A565, ""en"", ""te"")"),"స్వాద్ తెల్ల నువ్వులు")</f>
        <v>స్వాద్ తెల్ల నువ్వులు</v>
      </c>
      <c r="C565" s="4" t="str">
        <f>IFERROR(__xludf.DUMMYFUNCTION("GOOGLETRANSLATE(A565, ""en"", ""hi"")"),"स्वाद सफेद तिल")</f>
        <v>स्वाद सफेद तिल</v>
      </c>
      <c r="D565" s="2" t="s">
        <v>1617</v>
      </c>
      <c r="E565" s="2" t="s">
        <v>442</v>
      </c>
      <c r="F565" s="1">
        <v>2.0</v>
      </c>
      <c r="G565" s="3" t="s">
        <v>85</v>
      </c>
    </row>
    <row r="566">
      <c r="A566" s="3" t="s">
        <v>3834</v>
      </c>
      <c r="B566" s="4" t="str">
        <f>IFERROR(__xludf.DUMMYFUNCTION("GOOGLETRANSLATE(A566, ""en"", ""te"")"),"లక్ష్మి ఆర్గానిక్ నువ్వులు")</f>
        <v>లక్ష్మి ఆర్గానిక్ నువ్వులు</v>
      </c>
      <c r="C566" s="4" t="str">
        <f>IFERROR(__xludf.DUMMYFUNCTION("GOOGLETRANSLATE(A566, ""en"", ""hi"")"),"लक्ष्मी ऑर्गेनिक तिल")</f>
        <v>लक्ष्मी ऑर्गेनिक तिल</v>
      </c>
      <c r="D566" s="2" t="s">
        <v>1617</v>
      </c>
      <c r="E566" s="2" t="s">
        <v>442</v>
      </c>
      <c r="F566" s="1">
        <v>2.0</v>
      </c>
      <c r="G566" s="3" t="s">
        <v>85</v>
      </c>
    </row>
    <row r="567">
      <c r="A567" s="3" t="s">
        <v>3840</v>
      </c>
      <c r="B567" s="4" t="str">
        <f>IFERROR(__xludf.DUMMYFUNCTION("GOOGLETRANSLATE(A567, ""en"", ""te"")"),"స్వాద్ నువ్వులు (తెలుపు)")</f>
        <v>స్వాద్ నువ్వులు (తెలుపు)</v>
      </c>
      <c r="C567" s="4" t="str">
        <f>IFERROR(__xludf.DUMMYFUNCTION("GOOGLETRANSLATE(A567, ""en"", ""hi"")"),"स्वाद तिल (सफेद)")</f>
        <v>स्वाद तिल (सफेद)</v>
      </c>
      <c r="D567" s="5"/>
      <c r="E567" s="2" t="s">
        <v>442</v>
      </c>
      <c r="F567" s="1">
        <v>2.0</v>
      </c>
      <c r="G567" s="3" t="s">
        <v>85</v>
      </c>
    </row>
    <row r="568">
      <c r="A568" s="3" t="s">
        <v>3844</v>
      </c>
      <c r="B568" s="4" t="str">
        <f>IFERROR(__xludf.DUMMYFUNCTION("GOOGLETRANSLATE(A568, ""en"", ""te"")"),"స్వాద్ నువ్వులు")</f>
        <v>స్వాద్ నువ్వులు</v>
      </c>
      <c r="C568" s="4" t="str">
        <f>IFERROR(__xludf.DUMMYFUNCTION("GOOGLETRANSLATE(A568, ""en"", ""hi"")"),"स्वाद तिल के बीज")</f>
        <v>स्वाद तिल के बीज</v>
      </c>
      <c r="D568" s="2" t="s">
        <v>1617</v>
      </c>
      <c r="E568" s="2" t="s">
        <v>442</v>
      </c>
      <c r="F568" s="1">
        <v>2.0</v>
      </c>
      <c r="G568" s="3" t="s">
        <v>85</v>
      </c>
    </row>
    <row r="569">
      <c r="A569" s="3" t="s">
        <v>3849</v>
      </c>
      <c r="B569" s="4" t="str">
        <f>IFERROR(__xludf.DUMMYFUNCTION("GOOGLETRANSLATE(A569, ""en"", ""te"")"),"నల్ల నువ్వులు")</f>
        <v>నల్ల నువ్వులు</v>
      </c>
      <c r="C569" s="4" t="str">
        <f>IFERROR(__xludf.DUMMYFUNCTION("GOOGLETRANSLATE(A569, ""en"", ""hi"")"),"काले तिल")</f>
        <v>काले तिल</v>
      </c>
      <c r="D569" s="2" t="s">
        <v>1617</v>
      </c>
      <c r="E569" s="2" t="s">
        <v>2700</v>
      </c>
      <c r="F569" s="1">
        <v>2.0</v>
      </c>
      <c r="G569" s="3" t="s">
        <v>85</v>
      </c>
    </row>
    <row r="570">
      <c r="A570" s="3" t="s">
        <v>3855</v>
      </c>
      <c r="B570" s="4" t="str">
        <f>IFERROR(__xludf.DUMMYFUNCTION("GOOGLETRANSLATE(A570, ""en"", ""te"")"),"ఆలా నువ్వులు")</f>
        <v>ఆలా నువ్వులు</v>
      </c>
      <c r="C570" s="4" t="str">
        <f>IFERROR(__xludf.DUMMYFUNCTION("GOOGLETRANSLATE(A570, ""en"", ""hi"")"),"आला तिल के बीज")</f>
        <v>आला तिल के बीज</v>
      </c>
      <c r="D570" s="2" t="s">
        <v>1617</v>
      </c>
      <c r="E570" s="2" t="s">
        <v>2700</v>
      </c>
      <c r="F570" s="1">
        <v>2.0</v>
      </c>
      <c r="G570" s="3" t="s">
        <v>85</v>
      </c>
    </row>
    <row r="571">
      <c r="A571" s="3" t="s">
        <v>3859</v>
      </c>
      <c r="B571" s="4" t="str">
        <f>IFERROR(__xludf.DUMMYFUNCTION("GOOGLETRANSLATE(A571, ""en"", ""te"")"),"రాచవ్ నువ్వులు (నలుపు)")</f>
        <v>రాచవ్ నువ్వులు (నలుపు)</v>
      </c>
      <c r="C571" s="4" t="str">
        <f>IFERROR(__xludf.DUMMYFUNCTION("GOOGLETRANSLATE(A571, ""en"", ""hi"")"),"राचाव तिल (काले)")</f>
        <v>राचाव तिल (काले)</v>
      </c>
      <c r="D571" s="5"/>
      <c r="E571" s="2" t="s">
        <v>2700</v>
      </c>
      <c r="F571" s="1">
        <v>2.0</v>
      </c>
      <c r="G571" s="3" t="s">
        <v>85</v>
      </c>
    </row>
    <row r="572">
      <c r="A572" s="3" t="s">
        <v>3860</v>
      </c>
      <c r="B572" s="4" t="str">
        <f>IFERROR(__xludf.DUMMYFUNCTION("GOOGLETRANSLATE(A572, ""en"", ""te"")"),"స్వాద్ చనా పప్పు")</f>
        <v>స్వాద్ చనా పప్పు</v>
      </c>
      <c r="C572" s="4" t="str">
        <f>IFERROR(__xludf.DUMMYFUNCTION("GOOGLETRANSLATE(A572, ""en"", ""hi"")"),"स्वाद चना दाल")</f>
        <v>स्वाद चना दाल</v>
      </c>
      <c r="D572" s="2" t="s">
        <v>3861</v>
      </c>
      <c r="E572" s="2" t="s">
        <v>1038</v>
      </c>
      <c r="F572" s="1">
        <v>2.0</v>
      </c>
      <c r="G572" s="3" t="s">
        <v>85</v>
      </c>
    </row>
    <row r="573">
      <c r="A573" s="3" t="s">
        <v>3862</v>
      </c>
      <c r="B573" s="4" t="str">
        <f>IFERROR(__xludf.DUMMYFUNCTION("GOOGLETRANSLATE(A573, ""en"", ""te"")"),"స్వాద్ దాల్చినచెక్కలు (ఫ్లాట్)")</f>
        <v>స్వాద్ దాల్చినచెక్కలు (ఫ్లాట్)</v>
      </c>
      <c r="C573" s="4" t="str">
        <f>IFERROR(__xludf.DUMMYFUNCTION("GOOGLETRANSLATE(A573, ""en"", ""hi"")"),"स्वाद दालचीनी की छड़ें (चपटी)")</f>
        <v>स्वाद दालचीनी की छड़ें (चपटी)</v>
      </c>
      <c r="D573" s="2" t="s">
        <v>2581</v>
      </c>
      <c r="E573" s="2" t="s">
        <v>442</v>
      </c>
      <c r="F573" s="1">
        <v>2.0</v>
      </c>
      <c r="G573" s="3" t="s">
        <v>114</v>
      </c>
    </row>
    <row r="574">
      <c r="A574" s="3" t="s">
        <v>3864</v>
      </c>
      <c r="B574" s="4" t="str">
        <f>IFERROR(__xludf.DUMMYFUNCTION("GOOGLETRANSLATE(A574, ""en"", ""te"")"),"స్వాద్ దాల్చినచెక్కలు")</f>
        <v>స్వాద్ దాల్చినచెక్కలు</v>
      </c>
      <c r="C574" s="4" t="str">
        <f>IFERROR(__xludf.DUMMYFUNCTION("GOOGLETRANSLATE(A574, ""en"", ""hi"")"),"स्वाद दालचीनी की छड़ें")</f>
        <v>स्वाद दालचीनी की छड़ें</v>
      </c>
      <c r="D574" s="2" t="s">
        <v>2581</v>
      </c>
      <c r="E574" s="2" t="s">
        <v>442</v>
      </c>
      <c r="F574" s="1">
        <v>2.0</v>
      </c>
      <c r="G574" s="3" t="s">
        <v>114</v>
      </c>
    </row>
    <row r="575">
      <c r="A575" s="3" t="s">
        <v>3868</v>
      </c>
      <c r="B575" s="4" t="str">
        <f>IFERROR(__xludf.DUMMYFUNCTION("GOOGLETRANSLATE(A575, ""en"", ""te"")"),"గుండ్రని మిరపకాయలు")</f>
        <v>గుండ్రని మిరపకాయలు</v>
      </c>
      <c r="C575" s="4" t="str">
        <f>IFERROR(__xludf.DUMMYFUNCTION("GOOGLETRANSLATE(A575, ""en"", ""hi"")"),"गोल मिर्च")</f>
        <v>गोल मिर्च</v>
      </c>
      <c r="D575" s="2" t="s">
        <v>3872</v>
      </c>
      <c r="E575" s="2" t="s">
        <v>442</v>
      </c>
      <c r="F575" s="1">
        <v>2.0</v>
      </c>
      <c r="G575" s="3" t="s">
        <v>114</v>
      </c>
    </row>
    <row r="576">
      <c r="A576" s="3" t="s">
        <v>3874</v>
      </c>
      <c r="B576" s="4" t="str">
        <f>IFERROR(__xludf.DUMMYFUNCTION("GOOGLETRANSLATE(A576, ""en"", ""te"")"),"స్వాద్ మొత్తం లవంగాలు")</f>
        <v>స్వాద్ మొత్తం లవంగాలు</v>
      </c>
      <c r="C576" s="4" t="str">
        <f>IFERROR(__xludf.DUMMYFUNCTION("GOOGLETRANSLATE(A576, ""en"", ""hi"")"),"स्वाद साबुत लौंग")</f>
        <v>स्वाद साबुत लौंग</v>
      </c>
      <c r="D576" s="5"/>
      <c r="E576" s="2" t="s">
        <v>442</v>
      </c>
      <c r="F576" s="1">
        <v>2.0</v>
      </c>
      <c r="G576" s="3" t="s">
        <v>114</v>
      </c>
    </row>
    <row r="577">
      <c r="A577" s="3" t="s">
        <v>3879</v>
      </c>
      <c r="B577" s="4" t="str">
        <f>IFERROR(__xludf.DUMMYFUNCTION("GOOGLETRANSLATE(A577, ""en"", ""te"")"),"మొత్తం లవంగాలు")</f>
        <v>మొత్తం లవంగాలు</v>
      </c>
      <c r="C577" s="4" t="str">
        <f>IFERROR(__xludf.DUMMYFUNCTION("GOOGLETRANSLATE(A577, ""en"", ""hi"")"),"साबुत लौंग")</f>
        <v>साबुत लौंग</v>
      </c>
      <c r="D577" s="5"/>
      <c r="E577" s="2" t="s">
        <v>442</v>
      </c>
      <c r="F577" s="1">
        <v>2.0</v>
      </c>
      <c r="G577" s="3" t="s">
        <v>114</v>
      </c>
    </row>
    <row r="578">
      <c r="A578" s="3" t="s">
        <v>3884</v>
      </c>
      <c r="B578" s="4" t="str">
        <f>IFERROR(__xludf.DUMMYFUNCTION("GOOGLETRANSLATE(A578, ""en"", ""te"")"),"స్వాద్ లవంగ పొడి")</f>
        <v>స్వాద్ లవంగ పొడి</v>
      </c>
      <c r="C578" s="4" t="str">
        <f>IFERROR(__xludf.DUMMYFUNCTION("GOOGLETRANSLATE(A578, ""en"", ""hi"")"),"स्वाद लौंग पाउडर")</f>
        <v>स्वाद लौंग पाउडर</v>
      </c>
      <c r="D578" s="2" t="s">
        <v>3424</v>
      </c>
      <c r="E578" s="2" t="s">
        <v>442</v>
      </c>
      <c r="F578" s="1">
        <v>2.0</v>
      </c>
      <c r="G578" s="3" t="s">
        <v>114</v>
      </c>
    </row>
    <row r="579">
      <c r="A579" s="3" t="s">
        <v>3889</v>
      </c>
      <c r="B579" s="4" t="str">
        <f>IFERROR(__xludf.DUMMYFUNCTION("GOOGLETRANSLATE(A579, ""en"", ""te"")"),"స్వాద్ కొత్తిమీర విత్తనాలు")</f>
        <v>స్వాద్ కొత్తిమీర విత్తనాలు</v>
      </c>
      <c r="C579" s="4" t="str">
        <f>IFERROR(__xludf.DUMMYFUNCTION("GOOGLETRANSLATE(A579, ""en"", ""hi"")"),"स्वाद धनिया के बीज")</f>
        <v>स्वाद धनिया के बीज</v>
      </c>
      <c r="D579" s="2" t="s">
        <v>2644</v>
      </c>
      <c r="E579" s="2" t="s">
        <v>442</v>
      </c>
      <c r="F579" s="1">
        <v>2.0</v>
      </c>
      <c r="G579" s="3" t="s">
        <v>114</v>
      </c>
    </row>
    <row r="580">
      <c r="A580" s="3" t="s">
        <v>3898</v>
      </c>
      <c r="B580" s="4" t="str">
        <f>IFERROR(__xludf.DUMMYFUNCTION("GOOGLETRANSLATE(A580, ""en"", ""te"")"),"కొత్తిమీర గింజలు")</f>
        <v>కొత్తిమీర గింజలు</v>
      </c>
      <c r="C580" s="4" t="str">
        <f>IFERROR(__xludf.DUMMYFUNCTION("GOOGLETRANSLATE(A580, ""en"", ""hi"")"),"धनिये के बीज")</f>
        <v>धनिये के बीज</v>
      </c>
      <c r="D580" s="2" t="s">
        <v>3902</v>
      </c>
      <c r="E580" s="2" t="s">
        <v>442</v>
      </c>
      <c r="F580" s="1">
        <v>2.0</v>
      </c>
      <c r="G580" s="3" t="s">
        <v>114</v>
      </c>
    </row>
    <row r="581">
      <c r="A581" s="3" t="s">
        <v>3905</v>
      </c>
      <c r="B581" s="4" t="str">
        <f>IFERROR(__xludf.DUMMYFUNCTION("GOOGLETRANSLATE(A581, ""en"", ""te"")"),"నిస్సిన్ వెజ్ నూడుల్స్")</f>
        <v>నిస్సిన్ వెజ్ నూడుల్స్</v>
      </c>
      <c r="C581" s="4" t="str">
        <f>IFERROR(__xludf.DUMMYFUNCTION("GOOGLETRANSLATE(A581, ""en"", ""hi"")"),"निसिन वेज नूडल्स")</f>
        <v>निसिन वेज नूडल्स</v>
      </c>
      <c r="D581" s="2" t="s">
        <v>2291</v>
      </c>
      <c r="E581" s="2" t="s">
        <v>2649</v>
      </c>
      <c r="F581" s="1">
        <v>2.0</v>
      </c>
      <c r="G581" s="3" t="s">
        <v>10</v>
      </c>
    </row>
    <row r="582">
      <c r="A582" s="3" t="s">
        <v>3910</v>
      </c>
      <c r="B582" s="4" t="str">
        <f>IFERROR(__xludf.DUMMYFUNCTION("GOOGLETRANSLATE(A582, ""en"", ""te"")"),"రుచికరమైన తక్షణ నూడుల్స్")</f>
        <v>రుచికరమైన తక్షణ నూడుల్స్</v>
      </c>
      <c r="C582" s="4" t="str">
        <f>IFERROR(__xludf.DUMMYFUNCTION("GOOGLETRANSLATE(A582, ""en"", ""hi"")"),"स्वादिष्ट इंस्टेंट नूडल्स")</f>
        <v>स्वादिष्ट इंस्टेंट नूडल्स</v>
      </c>
      <c r="D582" s="2" t="s">
        <v>2314</v>
      </c>
      <c r="E582" s="2" t="s">
        <v>2649</v>
      </c>
      <c r="F582" s="1">
        <v>2.0</v>
      </c>
      <c r="G582" s="3" t="s">
        <v>10</v>
      </c>
    </row>
    <row r="583">
      <c r="A583" s="3" t="s">
        <v>3917</v>
      </c>
      <c r="B583" s="4" t="str">
        <f>IFERROR(__xludf.DUMMYFUNCTION("GOOGLETRANSLATE(A583, ""en"", ""te"")"),"టీ సమయం")</f>
        <v>టీ సమయం</v>
      </c>
      <c r="C583" s="4" t="str">
        <f>IFERROR(__xludf.DUMMYFUNCTION("GOOGLETRANSLATE(A583, ""en"", ""hi"")"),"चाय का समय")</f>
        <v>चाय का समय</v>
      </c>
      <c r="D583" s="2" t="s">
        <v>3925</v>
      </c>
      <c r="E583" s="2" t="s">
        <v>3927</v>
      </c>
      <c r="F583" s="1">
        <v>2.0</v>
      </c>
      <c r="G583" s="3" t="s">
        <v>10</v>
      </c>
    </row>
    <row r="584">
      <c r="A584" s="3" t="s">
        <v>3929</v>
      </c>
      <c r="B584" s="4" t="str">
        <f>IFERROR(__xludf.DUMMYFUNCTION("GOOGLETRANSLATE(A584, ""en"", ""te"")"),"టాప్ రామెన్")</f>
        <v>టాప్ రామెన్</v>
      </c>
      <c r="C584" s="4" t="str">
        <f>IFERROR(__xludf.DUMMYFUNCTION("GOOGLETRANSLATE(A584, ""en"", ""hi"")"),"टॉप रामेन")</f>
        <v>टॉप रामेन</v>
      </c>
      <c r="D584" s="5"/>
      <c r="E584" s="2" t="s">
        <v>2649</v>
      </c>
      <c r="F584" s="1">
        <v>2.0</v>
      </c>
      <c r="G584" s="3" t="s">
        <v>10</v>
      </c>
    </row>
    <row r="585">
      <c r="A585" s="3" t="s">
        <v>3934</v>
      </c>
      <c r="B585" s="4" t="str">
        <f>IFERROR(__xludf.DUMMYFUNCTION("GOOGLETRANSLATE(A585, ""en"", ""te"")"),"నిస్సిన్ టాప్ రామెన్")</f>
        <v>నిస్సిన్ టాప్ రామెన్</v>
      </c>
      <c r="C585" s="4" t="str">
        <f>IFERROR(__xludf.DUMMYFUNCTION("GOOGLETRANSLATE(A585, ""en"", ""hi"")"),"निसिन टॉप रामेन")</f>
        <v>निसिन टॉप रामेन</v>
      </c>
      <c r="D585" s="5"/>
      <c r="E585" s="2" t="s">
        <v>2649</v>
      </c>
      <c r="F585" s="1">
        <v>2.0</v>
      </c>
      <c r="G585" s="3" t="s">
        <v>10</v>
      </c>
    </row>
    <row r="586">
      <c r="A586" s="3" t="s">
        <v>3938</v>
      </c>
      <c r="B586" s="4" t="str">
        <f>IFERROR(__xludf.DUMMYFUNCTION("GOOGLETRANSLATE(A586, ""en"", ""te"")"),"ఎవరెస్ట్ బ్లాక్ పెప్పర్")</f>
        <v>ఎవరెస్ట్ బ్లాక్ పెప్పర్</v>
      </c>
      <c r="C586" s="4" t="str">
        <f>IFERROR(__xludf.DUMMYFUNCTION("GOOGLETRANSLATE(A586, ""en"", ""hi"")"),"एवरेस्ट काली मिर्च")</f>
        <v>एवरेस्ट काली मिर्च</v>
      </c>
      <c r="D586" s="5"/>
      <c r="E586" s="2" t="s">
        <v>442</v>
      </c>
      <c r="F586" s="1">
        <v>2.0</v>
      </c>
      <c r="G586" s="3" t="s">
        <v>418</v>
      </c>
    </row>
    <row r="587">
      <c r="A587" s="3" t="s">
        <v>3989</v>
      </c>
      <c r="B587" s="4" t="str">
        <f>IFERROR(__xludf.DUMMYFUNCTION("GOOGLETRANSLATE(A587, ""en"", ""te"")"),"ఎర్ర మిరప పొడి")</f>
        <v>ఎర్ర మిరప పొడి</v>
      </c>
      <c r="C587" s="4" t="str">
        <f>IFERROR(__xludf.DUMMYFUNCTION("GOOGLETRANSLATE(A587, ""en"", ""hi"")"),"लाल मिर्च पाउडर")</f>
        <v>लाल मिर्च पाउडर</v>
      </c>
      <c r="D587" s="2" t="s">
        <v>3996</v>
      </c>
      <c r="E587" s="2" t="s">
        <v>442</v>
      </c>
      <c r="F587" s="1">
        <v>2.0</v>
      </c>
      <c r="G587" s="3" t="s">
        <v>418</v>
      </c>
    </row>
    <row r="588">
      <c r="A588" s="3" t="s">
        <v>3998</v>
      </c>
      <c r="B588" s="4" t="str">
        <f>IFERROR(__xludf.DUMMYFUNCTION("GOOGLETRANSLATE(A588, ""en"", ""te"")"),"షాన్ జఫ్రాన్ గరం మసాలా పౌడర్")</f>
        <v>షాన్ జఫ్రాన్ గరం మసాలా పౌడర్</v>
      </c>
      <c r="C588" s="4" t="str">
        <f>IFERROR(__xludf.DUMMYFUNCTION("GOOGLETRANSLATE(A588, ""en"", ""hi"")"),"शान ज़फ़रान गरम मसाला पाउडर")</f>
        <v>शान ज़फ़रान गरम मसाला पाउडर</v>
      </c>
      <c r="D588" s="5"/>
      <c r="E588" s="2" t="s">
        <v>442</v>
      </c>
      <c r="F588" s="1">
        <v>2.0</v>
      </c>
      <c r="G588" s="3" t="s">
        <v>418</v>
      </c>
    </row>
    <row r="589">
      <c r="A589" s="3" t="s">
        <v>4003</v>
      </c>
      <c r="B589" s="4" t="str">
        <f>IFERROR(__xludf.DUMMYFUNCTION("GOOGLETRANSLATE(A589, ""en"", ""te"")"),"నల్ల మిరియాల పొడి")</f>
        <v>నల్ల మిరియాల పొడి</v>
      </c>
      <c r="C589" s="4" t="str">
        <f>IFERROR(__xludf.DUMMYFUNCTION("GOOGLETRANSLATE(A589, ""en"", ""hi"")"),"काली मिर्च पाउडर")</f>
        <v>काली मिर्च पाउडर</v>
      </c>
      <c r="D589" s="5"/>
      <c r="E589" s="2" t="s">
        <v>442</v>
      </c>
      <c r="F589" s="1">
        <v>2.0</v>
      </c>
      <c r="G589" s="3" t="s">
        <v>418</v>
      </c>
    </row>
    <row r="590">
      <c r="A590" s="3" t="s">
        <v>4004</v>
      </c>
      <c r="B590" s="4" t="str">
        <f>IFERROR(__xludf.DUMMYFUNCTION("GOOGLETRANSLATE(A590, ""en"", ""te"")"),"షాన్")</f>
        <v>షాన్</v>
      </c>
      <c r="C590" s="4" t="str">
        <f>IFERROR(__xludf.DUMMYFUNCTION("GOOGLETRANSLATE(A590, ""en"", ""hi"")"),"शान")</f>
        <v>शान</v>
      </c>
      <c r="D590" s="5"/>
      <c r="E590" s="2" t="s">
        <v>2279</v>
      </c>
      <c r="F590" s="1">
        <v>2.0</v>
      </c>
      <c r="G590" s="3" t="s">
        <v>418</v>
      </c>
    </row>
    <row r="591">
      <c r="A591" s="3" t="s">
        <v>4005</v>
      </c>
      <c r="B591" s="4" t="str">
        <f>IFERROR(__xludf.DUMMYFUNCTION("GOOGLETRANSLATE(A591, ""en"", ""te"")"),"టిక్కా సీఖ్ కబాబ్")</f>
        <v>టిక్కా సీఖ్ కబాబ్</v>
      </c>
      <c r="C591" s="4" t="str">
        <f>IFERROR(__xludf.DUMMYFUNCTION("GOOGLETRANSLATE(A591, ""en"", ""hi"")"),"टिक्का सीख कबाब")</f>
        <v>टिक्का सीख कबाब</v>
      </c>
      <c r="D591" s="2" t="s">
        <v>4006</v>
      </c>
      <c r="E591" s="2" t="s">
        <v>1294</v>
      </c>
      <c r="F591" s="1">
        <v>2.0</v>
      </c>
      <c r="G591" s="3" t="s">
        <v>418</v>
      </c>
    </row>
    <row r="592">
      <c r="A592" s="3" t="s">
        <v>3787</v>
      </c>
      <c r="B592" s="4" t="str">
        <f>IFERROR(__xludf.DUMMYFUNCTION("GOOGLETRANSLATE(A592, ""en"", ""te"")"),"తూర్పు చేపల మసాలా")</f>
        <v>తూర్పు చేపల మసాలా</v>
      </c>
      <c r="C592" s="4" t="str">
        <f>IFERROR(__xludf.DUMMYFUNCTION("GOOGLETRANSLATE(A592, ""en"", ""hi"")"),"पूर्वी मछली मसाला")</f>
        <v>पूर्वी मछली मसाला</v>
      </c>
      <c r="D592" s="5"/>
      <c r="E592" s="2" t="s">
        <v>442</v>
      </c>
      <c r="F592" s="1">
        <v>2.0</v>
      </c>
      <c r="G592" s="3" t="s">
        <v>418</v>
      </c>
    </row>
    <row r="593">
      <c r="A593" s="3" t="s">
        <v>4007</v>
      </c>
      <c r="B593" s="4" t="str">
        <f>IFERROR(__xludf.DUMMYFUNCTION("GOOGLETRANSLATE(A593, ""en"", ""te"")"),"తూర్పు చికెన్ బిర్యానీ మసాలా")</f>
        <v>తూర్పు చికెన్ బిర్యానీ మసాలా</v>
      </c>
      <c r="C593" s="4" t="str">
        <f>IFERROR(__xludf.DUMMYFUNCTION("GOOGLETRANSLATE(A593, ""en"", ""hi"")"),"ईस्टर्न चिकन बिरयानी मसाला")</f>
        <v>ईस्टर्न चिकन बिरयानी मसाला</v>
      </c>
      <c r="D593" s="2" t="s">
        <v>1070</v>
      </c>
      <c r="E593" s="2" t="s">
        <v>442</v>
      </c>
      <c r="F593" s="1">
        <v>2.0</v>
      </c>
      <c r="G593" s="3" t="s">
        <v>418</v>
      </c>
    </row>
    <row r="594">
      <c r="A594" s="3" t="s">
        <v>4010</v>
      </c>
      <c r="B594" s="4" t="str">
        <f>IFERROR(__xludf.DUMMYFUNCTION("GOOGLETRANSLATE(A594, ""en"", ""te"")"),"తూర్పు చికెన్ 65 మసాలా")</f>
        <v>తూర్పు చికెన్ 65 మసాలా</v>
      </c>
      <c r="C594" s="4" t="str">
        <f>IFERROR(__xludf.DUMMYFUNCTION("GOOGLETRANSLATE(A594, ""en"", ""hi"")"),"ईस्टर्न चिकन 65 मसाला")</f>
        <v>ईस्टर्न चिकन 65 मसाला</v>
      </c>
      <c r="D594" s="2" t="s">
        <v>1371</v>
      </c>
      <c r="E594" s="2" t="s">
        <v>442</v>
      </c>
      <c r="F594" s="1">
        <v>2.0</v>
      </c>
      <c r="G594" s="3" t="s">
        <v>418</v>
      </c>
    </row>
    <row r="595">
      <c r="A595" s="3" t="s">
        <v>4019</v>
      </c>
      <c r="B595" s="4" t="str">
        <f>IFERROR(__xludf.DUMMYFUNCTION("GOOGLETRANSLATE(A595, ""en"", ""te"")"),"ప్రియా వెరుసెనగా పొడి")</f>
        <v>ప్రియా వెరుసెనగా పొడి</v>
      </c>
      <c r="C595" s="4" t="str">
        <f>IFERROR(__xludf.DUMMYFUNCTION("GOOGLETRANSLATE(A595, ""en"", ""hi"")"),"प्रिया वेरुसेनागा पोडी")</f>
        <v>प्रिया वेरुसेनागा पोडी</v>
      </c>
      <c r="D595" s="2" t="s">
        <v>4022</v>
      </c>
      <c r="E595" s="2" t="s">
        <v>2700</v>
      </c>
      <c r="F595" s="1">
        <v>2.0</v>
      </c>
      <c r="G595" s="3" t="s">
        <v>418</v>
      </c>
    </row>
    <row r="596">
      <c r="A596" s="3" t="s">
        <v>4025</v>
      </c>
      <c r="B596" s="4" t="str">
        <f>IFERROR(__xludf.DUMMYFUNCTION("GOOGLETRANSLATE(A596, ""en"", ""te"")"),"ప్రియా తందూరి మసాలా")</f>
        <v>ప్రియా తందూరి మసాలా</v>
      </c>
      <c r="C596" s="4" t="str">
        <f>IFERROR(__xludf.DUMMYFUNCTION("GOOGLETRANSLATE(A596, ""en"", ""hi"")"),"प्रिया तंदूरी मसाला")</f>
        <v>प्रिया तंदूरी मसाला</v>
      </c>
      <c r="D596" s="2" t="s">
        <v>4028</v>
      </c>
      <c r="E596" s="2" t="s">
        <v>442</v>
      </c>
      <c r="F596" s="1">
        <v>2.0</v>
      </c>
      <c r="G596" s="3" t="s">
        <v>418</v>
      </c>
    </row>
    <row r="597">
      <c r="A597" s="3" t="s">
        <v>4030</v>
      </c>
      <c r="B597" s="4" t="str">
        <f>IFERROR(__xludf.DUMMYFUNCTION("GOOGLETRANSLATE(A597, ""en"", ""te"")"),"ప్రియా రసం")</f>
        <v>ప్రియా రసం</v>
      </c>
      <c r="C597" s="4" t="str">
        <f>IFERROR(__xludf.DUMMYFUNCTION("GOOGLETRANSLATE(A597, ""en"", ""hi"")"),"प्रिया रसम")</f>
        <v>प्रिया रसम</v>
      </c>
      <c r="D597" s="2" t="s">
        <v>2654</v>
      </c>
      <c r="E597" s="2" t="s">
        <v>946</v>
      </c>
      <c r="F597" s="1">
        <v>2.0</v>
      </c>
      <c r="G597" s="3" t="s">
        <v>418</v>
      </c>
    </row>
    <row r="598">
      <c r="A598" s="3" t="s">
        <v>4034</v>
      </c>
      <c r="B598" s="4" t="str">
        <f>IFERROR(__xludf.DUMMYFUNCTION("GOOGLETRANSLATE(A598, ""en"", ""te"")"),"ప్రియా సాంబార్")</f>
        <v>ప్రియా సాంబార్</v>
      </c>
      <c r="C598" s="4" t="str">
        <f>IFERROR(__xludf.DUMMYFUNCTION("GOOGLETRANSLATE(A598, ""en"", ""hi"")"),"प्रिया सांबार")</f>
        <v>प्रिया सांबार</v>
      </c>
      <c r="D598" s="5"/>
      <c r="E598" s="2" t="s">
        <v>946</v>
      </c>
      <c r="F598" s="1">
        <v>2.0</v>
      </c>
      <c r="G598" s="3" t="s">
        <v>418</v>
      </c>
    </row>
    <row r="599">
      <c r="A599" s="3" t="s">
        <v>4038</v>
      </c>
      <c r="B599" s="4" t="str">
        <f>IFERROR(__xludf.DUMMYFUNCTION("GOOGLETRANSLATE(A599, ""en"", ""te"")"),"ప్రియా కురా కరం")</f>
        <v>ప్రియా కురా కరం</v>
      </c>
      <c r="C599" s="4" t="str">
        <f>IFERROR(__xludf.DUMMYFUNCTION("GOOGLETRANSLATE(A599, ""en"", ""hi"")"),"प्रिया कुरा करम")</f>
        <v>प्रिया कुरा करम</v>
      </c>
      <c r="D599" s="5"/>
      <c r="E599" s="2" t="s">
        <v>946</v>
      </c>
      <c r="F599" s="1">
        <v>2.0</v>
      </c>
      <c r="G599" s="3" t="s">
        <v>418</v>
      </c>
    </row>
    <row r="600">
      <c r="A600" s="3" t="s">
        <v>4042</v>
      </c>
      <c r="B600" s="4" t="str">
        <f>IFERROR(__xludf.DUMMYFUNCTION("GOOGLETRANSLATE(A600, ""en"", ""te"")"),"ప్రియా కండి పొడి")</f>
        <v>ప్రియా కండి పొడి</v>
      </c>
      <c r="C600" s="4" t="str">
        <f>IFERROR(__xludf.DUMMYFUNCTION("GOOGLETRANSLATE(A600, ""en"", ""hi"")"),"प्रिया कंडी पोडी")</f>
        <v>प्रिया कंडी पोडी</v>
      </c>
      <c r="D600" s="2" t="s">
        <v>4046</v>
      </c>
      <c r="E600" s="2" t="s">
        <v>442</v>
      </c>
      <c r="F600" s="1">
        <v>2.0</v>
      </c>
      <c r="G600" s="3" t="s">
        <v>418</v>
      </c>
    </row>
    <row r="601">
      <c r="A601" s="3" t="s">
        <v>4048</v>
      </c>
      <c r="B601" s="4" t="str">
        <f>IFERROR(__xludf.DUMMYFUNCTION("GOOGLETRANSLATE(A601, ""en"", ""te"")"),"రాచవ్ నువ్వులు (నలుపు)")</f>
        <v>రాచవ్ నువ్వులు (నలుపు)</v>
      </c>
      <c r="C601" s="4" t="str">
        <f>IFERROR(__xludf.DUMMYFUNCTION("GOOGLETRANSLATE(A601, ""en"", ""hi"")"),"राचाव तिल (काले)")</f>
        <v>राचाव तिल (काले)</v>
      </c>
      <c r="D601" s="5"/>
      <c r="E601" s="2" t="s">
        <v>2700</v>
      </c>
      <c r="F601" s="1">
        <v>2.0</v>
      </c>
      <c r="G601" s="3" t="s">
        <v>437</v>
      </c>
    </row>
    <row r="602">
      <c r="A602" s="3" t="s">
        <v>4052</v>
      </c>
      <c r="B602" s="4" t="str">
        <f>IFERROR(__xludf.DUMMYFUNCTION("GOOGLETRANSLATE(A602, ""en"", ""te"")"),"ఎ. అరటి చిప్స్")</f>
        <v>ఎ. అరటి చిప్స్</v>
      </c>
      <c r="C602" s="4" t="str">
        <f>IFERROR(__xludf.DUMMYFUNCTION("GOOGLETRANSLATE(A602, ""en"", ""hi"")"),"ए. केले के चिप्स")</f>
        <v>ए. केले के चिप्स</v>
      </c>
      <c r="D602" s="2" t="s">
        <v>4054</v>
      </c>
      <c r="E602" s="2" t="s">
        <v>1294</v>
      </c>
      <c r="F602" s="1">
        <v>2.0</v>
      </c>
      <c r="G602" s="3" t="s">
        <v>437</v>
      </c>
    </row>
    <row r="603">
      <c r="A603" s="3" t="s">
        <v>4055</v>
      </c>
      <c r="B603" s="4" t="str">
        <f>IFERROR(__xludf.DUMMYFUNCTION("GOOGLETRANSLATE(A603, ""en"", ""te"")"),"ఆరా [పచ్చి బఠానీలు]")</f>
        <v>ఆరా [పచ్చి బఠానీలు]</v>
      </c>
      <c r="C603" s="4" t="str">
        <f>IFERROR(__xludf.DUMMYFUNCTION("GOOGLETRANSLATE(A603, ""en"", ""hi"")"),"आरा [हरी मटर]")</f>
        <v>आरा [हरी मटर]</v>
      </c>
      <c r="D603" s="5"/>
      <c r="E603" s="2" t="s">
        <v>2700</v>
      </c>
      <c r="F603" s="1">
        <v>2.0</v>
      </c>
      <c r="G603" s="3" t="s">
        <v>437</v>
      </c>
    </row>
    <row r="604">
      <c r="A604" s="3" t="s">
        <v>4056</v>
      </c>
      <c r="B604" s="4" t="str">
        <f>IFERROR(__xludf.DUMMYFUNCTION("GOOGLETRANSLATE(A604, ""en"", ""te"")"),"టుక్మారియా")</f>
        <v>టుక్మారియా</v>
      </c>
      <c r="C604" s="4" t="str">
        <f>IFERROR(__xludf.DUMMYFUNCTION("GOOGLETRANSLATE(A604, ""en"", ""hi"")"),"तुकमारिया")</f>
        <v>तुकमारिया</v>
      </c>
      <c r="D604" s="2" t="s">
        <v>708</v>
      </c>
      <c r="E604" s="2" t="s">
        <v>442</v>
      </c>
      <c r="F604" s="1">
        <v>2.0</v>
      </c>
      <c r="G604" s="3" t="s">
        <v>437</v>
      </c>
    </row>
    <row r="605">
      <c r="A605" s="3" t="s">
        <v>4057</v>
      </c>
      <c r="B605" s="4" t="str">
        <f>IFERROR(__xludf.DUMMYFUNCTION("GOOGLETRANSLATE(A605, ""en"", ""te"")"),"ఎస్ టుక్మారియా 7oz")</f>
        <v>ఎస్ టుక్మారియా 7oz</v>
      </c>
      <c r="C605" s="4" t="str">
        <f>IFERROR(__xludf.DUMMYFUNCTION("GOOGLETRANSLATE(A605, ""en"", ""hi"")"),"एस टुकमारिया 7 औंस")</f>
        <v>एस टुकमारिया 7 औंस</v>
      </c>
      <c r="D605" s="2" t="s">
        <v>708</v>
      </c>
      <c r="E605" s="2" t="s">
        <v>442</v>
      </c>
      <c r="F605" s="1">
        <v>2.0</v>
      </c>
      <c r="G605" s="3" t="s">
        <v>437</v>
      </c>
    </row>
    <row r="606">
      <c r="A606" s="3" t="s">
        <v>4060</v>
      </c>
      <c r="B606" s="4" t="str">
        <f>IFERROR(__xludf.DUMMYFUNCTION("GOOGLETRANSLATE(A606, ""en"", ""te"")"),"ప్యాట్స్ పసుపు")</f>
        <v>ప్యాట్స్ పసుపు</v>
      </c>
      <c r="C606" s="4" t="str">
        <f>IFERROR(__xludf.DUMMYFUNCTION("GOOGLETRANSLATE(A606, ""en"", ""hi"")"),"पैट की हल्दी")</f>
        <v>पैट की हल्दी</v>
      </c>
      <c r="D606" s="2" t="s">
        <v>4063</v>
      </c>
      <c r="E606" s="2" t="s">
        <v>442</v>
      </c>
      <c r="F606" s="1">
        <v>2.0</v>
      </c>
      <c r="G606" s="3" t="s">
        <v>437</v>
      </c>
    </row>
    <row r="607">
      <c r="A607" s="3" t="s">
        <v>4067</v>
      </c>
      <c r="B607" s="4" t="str">
        <f>IFERROR(__xludf.DUMMYFUNCTION("GOOGLETRANSLATE(A607, ""en"", ""te"")"),"ఆరా పసుపు పొడి")</f>
        <v>ఆరా పసుపు పొడి</v>
      </c>
      <c r="C607" s="4" t="str">
        <f>IFERROR(__xludf.DUMMYFUNCTION("GOOGLETRANSLATE(A607, ""en"", ""hi"")"),"आरा हल्दी पाउडर")</f>
        <v>आरा हल्दी पाउडर</v>
      </c>
      <c r="D607" s="2" t="s">
        <v>1599</v>
      </c>
      <c r="E607" s="2" t="s">
        <v>442</v>
      </c>
      <c r="F607" s="1">
        <v>2.0</v>
      </c>
      <c r="G607" s="3" t="s">
        <v>437</v>
      </c>
    </row>
    <row r="608">
      <c r="A608" s="3" t="s">
        <v>4072</v>
      </c>
      <c r="B608" s="4" t="str">
        <f>IFERROR(__xludf.DUMMYFUNCTION("GOOGLETRANSLATE(A608, ""en"", ""te"")"),"పసుపు పొడి")</f>
        <v>పసుపు పొడి</v>
      </c>
      <c r="C608" s="4" t="str">
        <f>IFERROR(__xludf.DUMMYFUNCTION("GOOGLETRANSLATE(A608, ""en"", ""hi"")"),"हल्दी पाउडर")</f>
        <v>हल्दी पाउडर</v>
      </c>
      <c r="D608" s="2" t="s">
        <v>4074</v>
      </c>
      <c r="E608" s="2" t="s">
        <v>442</v>
      </c>
      <c r="F608" s="1">
        <v>2.0</v>
      </c>
      <c r="G608" s="3" t="s">
        <v>437</v>
      </c>
    </row>
    <row r="609">
      <c r="A609" s="3" t="s">
        <v>4076</v>
      </c>
      <c r="B609" s="4" t="str">
        <f>IFERROR(__xludf.DUMMYFUNCTION("GOOGLETRANSLATE(A609, ""en"", ""te"")"),"స్వాద్ లవంగం పొడి")</f>
        <v>స్వాద్ లవంగం పొడి</v>
      </c>
      <c r="C609" s="4" t="str">
        <f>IFERROR(__xludf.DUMMYFUNCTION("GOOGLETRANSLATE(A609, ""en"", ""hi"")"),"स्वाद लौंग पाउडर")</f>
        <v>स्वाद लौंग पाउडर</v>
      </c>
      <c r="D609" s="2" t="s">
        <v>3424</v>
      </c>
      <c r="E609" s="2" t="s">
        <v>442</v>
      </c>
      <c r="F609" s="1">
        <v>2.0</v>
      </c>
      <c r="G609" s="3" t="s">
        <v>446</v>
      </c>
    </row>
    <row r="610">
      <c r="A610" s="3" t="s">
        <v>4080</v>
      </c>
      <c r="B610" s="4" t="str">
        <f>IFERROR(__xludf.DUMMYFUNCTION("GOOGLETRANSLATE(A610, ""en"", ""te"")"),"లక్ష్మి కొత్తిమీర విత్తనాలు")</f>
        <v>లక్ష్మి కొత్తిమీర విత్తనాలు</v>
      </c>
      <c r="C610" s="4" t="str">
        <f>IFERROR(__xludf.DUMMYFUNCTION("GOOGLETRANSLATE(A610, ""en"", ""hi"")"),"लक्ष्मी धनिया के बीज")</f>
        <v>लक्ष्मी धनिया के बीज</v>
      </c>
      <c r="D610" s="2" t="s">
        <v>2644</v>
      </c>
      <c r="E610" s="2" t="s">
        <v>442</v>
      </c>
      <c r="F610" s="1">
        <v>2.0</v>
      </c>
      <c r="G610" s="3" t="s">
        <v>446</v>
      </c>
    </row>
    <row r="611">
      <c r="A611" s="3" t="s">
        <v>4084</v>
      </c>
      <c r="B611" s="4" t="str">
        <f>IFERROR(__xludf.DUMMYFUNCTION("GOOGLETRANSLATE(A611, ""en"", ""te"")"),"దాల్వి కొత్తిమీర పొడి")</f>
        <v>దాల్వి కొత్తిమీర పొడి</v>
      </c>
      <c r="C611" s="4" t="str">
        <f>IFERROR(__xludf.DUMMYFUNCTION("GOOGLETRANSLATE(A611, ""en"", ""hi"")"),"दालवी धनिया पाउडर")</f>
        <v>दालवी धनिया पाउडर</v>
      </c>
      <c r="D611" s="2" t="s">
        <v>2644</v>
      </c>
      <c r="E611" s="2" t="s">
        <v>442</v>
      </c>
      <c r="F611" s="1">
        <v>2.0</v>
      </c>
      <c r="G611" s="3" t="s">
        <v>446</v>
      </c>
    </row>
    <row r="612">
      <c r="A612" s="3" t="s">
        <v>2643</v>
      </c>
      <c r="B612" s="4" t="str">
        <f>IFERROR(__xludf.DUMMYFUNCTION("GOOGLETRANSLATE(A612, ""en"", ""te"")"),"స్వాద్ కొత్తిమీర పొడి")</f>
        <v>స్వాద్ కొత్తిమీర పొడి</v>
      </c>
      <c r="C612" s="4" t="str">
        <f>IFERROR(__xludf.DUMMYFUNCTION("GOOGLETRANSLATE(A612, ""en"", ""hi"")"),"स्वाद धनिया पाउडर")</f>
        <v>स्वाद धनिया पाउडर</v>
      </c>
      <c r="D612" s="2" t="s">
        <v>2644</v>
      </c>
      <c r="E612" s="2" t="s">
        <v>442</v>
      </c>
      <c r="F612" s="1">
        <v>2.0</v>
      </c>
      <c r="G612" s="3" t="s">
        <v>446</v>
      </c>
    </row>
    <row r="613">
      <c r="A613" s="3" t="s">
        <v>4092</v>
      </c>
      <c r="B613" s="4" t="str">
        <f>IFERROR(__xludf.DUMMYFUNCTION("GOOGLETRANSLATE(A613, ""en"", ""te"")"),"స్వాద్ కొత్తిమీర పొడి 200 గ్రాములు")</f>
        <v>స్వాద్ కొత్తిమీర పొడి 200 గ్రాములు</v>
      </c>
      <c r="C613" s="4" t="str">
        <f>IFERROR(__xludf.DUMMYFUNCTION("GOOGLETRANSLATE(A613, ""en"", ""hi"")"),"स्वाद धनिया पाउडर 200 ग्राम")</f>
        <v>स्वाद धनिया पाउडर 200 ग्राम</v>
      </c>
      <c r="D613" s="2" t="s">
        <v>2644</v>
      </c>
      <c r="E613" s="2" t="s">
        <v>442</v>
      </c>
      <c r="F613" s="1">
        <v>2.0</v>
      </c>
      <c r="G613" s="3" t="s">
        <v>446</v>
      </c>
    </row>
    <row r="614">
      <c r="A614" s="3" t="s">
        <v>1523</v>
      </c>
      <c r="B614" s="4" t="str">
        <f>IFERROR(__xludf.DUMMYFUNCTION("GOOGLETRANSLATE(A614, ""en"", ""te"")"),"బ్రిటానియా మేరీ గోల్డ్")</f>
        <v>బ్రిటానియా మేరీ గోల్డ్</v>
      </c>
      <c r="C614" s="4" t="str">
        <f>IFERROR(__xludf.DUMMYFUNCTION("GOOGLETRANSLATE(A614, ""en"", ""hi"")"),"ब्रिटानिया मैरी गोल्ड")</f>
        <v>ब्रिटानिया मैरी गोल्ड</v>
      </c>
      <c r="D614" s="2" t="s">
        <v>4099</v>
      </c>
      <c r="E614" s="2" t="s">
        <v>4100</v>
      </c>
      <c r="F614" s="1">
        <v>2.0</v>
      </c>
      <c r="G614" s="3" t="s">
        <v>492</v>
      </c>
    </row>
    <row r="615">
      <c r="A615" s="3" t="s">
        <v>4102</v>
      </c>
      <c r="B615" s="4" t="str">
        <f>IFERROR(__xludf.DUMMYFUNCTION("GOOGLETRANSLATE(A615, ""en"", ""te"")"),"టాప్ రామెన్ నూడుల్స్")</f>
        <v>టాప్ రామెన్ నూడుల్స్</v>
      </c>
      <c r="C615" s="4" t="str">
        <f>IFERROR(__xludf.DUMMYFUNCTION("GOOGLETRANSLATE(A615, ""en"", ""hi"")"),"टॉप रामेन नूडल्स")</f>
        <v>टॉप रामेन नूडल्स</v>
      </c>
      <c r="D615" s="5"/>
      <c r="E615" s="2" t="s">
        <v>9</v>
      </c>
      <c r="F615" s="1">
        <v>2.0</v>
      </c>
      <c r="G615" s="3" t="s">
        <v>492</v>
      </c>
    </row>
    <row r="616">
      <c r="A616" s="3" t="s">
        <v>4106</v>
      </c>
      <c r="B616" s="4" t="str">
        <f>IFERROR(__xludf.DUMMYFUNCTION("GOOGLETRANSLATE(A616, ""en"", ""te"")"),"టాప్ రామెన్ కర్రీ నూడుల్స్")</f>
        <v>టాప్ రామెన్ కర్రీ నూడుల్స్</v>
      </c>
      <c r="C616" s="4" t="str">
        <f>IFERROR(__xludf.DUMMYFUNCTION("GOOGLETRANSLATE(A616, ""en"", ""hi"")"),"टॉप रामेन करी नूडल्स")</f>
        <v>टॉप रामेन करी नूडल्स</v>
      </c>
      <c r="D616" s="5"/>
      <c r="E616" s="2" t="s">
        <v>9</v>
      </c>
      <c r="F616" s="1">
        <v>2.0</v>
      </c>
      <c r="G616" s="3" t="s">
        <v>492</v>
      </c>
    </row>
    <row r="617">
      <c r="A617" s="3" t="s">
        <v>4111</v>
      </c>
      <c r="B617" s="4" t="str">
        <f>IFERROR(__xludf.DUMMYFUNCTION("GOOGLETRANSLATE(A617, ""en"", ""te"")"),"షాన్ టిక్కా")</f>
        <v>షాన్ టిక్కా</v>
      </c>
      <c r="C617" s="4" t="str">
        <f>IFERROR(__xludf.DUMMYFUNCTION("GOOGLETRANSLATE(A617, ""en"", ""hi"")"),"शान टिक्का")</f>
        <v>शान टिक्का</v>
      </c>
      <c r="D617" s="5"/>
      <c r="E617" s="2" t="s">
        <v>442</v>
      </c>
      <c r="F617" s="1">
        <v>2.0</v>
      </c>
      <c r="G617" s="3" t="s">
        <v>71</v>
      </c>
    </row>
    <row r="618">
      <c r="A618" s="3" t="s">
        <v>4115</v>
      </c>
      <c r="B618" s="4" t="str">
        <f>IFERROR(__xludf.DUMMYFUNCTION("GOOGLETRANSLATE(A618, ""en"", ""te"")"),"మంత్ర సింధీ బిర్యానీ")</f>
        <v>మంత్ర సింధీ బిర్యానీ</v>
      </c>
      <c r="C618" s="4" t="str">
        <f>IFERROR(__xludf.DUMMYFUNCTION("GOOGLETRANSLATE(A618, ""en"", ""hi"")"),"मंत्रा सिंधी बिरयानी")</f>
        <v>मंत्रा सिंधी बिरयानी</v>
      </c>
      <c r="D618" s="2" t="s">
        <v>4118</v>
      </c>
      <c r="E618" s="2" t="s">
        <v>9</v>
      </c>
      <c r="F618" s="1">
        <v>2.0</v>
      </c>
      <c r="G618" s="3" t="s">
        <v>71</v>
      </c>
    </row>
    <row r="619">
      <c r="A619" s="3" t="s">
        <v>4120</v>
      </c>
      <c r="B619" s="4" t="str">
        <f>IFERROR(__xludf.DUMMYFUNCTION("GOOGLETRANSLATE(A619, ""en"", ""te"")"),"మంత్ర గరం మసాలా")</f>
        <v>మంత్ర గరం మసాలా</v>
      </c>
      <c r="C619" s="4" t="str">
        <f>IFERROR(__xludf.DUMMYFUNCTION("GOOGLETRANSLATE(A619, ""en"", ""hi"")"),"मंत्रा गरम मसाला")</f>
        <v>मंत्रा गरम मसाला</v>
      </c>
      <c r="D619" s="2" t="s">
        <v>1070</v>
      </c>
      <c r="E619" s="2" t="s">
        <v>442</v>
      </c>
      <c r="F619" s="1">
        <v>2.0</v>
      </c>
      <c r="G619" s="3" t="s">
        <v>71</v>
      </c>
    </row>
    <row r="620">
      <c r="A620" s="3" t="s">
        <v>4124</v>
      </c>
      <c r="B620" s="4" t="str">
        <f>IFERROR(__xludf.DUMMYFUNCTION("GOOGLETRANSLATE(A620, ""en"", ""te"")"),"మంత్ర పిలావ్ బిర్యానీ")</f>
        <v>మంత్ర పిలావ్ బిర్యానీ</v>
      </c>
      <c r="C620" s="4" t="str">
        <f>IFERROR(__xludf.DUMMYFUNCTION("GOOGLETRANSLATE(A620, ""en"", ""hi"")"),"मंत्रा पुलाव बिरयानी")</f>
        <v>मंत्रा पुलाव बिरयानी</v>
      </c>
      <c r="D620" s="2" t="s">
        <v>4128</v>
      </c>
      <c r="E620" s="2" t="s">
        <v>9</v>
      </c>
      <c r="F620" s="1">
        <v>2.0</v>
      </c>
      <c r="G620" s="3" t="s">
        <v>71</v>
      </c>
    </row>
    <row r="621">
      <c r="A621" s="3" t="s">
        <v>4130</v>
      </c>
      <c r="B621" s="4" t="str">
        <f>IFERROR(__xludf.DUMMYFUNCTION("GOOGLETRANSLATE(A621, ""en"", ""te"")"),"మంత్ర పంజాబీ బిర్యానీ")</f>
        <v>మంత్ర పంజాబీ బిర్యానీ</v>
      </c>
      <c r="C621" s="4" t="str">
        <f>IFERROR(__xludf.DUMMYFUNCTION("GOOGLETRANSLATE(A621, ""en"", ""hi"")"),"मंत्रा पंजाबी बिरयानी")</f>
        <v>मंत्रा पंजाबी बिरयानी</v>
      </c>
      <c r="D621" s="2" t="s">
        <v>4133</v>
      </c>
      <c r="E621" s="2" t="s">
        <v>940</v>
      </c>
      <c r="F621" s="1">
        <v>2.0</v>
      </c>
      <c r="G621" s="3" t="s">
        <v>71</v>
      </c>
    </row>
    <row r="622">
      <c r="A622" s="3" t="s">
        <v>4038</v>
      </c>
      <c r="B622" s="4" t="str">
        <f>IFERROR(__xludf.DUMMYFUNCTION("GOOGLETRANSLATE(A622, ""en"", ""te"")"),"ప్రియా కురా కరం")</f>
        <v>ప్రియా కురా కరం</v>
      </c>
      <c r="C622" s="4" t="str">
        <f>IFERROR(__xludf.DUMMYFUNCTION("GOOGLETRANSLATE(A622, ""en"", ""hi"")"),"प्रिया कुरा करम")</f>
        <v>प्रिया कुरा करम</v>
      </c>
      <c r="D622" s="5"/>
      <c r="E622" s="2" t="s">
        <v>946</v>
      </c>
      <c r="F622" s="1">
        <v>2.0</v>
      </c>
      <c r="G622" s="3" t="s">
        <v>76</v>
      </c>
    </row>
    <row r="623">
      <c r="A623" s="3" t="s">
        <v>4140</v>
      </c>
      <c r="B623" s="4" t="str">
        <f>IFERROR(__xludf.DUMMYFUNCTION("GOOGLETRANSLATE(A623, ""en"", ""te"")"),"ప్రియా కండి పొడి")</f>
        <v>ప్రియా కండి పొడి</v>
      </c>
      <c r="C623" s="4" t="str">
        <f>IFERROR(__xludf.DUMMYFUNCTION("GOOGLETRANSLATE(A623, ""en"", ""hi"")"),"प्रिया कंडी पोडी")</f>
        <v>प्रिया कंडी पोडी</v>
      </c>
      <c r="D623" s="2" t="s">
        <v>4046</v>
      </c>
      <c r="E623" s="2" t="s">
        <v>442</v>
      </c>
      <c r="F623" s="1">
        <v>2.0</v>
      </c>
      <c r="G623" s="3" t="s">
        <v>76</v>
      </c>
    </row>
    <row r="624">
      <c r="A624" s="3" t="s">
        <v>4145</v>
      </c>
      <c r="B624" s="4" t="str">
        <f>IFERROR(__xludf.DUMMYFUNCTION("GOOGLETRANSLATE(A624, ""en"", ""te"")"),"ప్రియ నువ్వుల పొడి")</f>
        <v>ప్రియ నువ్వుల పొడి</v>
      </c>
      <c r="C624" s="4" t="str">
        <f>IFERROR(__xludf.DUMMYFUNCTION("GOOGLETRANSLATE(A624, ""en"", ""hi"")"),"प्रिया नुव्वुला पोडी")</f>
        <v>प्रिया नुव्वुला पोडी</v>
      </c>
      <c r="D624" s="2" t="s">
        <v>4046</v>
      </c>
      <c r="E624" s="2" t="s">
        <v>442</v>
      </c>
      <c r="F624" s="1">
        <v>2.0</v>
      </c>
      <c r="G624" s="3" t="s">
        <v>76</v>
      </c>
    </row>
    <row r="625">
      <c r="A625" s="3" t="s">
        <v>4150</v>
      </c>
      <c r="B625" s="4" t="str">
        <f>IFERROR(__xludf.DUMMYFUNCTION("GOOGLETRANSLATE(A625, ""en"", ""te"")"),"ప్రియా నల్ల కరం")</f>
        <v>ప్రియా నల్ల కరం</v>
      </c>
      <c r="C625" s="4" t="str">
        <f>IFERROR(__xludf.DUMMYFUNCTION("GOOGLETRANSLATE(A625, ""en"", ""hi"")"),"प्रिया नल्ला करम")</f>
        <v>प्रिया नल्ला करम</v>
      </c>
      <c r="D625" s="5"/>
      <c r="E625" s="2" t="s">
        <v>442</v>
      </c>
      <c r="F625" s="1">
        <v>2.0</v>
      </c>
      <c r="G625" s="3" t="s">
        <v>76</v>
      </c>
    </row>
    <row r="626">
      <c r="A626" s="3" t="s">
        <v>4155</v>
      </c>
      <c r="B626" s="4" t="str">
        <f>IFERROR(__xludf.DUMMYFUNCTION("GOOGLETRANSLATE(A626, ""en"", ""te"")"),"ప్రియా మద్రాస్ కర్రీ పౌడర్")</f>
        <v>ప్రియా మద్రాస్ కర్రీ పౌడర్</v>
      </c>
      <c r="C626" s="4" t="str">
        <f>IFERROR(__xludf.DUMMYFUNCTION("GOOGLETRANSLATE(A626, ""en"", ""hi"")"),"प्रिया मद्रास करी पाउडर")</f>
        <v>प्रिया मद्रास करी पाउडर</v>
      </c>
      <c r="D626" s="2" t="s">
        <v>4356</v>
      </c>
      <c r="E626" s="2" t="s">
        <v>442</v>
      </c>
      <c r="F626" s="1">
        <v>2.0</v>
      </c>
      <c r="G626" s="3" t="s">
        <v>76</v>
      </c>
    </row>
    <row r="627">
      <c r="A627" s="3" t="s">
        <v>4357</v>
      </c>
      <c r="B627" s="4" t="str">
        <f>IFERROR(__xludf.DUMMYFUNCTION("GOOGLETRANSLATE(A627, ""en"", ""te"")"),"ప్రియా మీట్ మసాలా పౌడర్")</f>
        <v>ప్రియా మీట్ మసాలా పౌడర్</v>
      </c>
      <c r="C627" s="4" t="str">
        <f>IFERROR(__xludf.DUMMYFUNCTION("GOOGLETRANSLATE(A627, ""en"", ""hi"")"),"प्रिया मीट मसाला पाउडर")</f>
        <v>प्रिया मीट मसाला पाउडर</v>
      </c>
      <c r="D627" s="5"/>
      <c r="E627" s="2" t="s">
        <v>442</v>
      </c>
      <c r="F627" s="1">
        <v>2.0</v>
      </c>
      <c r="G627" s="3" t="s">
        <v>76</v>
      </c>
    </row>
    <row r="628">
      <c r="A628" s="3" t="s">
        <v>4362</v>
      </c>
      <c r="B628" s="4" t="str">
        <f>IFERROR(__xludf.DUMMYFUNCTION("GOOGLETRANSLATE(A628, ""en"", ""te"")"),"ప్రియా ఇడ్లీ కారం")</f>
        <v>ప్రియా ఇడ్లీ కారం</v>
      </c>
      <c r="C628" s="4" t="str">
        <f>IFERROR(__xludf.DUMMYFUNCTION("GOOGLETRANSLATE(A628, ""en"", ""hi"")"),"प्रिया इडली करम")</f>
        <v>प्रिया इडली करम</v>
      </c>
      <c r="D628" s="2" t="s">
        <v>4366</v>
      </c>
      <c r="E628" s="2" t="s">
        <v>940</v>
      </c>
      <c r="F628" s="1">
        <v>2.0</v>
      </c>
      <c r="G628" s="3" t="s">
        <v>76</v>
      </c>
    </row>
    <row r="629">
      <c r="A629" s="3" t="s">
        <v>4368</v>
      </c>
      <c r="B629" s="4" t="str">
        <f>IFERROR(__xludf.DUMMYFUNCTION("GOOGLETRANSLATE(A629, ""en"", ""te"")"),"ప్రియా గరం మసాలా")</f>
        <v>ప్రియా గరం మసాలా</v>
      </c>
      <c r="C629" s="4" t="str">
        <f>IFERROR(__xludf.DUMMYFUNCTION("GOOGLETRANSLATE(A629, ""en"", ""hi"")"),"प्रिया गरम मसाला")</f>
        <v>प्रिया गरम मसाला</v>
      </c>
      <c r="D629" s="5"/>
      <c r="E629" s="2" t="s">
        <v>442</v>
      </c>
      <c r="F629" s="1">
        <v>2.0</v>
      </c>
      <c r="G629" s="3" t="s">
        <v>76</v>
      </c>
    </row>
    <row r="630">
      <c r="A630" s="3" t="s">
        <v>4374</v>
      </c>
      <c r="B630" s="4" t="str">
        <f>IFERROR(__xludf.DUMMYFUNCTION("GOOGLETRANSLATE(A630, ""en"", ""te"")"),"ప్రియా ఫిష్ మసాలా పౌడర్")</f>
        <v>ప్రియా ఫిష్ మసాలా పౌడర్</v>
      </c>
      <c r="C630" s="4" t="str">
        <f>IFERROR(__xludf.DUMMYFUNCTION("GOOGLETRANSLATE(A630, ""en"", ""hi"")"),"प्रिया फिश मसाला पाउडर")</f>
        <v>प्रिया फिश मसाला पाउडर</v>
      </c>
      <c r="D630" s="5"/>
      <c r="E630" s="2" t="s">
        <v>442</v>
      </c>
      <c r="F630" s="1">
        <v>2.0</v>
      </c>
      <c r="G630" s="3" t="s">
        <v>76</v>
      </c>
    </row>
    <row r="631">
      <c r="A631" s="3" t="s">
        <v>4379</v>
      </c>
      <c r="B631" s="4" t="str">
        <f>IFERROR(__xludf.DUMMYFUNCTION("GOOGLETRANSLATE(A631, ""en"", ""te"")"),"ప్రియా చికెన్ మసాలా")</f>
        <v>ప్రియా చికెన్ మసాలా</v>
      </c>
      <c r="C631" s="4" t="str">
        <f>IFERROR(__xludf.DUMMYFUNCTION("GOOGLETRANSLATE(A631, ""en"", ""hi"")"),"प्रिया चिकन मसाला")</f>
        <v>प्रिया चिकन मसाला</v>
      </c>
      <c r="D631" s="5"/>
      <c r="E631" s="2" t="s">
        <v>442</v>
      </c>
      <c r="F631" s="1">
        <v>2.0</v>
      </c>
      <c r="G631" s="3" t="s">
        <v>76</v>
      </c>
    </row>
    <row r="632">
      <c r="A632" s="3" t="s">
        <v>4383</v>
      </c>
      <c r="B632" s="4" t="str">
        <f>IFERROR(__xludf.DUMMYFUNCTION("GOOGLETRANSLATE(A632, ""en"", ""te"")"),"స్వాద్ పసుపు పొడి 400గ్రా")</f>
        <v>స్వాద్ పసుపు పొడి 400గ్రా</v>
      </c>
      <c r="C632" s="4" t="str">
        <f>IFERROR(__xludf.DUMMYFUNCTION("GOOGLETRANSLATE(A632, ""en"", ""hi"")"),"स्वाद हल्दी पाउडर 400 ग्राम")</f>
        <v>स्वाद हल्दी पाउडर 400 ग्राम</v>
      </c>
      <c r="D632" s="2" t="s">
        <v>1599</v>
      </c>
      <c r="E632" s="2" t="s">
        <v>442</v>
      </c>
      <c r="F632" s="1">
        <v>2.0</v>
      </c>
      <c r="G632" s="3" t="s">
        <v>85</v>
      </c>
    </row>
    <row r="633">
      <c r="A633" s="3" t="s">
        <v>4388</v>
      </c>
      <c r="B633" s="4" t="str">
        <f>IFERROR(__xludf.DUMMYFUNCTION("GOOGLETRANSLATE(A633, ""en"", ""te"")"),"స్వాద్ పసుపు పొడి 200గ్రా")</f>
        <v>స్వాద్ పసుపు పొడి 200గ్రా</v>
      </c>
      <c r="C633" s="4" t="str">
        <f>IFERROR(__xludf.DUMMYFUNCTION("GOOGLETRANSLATE(A633, ""en"", ""hi"")"),"स्वाद हल्दी पाउडर 200 ग्राम")</f>
        <v>स्वाद हल्दी पाउडर 200 ग्राम</v>
      </c>
      <c r="D633" s="2" t="s">
        <v>1599</v>
      </c>
      <c r="E633" s="2" t="s">
        <v>442</v>
      </c>
      <c r="F633" s="1">
        <v>2.0</v>
      </c>
      <c r="G633" s="3" t="s">
        <v>85</v>
      </c>
    </row>
    <row r="634">
      <c r="A634" s="3" t="s">
        <v>2645</v>
      </c>
      <c r="B634" s="4" t="str">
        <f>IFERROR(__xludf.DUMMYFUNCTION("GOOGLETRANSLATE(A634, ""en"", ""te"")"),"స్వాద్ పసుపు పొడి")</f>
        <v>స్వాద్ పసుపు పొడి</v>
      </c>
      <c r="C634" s="4" t="str">
        <f>IFERROR(__xludf.DUMMYFUNCTION("GOOGLETRANSLATE(A634, ""en"", ""hi"")"),"स्वाद हल्दी पाउडर")</f>
        <v>स्वाद हल्दी पाउडर</v>
      </c>
      <c r="D634" s="2" t="s">
        <v>1599</v>
      </c>
      <c r="E634" s="2" t="s">
        <v>442</v>
      </c>
      <c r="F634" s="1">
        <v>2.0</v>
      </c>
      <c r="G634" s="3" t="s">
        <v>85</v>
      </c>
    </row>
    <row r="635">
      <c r="A635" s="3" t="s">
        <v>4398</v>
      </c>
      <c r="B635" s="4" t="str">
        <f>IFERROR(__xludf.DUMMYFUNCTION("GOOGLETRANSLATE(A635, ""en"", ""te"")"),"టీ మసాలా")</f>
        <v>టీ మసాలా</v>
      </c>
      <c r="C635" s="4" t="str">
        <f>IFERROR(__xludf.DUMMYFUNCTION("GOOGLETRANSLATE(A635, ""en"", ""hi"")"),"चाय मसाला")</f>
        <v>चाय मसाला</v>
      </c>
      <c r="D635" s="2" t="s">
        <v>4401</v>
      </c>
      <c r="E635" s="2" t="s">
        <v>442</v>
      </c>
      <c r="F635" s="1">
        <v>2.0</v>
      </c>
      <c r="G635" s="3" t="s">
        <v>85</v>
      </c>
    </row>
    <row r="636">
      <c r="A636" s="3" t="s">
        <v>4404</v>
      </c>
      <c r="B636" s="4" t="str">
        <f>IFERROR(__xludf.DUMMYFUNCTION("GOOGLETRANSLATE(A636, ""en"", ""te"")"),"స్వాద్ టీ మసాలా")</f>
        <v>స్వాద్ టీ మసాలా</v>
      </c>
      <c r="C636" s="4" t="str">
        <f>IFERROR(__xludf.DUMMYFUNCTION("GOOGLETRANSLATE(A636, ""en"", ""hi"")"),"स्वाद टी मसाला")</f>
        <v>स्वाद टी मसाला</v>
      </c>
      <c r="D636" s="2" t="s">
        <v>4401</v>
      </c>
      <c r="E636" s="2" t="s">
        <v>442</v>
      </c>
      <c r="F636" s="1">
        <v>2.0</v>
      </c>
      <c r="G636" s="3" t="s">
        <v>85</v>
      </c>
    </row>
    <row r="637">
      <c r="A637" s="3" t="s">
        <v>4406</v>
      </c>
      <c r="B637" s="4" t="str">
        <f>IFERROR(__xludf.DUMMYFUNCTION("GOOGLETRANSLATE(A637, ""en"", ""te"")"),"ఎస్. ఆమ్లా సాల్టెడ్ 7oz")</f>
        <v>ఎస్. ఆమ్లా సాల్టెడ్ 7oz</v>
      </c>
      <c r="C637" s="4" t="str">
        <f>IFERROR(__xludf.DUMMYFUNCTION("GOOGLETRANSLATE(A637, ""en"", ""hi"")"),"एस. आंवला नमकीन 7 औंस")</f>
        <v>एस. आंवला नमकीन 7 औंस</v>
      </c>
      <c r="D637" s="5"/>
      <c r="E637" s="2" t="s">
        <v>4407</v>
      </c>
      <c r="F637" s="1">
        <v>2.0</v>
      </c>
      <c r="G637" s="3" t="s">
        <v>85</v>
      </c>
    </row>
    <row r="638">
      <c r="A638" s="3" t="s">
        <v>4408</v>
      </c>
      <c r="B638" s="4" t="str">
        <f>IFERROR(__xludf.DUMMYFUNCTION("GOOGLETRANSLATE(A638, ""en"", ""te"")"),"స్వాద్ కొత్తిమీర పొడి 200గ్రా")</f>
        <v>స్వాద్ కొత్తిమీర పొడి 200గ్రా</v>
      </c>
      <c r="C638" s="4" t="str">
        <f>IFERROR(__xludf.DUMMYFUNCTION("GOOGLETRANSLATE(A638, ""en"", ""hi"")"),"स्वाद धनिया पाउडर 200 ग्राम")</f>
        <v>स्वाद धनिया पाउडर 200 ग्राम</v>
      </c>
      <c r="D638" s="2" t="s">
        <v>2644</v>
      </c>
      <c r="E638" s="2" t="s">
        <v>442</v>
      </c>
      <c r="F638" s="1">
        <v>2.0</v>
      </c>
      <c r="G638" s="3" t="s">
        <v>114</v>
      </c>
    </row>
    <row r="639">
      <c r="A639" s="3" t="s">
        <v>4409</v>
      </c>
      <c r="B639" s="4" t="str">
        <f>IFERROR(__xludf.DUMMYFUNCTION("GOOGLETRANSLATE(A639, ""en"", ""te"")"),"స్వాద్ కొత్తిమీర పొడి 14 oz")</f>
        <v>స్వాద్ కొత్తిమీర పొడి 14 oz</v>
      </c>
      <c r="C639" s="4" t="str">
        <f>IFERROR(__xludf.DUMMYFUNCTION("GOOGLETRANSLATE(A639, ""en"", ""hi"")"),"स्वाद धनिया पाउडर 14 औंस")</f>
        <v>स्वाद धनिया पाउडर 14 औंस</v>
      </c>
      <c r="D639" s="2" t="s">
        <v>2644</v>
      </c>
      <c r="E639" s="2" t="s">
        <v>442</v>
      </c>
      <c r="F639" s="1">
        <v>2.0</v>
      </c>
      <c r="G639" s="3" t="s">
        <v>114</v>
      </c>
    </row>
    <row r="640">
      <c r="A640" s="3" t="s">
        <v>4410</v>
      </c>
      <c r="B640" s="4" t="str">
        <f>IFERROR(__xludf.DUMMYFUNCTION("GOOGLETRANSLATE(A640, ""en"", ""te"")"),"స్వాద్ ప్రీమియం క్వాలిటీ మిరప పొడి, అధిక కారం 400గ్రా")</f>
        <v>స్వాద్ ప్రీమియం క్వాలిటీ మిరప పొడి, అధిక కారం 400గ్రా</v>
      </c>
      <c r="C640" s="4" t="str">
        <f>IFERROR(__xludf.DUMMYFUNCTION("GOOGLETRANSLATE(A640, ""en"", ""hi"")"),"स्वाद प्रीमियम क्वालिटी मिर्च पाउडर, अतिरिक्त तीखा, 400 ग्राम")</f>
        <v>स्वाद प्रीमियम क्वालिटी मिर्च पाउडर, अतिरिक्त तीखा, 400 ग्राम</v>
      </c>
      <c r="D640" s="2" t="s">
        <v>1636</v>
      </c>
      <c r="E640" s="2" t="s">
        <v>442</v>
      </c>
      <c r="F640" s="1">
        <v>2.0</v>
      </c>
      <c r="G640" s="3" t="s">
        <v>114</v>
      </c>
    </row>
    <row r="641">
      <c r="A641" s="3" t="s">
        <v>4411</v>
      </c>
      <c r="B641" s="4" t="str">
        <f>IFERROR(__xludf.DUMMYFUNCTION("GOOGLETRANSLATE(A641, ""en"", ""te"")"),"స్వాడ్ చిల్లీ పౌడర్ ఎక్స్‌ట్రా హాట్ 14 oz (400గ్రా)")</f>
        <v>స్వాడ్ చిల్లీ పౌడర్ ఎక్స్‌ట్రా హాట్ 14 oz (400గ్రా)</v>
      </c>
      <c r="C641" s="4" t="str">
        <f>IFERROR(__xludf.DUMMYFUNCTION("GOOGLETRANSLATE(A641, ""en"", ""hi"")"),"स्वाद मिर्च पाउडर अतिरिक्त गर्म 14 औंस (400 ग्राम)")</f>
        <v>स्वाद मिर्च पाउडर अतिरिक्त गर्म 14 औंस (400 ग्राम)</v>
      </c>
      <c r="D641" s="2" t="s">
        <v>1636</v>
      </c>
      <c r="E641" s="2" t="s">
        <v>442</v>
      </c>
      <c r="F641" s="1">
        <v>2.0</v>
      </c>
      <c r="G641" s="3" t="s">
        <v>114</v>
      </c>
    </row>
    <row r="642">
      <c r="A642" s="3" t="s">
        <v>4412</v>
      </c>
      <c r="B642" s="4" t="str">
        <f>IFERROR(__xludf.DUMMYFUNCTION("GOOGLETRANSLATE(A642, ""en"", ""te"")"),"దానా రెడ్ చిల్లీ పౌడర్ 14 oz (400g)")</f>
        <v>దానా రెడ్ చిల్లీ పౌడర్ 14 oz (400g)</v>
      </c>
      <c r="C642" s="4" t="str">
        <f>IFERROR(__xludf.DUMMYFUNCTION("GOOGLETRANSLATE(A642, ""en"", ""hi"")"),"दाना लाल मिर्च पाउडर 14 औंस (400 ग्राम)")</f>
        <v>दाना लाल मिर्च पाउडर 14 औंस (400 ग्राम)</v>
      </c>
      <c r="D642" s="2" t="s">
        <v>1636</v>
      </c>
      <c r="E642" s="2" t="s">
        <v>442</v>
      </c>
      <c r="F642" s="1">
        <v>2.0</v>
      </c>
      <c r="G642" s="3" t="s">
        <v>114</v>
      </c>
    </row>
    <row r="643">
      <c r="A643" s="3" t="s">
        <v>4413</v>
      </c>
      <c r="B643" s="4" t="str">
        <f>IFERROR(__xludf.DUMMYFUNCTION("GOOGLETRANSLATE(A643, ""en"", ""te"")"),"డానా ఎక్స్‌ట్రా హాట్ చిల్లీ పౌడర్ 14 oz (400g)")</f>
        <v>డానా ఎక్స్‌ట్రా హాట్ చిల్లీ పౌడర్ 14 oz (400g)</v>
      </c>
      <c r="C643" s="4" t="str">
        <f>IFERROR(__xludf.DUMMYFUNCTION("GOOGLETRANSLATE(A643, ""en"", ""hi"")"),"दाना एक्स्ट्रा हॉट चिली पाउडर 14 औंस (400 ग्राम)")</f>
        <v>दाना एक्स्ट्रा हॉट चिली पाउडर 14 औंस (400 ग्राम)</v>
      </c>
      <c r="D643" s="2" t="s">
        <v>2647</v>
      </c>
      <c r="E643" s="2" t="s">
        <v>442</v>
      </c>
      <c r="F643" s="1">
        <v>2.0</v>
      </c>
      <c r="G643" s="3" t="s">
        <v>114</v>
      </c>
    </row>
    <row r="644">
      <c r="A644" s="3" t="s">
        <v>4414</v>
      </c>
      <c r="B644" s="4" t="str">
        <f>IFERROR(__xludf.DUMMYFUNCTION("GOOGLETRANSLATE(A644, ""en"", ""te"")"),"స్వాడ్ ఎక్స్‌ట్రా హాట్ చిల్లీ పౌడర్ 14 oz (400గ్రా)")</f>
        <v>స్వాడ్ ఎక్స్‌ట్రా హాట్ చిల్లీ పౌడర్ 14 oz (400గ్రా)</v>
      </c>
      <c r="C644" s="4" t="str">
        <f>IFERROR(__xludf.DUMMYFUNCTION("GOOGLETRANSLATE(A644, ""en"", ""hi"")"),"स्वैड एक्स्ट्रा हॉट मिर्च पाउडर 14 औंस (400 ग्राम)")</f>
        <v>स्वैड एक्स्ट्रा हॉट मिर्च पाउडर 14 औंस (400 ग्राम)</v>
      </c>
      <c r="D644" s="2" t="s">
        <v>2647</v>
      </c>
      <c r="E644" s="2" t="s">
        <v>442</v>
      </c>
      <c r="F644" s="1">
        <v>2.0</v>
      </c>
      <c r="G644" s="3" t="s">
        <v>114</v>
      </c>
    </row>
    <row r="645">
      <c r="A645" s="3" t="s">
        <v>4415</v>
      </c>
      <c r="B645" s="4" t="str">
        <f>IFERROR(__xludf.DUMMYFUNCTION("GOOGLETRANSLATE(A645, ""en"", ""te"")"),"టాప్ రామెన్ మసాలా 480గ్రా")</f>
        <v>టాప్ రామెన్ మసాలా 480గ్రా</v>
      </c>
      <c r="C645" s="4" t="str">
        <f>IFERROR(__xludf.DUMMYFUNCTION("GOOGLETRANSLATE(A645, ""en"", ""hi"")"),"टॉप रामेन मसाला 480 ग्राम")</f>
        <v>टॉप रामेन मसाला 480 ग्राम</v>
      </c>
      <c r="D645" s="2" t="s">
        <v>1070</v>
      </c>
      <c r="E645" s="2" t="s">
        <v>442</v>
      </c>
      <c r="F645" s="1">
        <v>2.0</v>
      </c>
      <c r="G645" s="3" t="s">
        <v>10</v>
      </c>
    </row>
    <row r="646">
      <c r="A646" s="3" t="s">
        <v>4416</v>
      </c>
      <c r="B646" s="4" t="str">
        <f>IFERROR(__xludf.DUMMYFUNCTION("GOOGLETRANSLATE(A646, ""en"", ""te"")"),"టాప్ రామెన్ మసాలా 360గ్రా")</f>
        <v>టాప్ రామెన్ మసాలా 360గ్రా</v>
      </c>
      <c r="C646" s="4" t="str">
        <f>IFERROR(__xludf.DUMMYFUNCTION("GOOGLETRANSLATE(A646, ""en"", ""hi"")"),"टॉप रामेन मसाला 360 ग्राम")</f>
        <v>टॉप रामेन मसाला 360 ग्राम</v>
      </c>
      <c r="D646" s="2" t="s">
        <v>1070</v>
      </c>
      <c r="E646" s="2" t="s">
        <v>442</v>
      </c>
      <c r="F646" s="1">
        <v>2.0</v>
      </c>
      <c r="G646" s="3" t="s">
        <v>10</v>
      </c>
    </row>
    <row r="647">
      <c r="A647" s="3" t="s">
        <v>4417</v>
      </c>
      <c r="B647" s="4" t="str">
        <f>IFERROR(__xludf.DUMMYFUNCTION("GOOGLETRANSLATE(A647, ""en"", ""te"")"),"టాప్ రామెన్ మసాలా")</f>
        <v>టాప్ రామెన్ మసాలా</v>
      </c>
      <c r="C647" s="4" t="str">
        <f>IFERROR(__xludf.DUMMYFUNCTION("GOOGLETRANSLATE(A647, ""en"", ""hi"")"),"टॉप रामेन मसाला")</f>
        <v>टॉप रामेन मसाला</v>
      </c>
      <c r="D647" s="2" t="s">
        <v>1070</v>
      </c>
      <c r="E647" s="2" t="s">
        <v>442</v>
      </c>
      <c r="F647" s="1">
        <v>2.0</v>
      </c>
      <c r="G647" s="3" t="s">
        <v>10</v>
      </c>
    </row>
    <row r="648">
      <c r="A648" s="3" t="s">
        <v>4418</v>
      </c>
      <c r="B648" s="4" t="str">
        <f>IFERROR(__xludf.DUMMYFUNCTION("GOOGLETRANSLATE(A648, ""en"", ""te"")"),"షాన్ పిలావ్ బిర్యానీ")</f>
        <v>షాన్ పిలావ్ బిర్యానీ</v>
      </c>
      <c r="C648" s="4" t="str">
        <f>IFERROR(__xludf.DUMMYFUNCTION("GOOGLETRANSLATE(A648, ""en"", ""hi"")"),"शान पुलाव बिरयानी")</f>
        <v>शान पुलाव बिरयानी</v>
      </c>
      <c r="D648" s="2" t="s">
        <v>1070</v>
      </c>
      <c r="E648" s="2" t="s">
        <v>9</v>
      </c>
      <c r="F648" s="1">
        <v>2.0</v>
      </c>
      <c r="G648" s="3" t="s">
        <v>4419</v>
      </c>
    </row>
    <row r="649">
      <c r="A649" s="3" t="s">
        <v>4420</v>
      </c>
      <c r="B649" s="4" t="str">
        <f>IFERROR(__xludf.DUMMYFUNCTION("GOOGLETRANSLATE(A649, ""en"", ""te"")"),"షాన్ పంజాబీ యఖ్నీ పిలావ్")</f>
        <v>షాన్ పంజాబీ యఖ్నీ పిలావ్</v>
      </c>
      <c r="C649" s="4" t="str">
        <f>IFERROR(__xludf.DUMMYFUNCTION("GOOGLETRANSLATE(A649, ""en"", ""hi"")"),"शान पंजाबी यखनी पुलाव")</f>
        <v>शान पंजाबी यखनी पुलाव</v>
      </c>
      <c r="D649" s="2" t="s">
        <v>1070</v>
      </c>
      <c r="E649" s="2" t="s">
        <v>442</v>
      </c>
      <c r="F649" s="1">
        <v>2.0</v>
      </c>
      <c r="G649" s="3" t="s">
        <v>4419</v>
      </c>
    </row>
    <row r="650">
      <c r="A650" s="3" t="s">
        <v>4421</v>
      </c>
      <c r="B650" s="4" t="str">
        <f>IFERROR(__xludf.DUMMYFUNCTION("GOOGLETRANSLATE(A650, ""en"", ""te"")"),"షాన్ పాయా")</f>
        <v>షాన్ పాయా</v>
      </c>
      <c r="C650" s="4" t="str">
        <f>IFERROR(__xludf.DUMMYFUNCTION("GOOGLETRANSLATE(A650, ""en"", ""hi"")"),"शान पाया")</f>
        <v>शान पाया</v>
      </c>
      <c r="D650" s="5"/>
      <c r="E650" s="2" t="s">
        <v>940</v>
      </c>
      <c r="F650" s="1">
        <v>2.0</v>
      </c>
      <c r="G650" s="3" t="s">
        <v>4419</v>
      </c>
    </row>
    <row r="651">
      <c r="A651" s="3" t="s">
        <v>4422</v>
      </c>
      <c r="B651" s="4" t="str">
        <f>IFERROR(__xludf.DUMMYFUNCTION("GOOGLETRANSLATE(A651, ""en"", ""te"")"),"షాన్ పానీ పూరీ మసాలా")</f>
        <v>షాన్ పానీ పూరీ మసాలా</v>
      </c>
      <c r="C651" s="4" t="str">
        <f>IFERROR(__xludf.DUMMYFUNCTION("GOOGLETRANSLATE(A651, ""en"", ""hi"")"),"शान पानी पूरी मसाला")</f>
        <v>शान पानी पूरी मसाला</v>
      </c>
      <c r="D651" s="2" t="s">
        <v>1304</v>
      </c>
      <c r="E651" s="2" t="s">
        <v>442</v>
      </c>
      <c r="F651" s="1">
        <v>2.0</v>
      </c>
      <c r="G651" s="3" t="s">
        <v>4419</v>
      </c>
    </row>
    <row r="652">
      <c r="A652" s="3" t="s">
        <v>4423</v>
      </c>
      <c r="B652" s="4" t="str">
        <f>IFERROR(__xludf.DUMMYFUNCTION("GOOGLETRANSLATE(A652, ""en"", ""te"")"),"షాన్ మటన్ బిర్యానీ")</f>
        <v>షాన్ మటన్ బిర్యానీ</v>
      </c>
      <c r="C652" s="4" t="str">
        <f>IFERROR(__xludf.DUMMYFUNCTION("GOOGLETRANSLATE(A652, ""en"", ""hi"")"),"शान मटन बिरयानी")</f>
        <v>शान मटन बिरयानी</v>
      </c>
      <c r="D652" s="2" t="s">
        <v>987</v>
      </c>
      <c r="E652" s="2" t="s">
        <v>940</v>
      </c>
      <c r="F652" s="1">
        <v>2.0</v>
      </c>
      <c r="G652" s="3" t="s">
        <v>4419</v>
      </c>
    </row>
    <row r="653">
      <c r="A653" s="3" t="s">
        <v>4424</v>
      </c>
      <c r="B653" s="4" t="str">
        <f>IFERROR(__xludf.DUMMYFUNCTION("GOOGLETRANSLATE(A653, ""en"", ""te"")"),"షాన్ మాంసం మెత్తబరిచేది")</f>
        <v>షాన్ మాంసం మెత్తబరిచేది</v>
      </c>
      <c r="C653" s="4" t="str">
        <f>IFERROR(__xludf.DUMMYFUNCTION("GOOGLETRANSLATE(A653, ""en"", ""hi"")"),"शान मीट टेंडराइज़र")</f>
        <v>शान मीट टेंडराइज़र</v>
      </c>
      <c r="D653" s="2" t="s">
        <v>4425</v>
      </c>
      <c r="E653" s="2" t="s">
        <v>940</v>
      </c>
      <c r="F653" s="1">
        <v>2.0</v>
      </c>
      <c r="G653" s="3" t="s">
        <v>4419</v>
      </c>
    </row>
    <row r="654">
      <c r="A654" s="3" t="s">
        <v>4426</v>
      </c>
      <c r="B654" s="4" t="str">
        <f>IFERROR(__xludf.DUMMYFUNCTION("GOOGLETRANSLATE(A654, ""en"", ""te"")"),"షాన్ చికెన్ బిర్యానీ")</f>
        <v>షాన్ చికెన్ బిర్యానీ</v>
      </c>
      <c r="C654" s="4" t="str">
        <f>IFERROR(__xludf.DUMMYFUNCTION("GOOGLETRANSLATE(A654, ""en"", ""hi"")"),"शान चिकन बिरयानी")</f>
        <v>शान चिकन बिरयानी</v>
      </c>
      <c r="D654" s="2" t="s">
        <v>1431</v>
      </c>
      <c r="E654" s="2" t="s">
        <v>940</v>
      </c>
      <c r="F654" s="1">
        <v>2.0</v>
      </c>
      <c r="G654" s="3" t="s">
        <v>4419</v>
      </c>
    </row>
    <row r="655">
      <c r="A655" s="3" t="s">
        <v>4368</v>
      </c>
      <c r="B655" s="4" t="str">
        <f>IFERROR(__xludf.DUMMYFUNCTION("GOOGLETRANSLATE(A655, ""en"", ""te"")"),"ప్రియా గరం మసాలా")</f>
        <v>ప్రియా గరం మసాలా</v>
      </c>
      <c r="C655" s="4" t="str">
        <f>IFERROR(__xludf.DUMMYFUNCTION("GOOGLETRANSLATE(A655, ""en"", ""hi"")"),"प्रिया गरम मसाला")</f>
        <v>प्रिया गरम मसाला</v>
      </c>
      <c r="D655" s="5"/>
      <c r="E655" s="2" t="s">
        <v>442</v>
      </c>
      <c r="F655" s="1">
        <v>2.0</v>
      </c>
      <c r="G655" s="3" t="s">
        <v>4434</v>
      </c>
    </row>
    <row r="656">
      <c r="A656" s="3" t="s">
        <v>4374</v>
      </c>
      <c r="B656" s="4" t="str">
        <f>IFERROR(__xludf.DUMMYFUNCTION("GOOGLETRANSLATE(A656, ""en"", ""te"")"),"ప్రియా ఫిష్ మసాలా పౌడర్")</f>
        <v>ప్రియా ఫిష్ మసాలా పౌడర్</v>
      </c>
      <c r="C656" s="4" t="str">
        <f>IFERROR(__xludf.DUMMYFUNCTION("GOOGLETRANSLATE(A656, ""en"", ""hi"")"),"प्रिया फिश मसाला पाउडर")</f>
        <v>प्रिया फिश मसाला पाउडर</v>
      </c>
      <c r="D656" s="5"/>
      <c r="E656" s="2" t="s">
        <v>442</v>
      </c>
      <c r="F656" s="1">
        <v>2.0</v>
      </c>
      <c r="G656" s="3" t="s">
        <v>4434</v>
      </c>
    </row>
    <row r="657">
      <c r="A657" s="3" t="s">
        <v>4437</v>
      </c>
      <c r="B657" s="4" t="str">
        <f>IFERROR(__xludf.DUMMYFUNCTION("GOOGLETRANSLATE(A657, ""en"", ""te"")"),"ప్రియా చికెన్ మసాలా పౌడర్")</f>
        <v>ప్రియా చికెన్ మసాలా పౌడర్</v>
      </c>
      <c r="C657" s="4" t="str">
        <f>IFERROR(__xludf.DUMMYFUNCTION("GOOGLETRANSLATE(A657, ""en"", ""hi"")"),"प्रिया चिकन मसाला पाउडर")</f>
        <v>प्रिया चिकन मसाला पाउडर</v>
      </c>
      <c r="D657" s="5"/>
      <c r="E657" s="2" t="s">
        <v>442</v>
      </c>
      <c r="F657" s="1">
        <v>2.0</v>
      </c>
      <c r="G657" s="3" t="s">
        <v>4434</v>
      </c>
    </row>
    <row r="658">
      <c r="A658" s="3" t="s">
        <v>4438</v>
      </c>
      <c r="B658" s="4" t="str">
        <f>IFERROR(__xludf.DUMMYFUNCTION("GOOGLETRANSLATE(A658, ""en"", ""te"")"),"ప్రియా కరివేపాకు పొడి")</f>
        <v>ప్రియా కరివేపాకు పొడి</v>
      </c>
      <c r="C658" s="4" t="str">
        <f>IFERROR(__xludf.DUMMYFUNCTION("GOOGLETRANSLATE(A658, ""en"", ""hi"")"),"प्रिया करी पत्ता पाउडर")</f>
        <v>प्रिया करी पत्ता पाउडर</v>
      </c>
      <c r="D658" s="2" t="s">
        <v>3397</v>
      </c>
      <c r="E658" s="2" t="s">
        <v>442</v>
      </c>
      <c r="F658" s="1">
        <v>2.0</v>
      </c>
      <c r="G658" s="3" t="s">
        <v>4434</v>
      </c>
    </row>
    <row r="659">
      <c r="A659" s="3" t="s">
        <v>4439</v>
      </c>
      <c r="B659" s="4" t="str">
        <f>IFERROR(__xludf.DUMMYFUNCTION("GOOGLETRANSLATE(A659, ""en"", ""te"")"),"ప్రియా బిర్యానీ మసాలా పౌడర్")</f>
        <v>ప్రియా బిర్యానీ మసాలా పౌడర్</v>
      </c>
      <c r="C659" s="4" t="str">
        <f>IFERROR(__xludf.DUMMYFUNCTION("GOOGLETRANSLATE(A659, ""en"", ""hi"")"),"प्रिया बिरयानी मसाला पाउडर")</f>
        <v>प्रिया बिरयानी मसाला पाउडर</v>
      </c>
      <c r="D659" s="5"/>
      <c r="E659" s="2" t="s">
        <v>442</v>
      </c>
      <c r="F659" s="1">
        <v>2.0</v>
      </c>
      <c r="G659" s="3" t="s">
        <v>4434</v>
      </c>
    </row>
    <row r="660">
      <c r="A660" s="3" t="s">
        <v>4440</v>
      </c>
      <c r="B660" s="4" t="str">
        <f>IFERROR(__xludf.DUMMYFUNCTION("GOOGLETRANSLATE(A660, ""en"", ""te"")"),"24 మంత్ర సాంబార్ పొడి")</f>
        <v>24 మంత్ర సాంబార్ పొడి</v>
      </c>
      <c r="C660" s="4" t="str">
        <f>IFERROR(__xludf.DUMMYFUNCTION("GOOGLETRANSLATE(A660, ""en"", ""hi"")"),"24 मंत्र सांभर पाउडर")</f>
        <v>24 मंत्र सांभर पाउडर</v>
      </c>
      <c r="D660" s="2" t="s">
        <v>3397</v>
      </c>
      <c r="E660" s="2" t="s">
        <v>442</v>
      </c>
      <c r="F660" s="1">
        <v>2.0</v>
      </c>
      <c r="G660" s="3" t="s">
        <v>4434</v>
      </c>
    </row>
    <row r="661">
      <c r="A661" s="3" t="s">
        <v>4441</v>
      </c>
      <c r="B661" s="4" t="str">
        <f>IFERROR(__xludf.DUMMYFUNCTION("GOOGLETRANSLATE(A661, ""en"", ""te"")"),"24 మంత్ర రొయ్యల మసాలా")</f>
        <v>24 మంత్ర రొయ్యల మసాలా</v>
      </c>
      <c r="C661" s="4" t="str">
        <f>IFERROR(__xludf.DUMMYFUNCTION("GOOGLETRANSLATE(A661, ""en"", ""hi"")"),"24 मंत्रा प्रॉन मसाला")</f>
        <v>24 मंत्रा प्रॉन मसाला</v>
      </c>
      <c r="D661" s="5"/>
      <c r="E661" s="2" t="s">
        <v>442</v>
      </c>
      <c r="F661" s="1">
        <v>2.0</v>
      </c>
      <c r="G661" s="3" t="s">
        <v>4434</v>
      </c>
    </row>
    <row r="662">
      <c r="A662" s="3" t="s">
        <v>4442</v>
      </c>
      <c r="B662" s="4" t="str">
        <f>IFERROR(__xludf.DUMMYFUNCTION("GOOGLETRANSLATE(A662, ""en"", ""te"")"),"24 మంత్ర పనీర్ మసాలా")</f>
        <v>24 మంత్ర పనీర్ మసాలా</v>
      </c>
      <c r="C662" s="4" t="str">
        <f>IFERROR(__xludf.DUMMYFUNCTION("GOOGLETRANSLATE(A662, ""en"", ""hi"")"),"24 मंत्रा पनीर मसाला")</f>
        <v>24 मंत्रा पनीर मसाला</v>
      </c>
      <c r="D662" s="5"/>
      <c r="E662" s="2" t="s">
        <v>442</v>
      </c>
      <c r="F662" s="1">
        <v>2.0</v>
      </c>
      <c r="G662" s="3" t="s">
        <v>4434</v>
      </c>
    </row>
    <row r="663">
      <c r="A663" s="3" t="s">
        <v>4443</v>
      </c>
      <c r="B663" s="4" t="str">
        <f>IFERROR(__xludf.DUMMYFUNCTION("GOOGLETRANSLATE(A663, ""en"", ""te"")"),"24 మంత్ర మీట్ మసాలా")</f>
        <v>24 మంత్ర మీట్ మసాలా</v>
      </c>
      <c r="C663" s="4" t="str">
        <f>IFERROR(__xludf.DUMMYFUNCTION("GOOGLETRANSLATE(A663, ""en"", ""hi"")"),"24 मंत्रा मीट मसाला")</f>
        <v>24 मंत्रा मीट मसाला</v>
      </c>
      <c r="D663" s="5"/>
      <c r="E663" s="2" t="s">
        <v>442</v>
      </c>
      <c r="F663" s="1">
        <v>2.0</v>
      </c>
      <c r="G663" s="3" t="s">
        <v>4434</v>
      </c>
    </row>
    <row r="664">
      <c r="A664" s="3" t="s">
        <v>4444</v>
      </c>
      <c r="B664" s="4" t="str">
        <f>IFERROR(__xludf.DUMMYFUNCTION("GOOGLETRANSLATE(A664, ""en"", ""te"")"),"24 మంత్ర కిచెన్ కింగ్ మసాలా")</f>
        <v>24 మంత్ర కిచెన్ కింగ్ మసాలా</v>
      </c>
      <c r="C664" s="4" t="str">
        <f>IFERROR(__xludf.DUMMYFUNCTION("GOOGLETRANSLATE(A664, ""en"", ""hi"")"),"24 मंत्रा किचन किंग मसाला")</f>
        <v>24 मंत्रा किचन किंग मसाला</v>
      </c>
      <c r="D664" s="5"/>
      <c r="E664" s="2" t="s">
        <v>442</v>
      </c>
      <c r="F664" s="1">
        <v>2.0</v>
      </c>
      <c r="G664" s="3" t="s">
        <v>4434</v>
      </c>
    </row>
    <row r="665">
      <c r="A665" s="3" t="s">
        <v>4445</v>
      </c>
      <c r="B665" s="4" t="str">
        <f>IFERROR(__xludf.DUMMYFUNCTION("GOOGLETRANSLATE(A665, ""en"", ""te"")"),"24 మంత్ర ఆరం మసాలా")</f>
        <v>24 మంత్ర ఆరం మసాలా</v>
      </c>
      <c r="C665" s="4" t="str">
        <f>IFERROR(__xludf.DUMMYFUNCTION("GOOGLETRANSLATE(A665, ""en"", ""hi"")"),"24 मंत्र अरम मसाला")</f>
        <v>24 मंत्र अरम मसाला</v>
      </c>
      <c r="D665" s="2" t="s">
        <v>1655</v>
      </c>
      <c r="E665" s="2" t="s">
        <v>442</v>
      </c>
      <c r="F665" s="1">
        <v>2.0</v>
      </c>
      <c r="G665" s="3" t="s">
        <v>4434</v>
      </c>
    </row>
    <row r="666">
      <c r="A666" s="3" t="s">
        <v>4404</v>
      </c>
      <c r="B666" s="4" t="str">
        <f>IFERROR(__xludf.DUMMYFUNCTION("GOOGLETRANSLATE(A666, ""en"", ""te"")"),"స్వాద్ టీ మసాలా")</f>
        <v>స్వాద్ టీ మసాలా</v>
      </c>
      <c r="C666" s="4" t="str">
        <f>IFERROR(__xludf.DUMMYFUNCTION("GOOGLETRANSLATE(A666, ""en"", ""hi"")"),"स्वाद टी मसाला")</f>
        <v>स्वाद टी मसाला</v>
      </c>
      <c r="D666" s="2" t="s">
        <v>4401</v>
      </c>
      <c r="E666" s="2" t="s">
        <v>442</v>
      </c>
      <c r="F666" s="1">
        <v>2.0</v>
      </c>
      <c r="G666" s="3" t="s">
        <v>4446</v>
      </c>
    </row>
    <row r="667">
      <c r="A667" s="3" t="s">
        <v>4447</v>
      </c>
      <c r="B667" s="4" t="str">
        <f>IFERROR(__xludf.DUMMYFUNCTION("GOOGLETRANSLATE(A667, ""en"", ""te"")"),"హిమాలయన్ సాల్టెడ్ 7oz")</f>
        <v>హిమాలయన్ సాల్టెడ్ 7oz</v>
      </c>
      <c r="C667" s="4" t="str">
        <f>IFERROR(__xludf.DUMMYFUNCTION("GOOGLETRANSLATE(A667, ""en"", ""hi"")"),"हिमालयन सॉल्टेड 7 औंस")</f>
        <v>हिमालयन सॉल्टेड 7 औंस</v>
      </c>
      <c r="D667" s="5"/>
      <c r="E667" s="2" t="s">
        <v>4407</v>
      </c>
      <c r="F667" s="1">
        <v>2.0</v>
      </c>
      <c r="G667" s="3" t="s">
        <v>4446</v>
      </c>
    </row>
    <row r="668">
      <c r="A668" s="3" t="s">
        <v>4448</v>
      </c>
      <c r="B668" s="4" t="str">
        <f>IFERROR(__xludf.DUMMYFUNCTION("GOOGLETRANSLATE(A668, ""en"", ""te"")"),"షాల్స్ లే కామింగోస్")</f>
        <v>షాల్స్ లే కామింగోస్</v>
      </c>
      <c r="C668" s="4" t="str">
        <f>IFERROR(__xludf.DUMMYFUNCTION("GOOGLETRANSLATE(A668, ""en"", ""hi"")"),"Shaals Le Camingos")</f>
        <v>Shaals Le Camingos</v>
      </c>
      <c r="D668" s="2" t="s">
        <v>4449</v>
      </c>
      <c r="E668" s="2" t="s">
        <v>1294</v>
      </c>
      <c r="F668" s="1">
        <v>2.0</v>
      </c>
      <c r="G668" s="3" t="s">
        <v>4446</v>
      </c>
    </row>
    <row r="669">
      <c r="A669" s="3" t="s">
        <v>4450</v>
      </c>
      <c r="B669" s="4" t="str">
        <f>IFERROR(__xludf.DUMMYFUNCTION("GOOGLETRANSLATE(A669, ""en"", ""te"")"),"లోతైన నువ్వులు")</f>
        <v>లోతైన నువ్వులు</v>
      </c>
      <c r="C669" s="4" t="str">
        <f>IFERROR(__xludf.DUMMYFUNCTION("GOOGLETRANSLATE(A669, ""en"", ""hi"")"),"गहरे तिल के बीज")</f>
        <v>गहरे तिल के बीज</v>
      </c>
      <c r="D669" s="2" t="s">
        <v>1617</v>
      </c>
      <c r="E669" s="2" t="s">
        <v>2700</v>
      </c>
      <c r="F669" s="1">
        <v>2.0</v>
      </c>
      <c r="G669" s="3" t="s">
        <v>4446</v>
      </c>
    </row>
    <row r="670">
      <c r="A670" s="3" t="s">
        <v>4451</v>
      </c>
      <c r="B670" s="4" t="str">
        <f>IFERROR(__xludf.DUMMYFUNCTION("GOOGLETRANSLATE(A670, ""en"", ""te"")"),"లోతైన కొత్తిమీర")</f>
        <v>లోతైన కొత్తిమీర</v>
      </c>
      <c r="C670" s="4" t="str">
        <f>IFERROR(__xludf.DUMMYFUNCTION("GOOGLETRANSLATE(A670, ""en"", ""hi"")"),"गहरा धनिया")</f>
        <v>गहरा धनिया</v>
      </c>
      <c r="D670" s="2" t="s">
        <v>2644</v>
      </c>
      <c r="E670" s="2" t="s">
        <v>442</v>
      </c>
      <c r="F670" s="1">
        <v>2.0</v>
      </c>
      <c r="G670" s="3" t="s">
        <v>4446</v>
      </c>
    </row>
    <row r="671">
      <c r="A671" s="3" t="s">
        <v>4452</v>
      </c>
      <c r="B671" s="4" t="str">
        <f>IFERROR(__xludf.DUMMYFUNCTION("GOOGLETRANSLATE(A671, ""en"", ""te"")"),"లోతైన జీలకర్ర")</f>
        <v>లోతైన జీలకర్ర</v>
      </c>
      <c r="C671" s="4" t="str">
        <f>IFERROR(__xludf.DUMMYFUNCTION("GOOGLETRANSLATE(A671, ""en"", ""hi"")"),"गहरा जीरा")</f>
        <v>गहरा जीरा</v>
      </c>
      <c r="D671" s="2" t="s">
        <v>4453</v>
      </c>
      <c r="E671" s="2" t="s">
        <v>442</v>
      </c>
      <c r="F671" s="1">
        <v>2.0</v>
      </c>
      <c r="G671" s="3" t="s">
        <v>4446</v>
      </c>
    </row>
    <row r="672">
      <c r="A672" s="3" t="s">
        <v>4454</v>
      </c>
      <c r="B672" s="4" t="str">
        <f>IFERROR(__xludf.DUMMYFUNCTION("GOOGLETRANSLATE(A672, ""en"", ""te"")"),"స్వాద్ మిరప పొడి జుట్కా హాట్")</f>
        <v>స్వాద్ మిరప పొడి జుట్కా హాట్</v>
      </c>
      <c r="C672" s="4" t="str">
        <f>IFERROR(__xludf.DUMMYFUNCTION("GOOGLETRANSLATE(A672, ""en"", ""hi"")"),"स्वाद मिर्च पाउडर जूटका हॉट")</f>
        <v>स्वाद मिर्च पाउडर जूटका हॉट</v>
      </c>
      <c r="D672" s="2" t="s">
        <v>1636</v>
      </c>
      <c r="E672" s="2" t="s">
        <v>442</v>
      </c>
      <c r="F672" s="1">
        <v>2.0</v>
      </c>
      <c r="G672" s="3" t="s">
        <v>329</v>
      </c>
    </row>
    <row r="673">
      <c r="A673" s="3" t="s">
        <v>4455</v>
      </c>
      <c r="B673" s="4" t="str">
        <f>IFERROR(__xludf.DUMMYFUNCTION("GOOGLETRANSLATE(A673, ""en"", ""te"")"),"దైవి ఎక్స్‌ట్రా హాట్ చిల్లీ పౌడర్")</f>
        <v>దైవి ఎక్స్‌ట్రా హాట్ చిల్లీ పౌడర్</v>
      </c>
      <c r="C673" s="4" t="str">
        <f>IFERROR(__xludf.DUMMYFUNCTION("GOOGLETRANSLATE(A673, ""en"", ""hi"")"),"दैवी एक्स्ट्रा हॉट चिली पाउडर")</f>
        <v>दैवी एक्स्ट्रा हॉट चिली पाउडर</v>
      </c>
      <c r="D673" s="2" t="s">
        <v>1636</v>
      </c>
      <c r="E673" s="2" t="s">
        <v>442</v>
      </c>
      <c r="F673" s="1">
        <v>2.0</v>
      </c>
      <c r="G673" s="3" t="s">
        <v>329</v>
      </c>
    </row>
    <row r="674">
      <c r="A674" s="3" t="s">
        <v>4456</v>
      </c>
      <c r="B674" s="4" t="str">
        <f>IFERROR(__xludf.DUMMYFUNCTION("GOOGLETRANSLATE(A674, ""en"", ""te"")"),"లక్ష్మి ఎక్స్‌ట్రా హాట్ చిల్లీ పౌడర్ 14oz (400గ్రా)")</f>
        <v>లక్ష్మి ఎక్స్‌ట్రా హాట్ చిల్లీ పౌడర్ 14oz (400గ్రా)</v>
      </c>
      <c r="C674" s="4" t="str">
        <f>IFERROR(__xludf.DUMMYFUNCTION("GOOGLETRANSLATE(A674, ""en"", ""hi"")"),"लक्ष्मी एक्स्ट्रा हॉट चिली पाउडर 14 औंस (400 ग्राम)")</f>
        <v>लक्ष्मी एक्स्ट्रा हॉट चिली पाउडर 14 औंस (400 ग्राम)</v>
      </c>
      <c r="D674" s="2" t="s">
        <v>4457</v>
      </c>
      <c r="E674" s="2" t="s">
        <v>442</v>
      </c>
      <c r="F674" s="1">
        <v>2.0</v>
      </c>
      <c r="G674" s="3" t="s">
        <v>329</v>
      </c>
    </row>
    <row r="675">
      <c r="A675" s="3" t="s">
        <v>4458</v>
      </c>
      <c r="B675" s="4" t="str">
        <f>IFERROR(__xludf.DUMMYFUNCTION("GOOGLETRANSLATE(A675, ""en"", ""te"")"),"లక్ష్మి ఎక్స్‌ట్రా హాట్ చిల్లీ పౌడర్ 7oz (198గ్రా)")</f>
        <v>లక్ష్మి ఎక్స్‌ట్రా హాట్ చిల్లీ పౌడర్ 7oz (198గ్రా)</v>
      </c>
      <c r="C675" s="4" t="str">
        <f>IFERROR(__xludf.DUMMYFUNCTION("GOOGLETRANSLATE(A675, ""en"", ""hi"")"),"लक्ष्मी एक्स्ट्रा हॉट चिली पाउडर 7 औंस (198 ग्राम)")</f>
        <v>लक्ष्मी एक्स्ट्रा हॉट चिली पाउडर 7 औंस (198 ग्राम)</v>
      </c>
      <c r="D675" s="2" t="s">
        <v>4459</v>
      </c>
      <c r="E675" s="2" t="s">
        <v>442</v>
      </c>
      <c r="F675" s="1">
        <v>2.0</v>
      </c>
      <c r="G675" s="3" t="s">
        <v>329</v>
      </c>
    </row>
    <row r="676">
      <c r="A676" s="3" t="s">
        <v>4460</v>
      </c>
      <c r="B676" s="4" t="str">
        <f>IFERROR(__xludf.DUMMYFUNCTION("GOOGLETRANSLATE(A676, ""en"", ""te"")"),"అసిరా మిరప పొడి చాలా ఘాటుగా ఉంటుంది")</f>
        <v>అసిరా మిరప పొడి చాలా ఘాటుగా ఉంటుంది</v>
      </c>
      <c r="C676" s="4" t="str">
        <f>IFERROR(__xludf.DUMMYFUNCTION("GOOGLETRANSLATE(A676, ""en"", ""hi"")"),"असिरा मिर्च पाउडर, अतिरिक्त तीखा")</f>
        <v>असिरा मिर्च पाउडर, अतिरिक्त तीखा</v>
      </c>
      <c r="D676" s="2" t="s">
        <v>4461</v>
      </c>
      <c r="E676" s="2" t="s">
        <v>442</v>
      </c>
      <c r="F676" s="1">
        <v>2.0</v>
      </c>
      <c r="G676" s="3" t="s">
        <v>329</v>
      </c>
    </row>
    <row r="677">
      <c r="A677" s="3" t="s">
        <v>3989</v>
      </c>
      <c r="B677" s="4" t="str">
        <f>IFERROR(__xludf.DUMMYFUNCTION("GOOGLETRANSLATE(A677, ""en"", ""te"")"),"ఎర్ర మిరప పొడి")</f>
        <v>ఎర్ర మిరప పొడి</v>
      </c>
      <c r="C677" s="4" t="str">
        <f>IFERROR(__xludf.DUMMYFUNCTION("GOOGLETRANSLATE(A677, ""en"", ""hi"")"),"लाल मिर्च पाउडर")</f>
        <v>लाल मिर्च पाउडर</v>
      </c>
      <c r="D677" s="2" t="s">
        <v>3996</v>
      </c>
      <c r="E677" s="2" t="s">
        <v>442</v>
      </c>
      <c r="F677" s="1">
        <v>2.0</v>
      </c>
      <c r="G677" s="3" t="s">
        <v>329</v>
      </c>
    </row>
    <row r="678">
      <c r="A678" s="3" t="s">
        <v>4237</v>
      </c>
      <c r="B678" s="4" t="str">
        <f>IFERROR(__xludf.DUMMYFUNCTION("GOOGLETRANSLATE(A678, ""en"", ""te"")"),"లక్ష్మి ఎర్ర మిరప పొడి")</f>
        <v>లక్ష్మి ఎర్ర మిరప పొడి</v>
      </c>
      <c r="C678" s="4" t="str">
        <f>IFERROR(__xludf.DUMMYFUNCTION("GOOGLETRANSLATE(A678, ""en"", ""hi"")"),"लक्ष्मी लाल मिर्च पाउडर")</f>
        <v>लक्ष्मी लाल मिर्च पाउडर</v>
      </c>
      <c r="D678" s="2" t="s">
        <v>4462</v>
      </c>
      <c r="E678" s="2" t="s">
        <v>442</v>
      </c>
      <c r="F678" s="1">
        <v>2.0</v>
      </c>
      <c r="G678" s="3" t="s">
        <v>329</v>
      </c>
    </row>
    <row r="679">
      <c r="A679" s="3" t="s">
        <v>4463</v>
      </c>
      <c r="B679" s="4" t="str">
        <f>IFERROR(__xludf.DUMMYFUNCTION("GOOGLETRANSLATE(A679, ""en"", ""te"")"),"కాశ్మీరీ కారం పొడి 7oz (198గ్రా)")</f>
        <v>కాశ్మీరీ కారం పొడి 7oz (198గ్రా)</v>
      </c>
      <c r="C679" s="4" t="str">
        <f>IFERROR(__xludf.DUMMYFUNCTION("GOOGLETRANSLATE(A679, ""en"", ""hi"")"),"कश्मीरी मिर्च पाउडर 7 औंस (198 ग्राम)")</f>
        <v>कश्मीरी मिर्च पाउडर 7 औंस (198 ग्राम)</v>
      </c>
      <c r="D679" s="2" t="s">
        <v>3996</v>
      </c>
      <c r="E679" s="2" t="s">
        <v>442</v>
      </c>
      <c r="F679" s="1">
        <v>2.0</v>
      </c>
      <c r="G679" s="3" t="s">
        <v>329</v>
      </c>
    </row>
    <row r="680">
      <c r="A680" s="3" t="s">
        <v>4464</v>
      </c>
      <c r="B680" s="4" t="str">
        <f>IFERROR(__xludf.DUMMYFUNCTION("GOOGLETRANSLATE(A680, ""en"", ""te"")"),"కారం పొడి కాశ్మీరీ")</f>
        <v>కారం పొడి కాశ్మీరీ</v>
      </c>
      <c r="C680" s="4" t="str">
        <f>IFERROR(__xludf.DUMMYFUNCTION("GOOGLETRANSLATE(A680, ""en"", ""hi"")"),"कश्मीरी मिर्च पाउडर")</f>
        <v>कश्मीरी मिर्च पाउडर</v>
      </c>
      <c r="D680" s="2" t="s">
        <v>1636</v>
      </c>
      <c r="E680" s="2" t="s">
        <v>442</v>
      </c>
      <c r="F680" s="1">
        <v>2.0</v>
      </c>
      <c r="G680" s="3" t="s">
        <v>329</v>
      </c>
    </row>
    <row r="681">
      <c r="A681" s="3" t="s">
        <v>2710</v>
      </c>
      <c r="B681" s="4" t="str">
        <f>IFERROR(__xludf.DUMMYFUNCTION("GOOGLETRANSLATE(A681, ""en"", ""te"")"),"మ్యాగీ మసాలా నూడుల్స్")</f>
        <v>మ్యాగీ మసాలా నూడుల్స్</v>
      </c>
      <c r="C681" s="4" t="str">
        <f>IFERROR(__xludf.DUMMYFUNCTION("GOOGLETRANSLATE(A681, ""en"", ""hi"")"),"मैगी मसाला नूडल्स")</f>
        <v>मैगी मसाला नूडल्स</v>
      </c>
      <c r="D681" s="5"/>
      <c r="E681" s="2" t="s">
        <v>940</v>
      </c>
      <c r="F681" s="1">
        <v>2.0</v>
      </c>
      <c r="G681" s="3" t="s">
        <v>350</v>
      </c>
    </row>
    <row r="682">
      <c r="A682" s="3" t="s">
        <v>4465</v>
      </c>
      <c r="B682" s="4" t="str">
        <f>IFERROR(__xludf.DUMMYFUNCTION("GOOGLETRANSLATE(A682, ""en"", ""te"")"),"బుల్డాక్ స్పైసీ చికెన్ రామెన్ (నలుపు)")</f>
        <v>బుల్డాక్ స్పైసీ చికెన్ రామెన్ (నలుపు)</v>
      </c>
      <c r="C682" s="4" t="str">
        <f>IFERROR(__xludf.DUMMYFUNCTION("GOOGLETRANSLATE(A682, ""en"", ""hi"")"),"बुलडक स्पाइसी चिकन रामेन (ब्लैक)")</f>
        <v>बुलडक स्पाइसी चिकन रामेन (ब्लैक)</v>
      </c>
      <c r="D682" s="5"/>
      <c r="E682" s="2" t="s">
        <v>351</v>
      </c>
      <c r="F682" s="1">
        <v>2.0</v>
      </c>
      <c r="G682" s="3" t="s">
        <v>350</v>
      </c>
    </row>
    <row r="683">
      <c r="A683" s="3" t="s">
        <v>4466</v>
      </c>
      <c r="B683" s="4" t="str">
        <f>IFERROR(__xludf.DUMMYFUNCTION("GOOGLETRANSLATE(A683, ""en"", ""te"")"),"బుల్డాక్ కార్బోనారా హాట్ చికెన్ ఫ్లేవర్ రామెన్ (పింక్)")</f>
        <v>బుల్డాక్ కార్బోనారా హాట్ చికెన్ ఫ్లేవర్ రామెన్ (పింక్)</v>
      </c>
      <c r="C683" s="4" t="str">
        <f>IFERROR(__xludf.DUMMYFUNCTION("GOOGLETRANSLATE(A683, ""en"", ""hi"")"),"बुलडक कार्बोनारा हॉट चिकन फ्लेवर रामेन (गुलाबी)")</f>
        <v>बुलडक कार्बोनारा हॉट चिकन फ्लेवर रामेन (गुलाबी)</v>
      </c>
      <c r="D683" s="5"/>
      <c r="E683" s="2" t="s">
        <v>351</v>
      </c>
      <c r="F683" s="1">
        <v>2.0</v>
      </c>
      <c r="G683" s="3" t="s">
        <v>350</v>
      </c>
    </row>
    <row r="684">
      <c r="A684" s="3" t="s">
        <v>4467</v>
      </c>
      <c r="B684" s="4" t="str">
        <f>IFERROR(__xludf.DUMMYFUNCTION("GOOGLETRANSLATE(A684, ""en"", ""te"")"),"బుల్డాక్ 2X స్పైసీ హాట్ చికెన్ ఫ్లేవర్ రామెన్ (రెడ్)")</f>
        <v>బుల్డాక్ 2X స్పైసీ హాట్ చికెన్ ఫ్లేవర్ రామెన్ (రెడ్)</v>
      </c>
      <c r="C684" s="4" t="str">
        <f>IFERROR(__xludf.DUMMYFUNCTION("GOOGLETRANSLATE(A684, ""en"", ""hi"")"),"बुलडक 2X स्पाइसी हॉट चिकन फ्लेवर रामेन (लाल)")</f>
        <v>बुलडक 2X स्पाइसी हॉट चिकन फ्लेवर रामेन (लाल)</v>
      </c>
      <c r="D684" s="5"/>
      <c r="E684" s="2" t="s">
        <v>351</v>
      </c>
      <c r="F684" s="1">
        <v>2.0</v>
      </c>
      <c r="G684" s="3" t="s">
        <v>350</v>
      </c>
    </row>
    <row r="685">
      <c r="A685" s="3" t="s">
        <v>4468</v>
      </c>
      <c r="B685" s="4" t="str">
        <f>IFERROR(__xludf.DUMMYFUNCTION("GOOGLETRANSLATE(A685, ""en"", ""te"")"),"షాన్ మటన్ బిర్యానీ")</f>
        <v>షాన్ మటన్ బిర్యానీ</v>
      </c>
      <c r="C685" s="4" t="str">
        <f>IFERROR(__xludf.DUMMYFUNCTION("GOOGLETRANSLATE(A685, ""en"", ""hi"")"),"शान मटन बिरयानी")</f>
        <v>शान मटन बिरयानी</v>
      </c>
      <c r="D685" s="2" t="s">
        <v>987</v>
      </c>
      <c r="E685" s="2" t="s">
        <v>940</v>
      </c>
      <c r="F685" s="1">
        <v>2.0</v>
      </c>
      <c r="G685" s="3" t="s">
        <v>4469</v>
      </c>
    </row>
    <row r="686">
      <c r="A686" s="3" t="s">
        <v>4470</v>
      </c>
      <c r="B686" s="4" t="str">
        <f>IFERROR(__xludf.DUMMYFUNCTION("GOOGLETRANSLATE(A686, ""en"", ""te"")"),"షాన్ మీట్ టెండరైజర్")</f>
        <v>షాన్ మీట్ టెండరైజర్</v>
      </c>
      <c r="C686" s="4" t="str">
        <f>IFERROR(__xludf.DUMMYFUNCTION("GOOGLETRANSLATE(A686, ""en"", ""hi"")"),"शान मीट टेंडराइज़र")</f>
        <v>शान मीट टेंडराइज़र</v>
      </c>
      <c r="D686" s="2" t="s">
        <v>4425</v>
      </c>
      <c r="E686" s="2" t="s">
        <v>940</v>
      </c>
      <c r="F686" s="1">
        <v>2.0</v>
      </c>
      <c r="G686" s="3" t="s">
        <v>4469</v>
      </c>
    </row>
    <row r="687">
      <c r="A687" s="3" t="s">
        <v>4471</v>
      </c>
      <c r="B687" s="4" t="str">
        <f>IFERROR(__xludf.DUMMYFUNCTION("GOOGLETRANSLATE(A687, ""en"", ""te"")"),"షాన్ మలయ్ చికెన్ బిర్యానీ 1 కేజీ")</f>
        <v>షాన్ మలయ్ చికెన్ బిర్యానీ 1 కేజీ</v>
      </c>
      <c r="C687" s="4" t="str">
        <f>IFERROR(__xludf.DUMMYFUNCTION("GOOGLETRANSLATE(A687, ""en"", ""hi"")"),"शान मलय चिकन बिरयानी 1 किलो")</f>
        <v>शान मलय चिकन बिरयानी 1 किलो</v>
      </c>
      <c r="D687" s="2" t="s">
        <v>4472</v>
      </c>
      <c r="E687" s="2" t="s">
        <v>442</v>
      </c>
      <c r="F687" s="1">
        <v>2.0</v>
      </c>
      <c r="G687" s="3" t="s">
        <v>4469</v>
      </c>
    </row>
    <row r="688">
      <c r="A688" s="3" t="s">
        <v>4473</v>
      </c>
      <c r="B688" s="4" t="str">
        <f>IFERROR(__xludf.DUMMYFUNCTION("GOOGLETRANSLATE(A688, ""en"", ""te"")"),"షాన్ లివర్ మసాలా")</f>
        <v>షాన్ లివర్ మసాలా</v>
      </c>
      <c r="C688" s="4" t="str">
        <f>IFERROR(__xludf.DUMMYFUNCTION("GOOGLETRANSLATE(A688, ""en"", ""hi"")"),"शान लिवर मसाला")</f>
        <v>शान लिवर मसाला</v>
      </c>
      <c r="D688" s="5"/>
      <c r="E688" s="2" t="s">
        <v>442</v>
      </c>
      <c r="F688" s="1">
        <v>2.0</v>
      </c>
      <c r="G688" s="3" t="s">
        <v>4469</v>
      </c>
    </row>
    <row r="689">
      <c r="A689" s="3" t="s">
        <v>4474</v>
      </c>
      <c r="B689" s="4" t="str">
        <f>IFERROR(__xludf.DUMMYFUNCTION("GOOGLETRANSLATE(A689, ""en"", ""te"")"),"షాన్ లాహోరి ఛార్జ్గా")</f>
        <v>షాన్ లాహోరి ఛార్జ్గా</v>
      </c>
      <c r="C689" s="4" t="str">
        <f>IFERROR(__xludf.DUMMYFUNCTION("GOOGLETRANSLATE(A689, ""en"", ""hi"")"),"शान लाहोरी चरगा")</f>
        <v>शान लाहोरी चरगा</v>
      </c>
      <c r="D689" s="5"/>
      <c r="E689" s="2" t="s">
        <v>442</v>
      </c>
      <c r="F689" s="1">
        <v>2.0</v>
      </c>
      <c r="G689" s="3" t="s">
        <v>4469</v>
      </c>
    </row>
    <row r="690">
      <c r="A690" s="3" t="s">
        <v>4475</v>
      </c>
      <c r="B690" s="4" t="str">
        <f>IFERROR(__xludf.DUMMYFUNCTION("GOOGLETRANSLATE(A690, ""en"", ""te"")"),"షాన్ కోర్మా")</f>
        <v>షాన్ కోర్మా</v>
      </c>
      <c r="C690" s="4" t="str">
        <f>IFERROR(__xludf.DUMMYFUNCTION("GOOGLETRANSLATE(A690, ""en"", ""hi"")"),"शान कोरमा")</f>
        <v>शान कोरमा</v>
      </c>
      <c r="D690" s="5"/>
      <c r="E690" s="2" t="s">
        <v>442</v>
      </c>
      <c r="F690" s="1">
        <v>2.0</v>
      </c>
      <c r="G690" s="3" t="s">
        <v>4469</v>
      </c>
    </row>
    <row r="691">
      <c r="A691" s="3" t="s">
        <v>4476</v>
      </c>
      <c r="B691" s="4" t="str">
        <f>IFERROR(__xludf.DUMMYFUNCTION("GOOGLETRANSLATE(A691, ""en"", ""te"")"),"షాన్ కోఫ్టా")</f>
        <v>షాన్ కోఫ్టా</v>
      </c>
      <c r="C691" s="4" t="str">
        <f>IFERROR(__xludf.DUMMYFUNCTION("GOOGLETRANSLATE(A691, ""en"", ""hi"")"),"शान कोफ्ता")</f>
        <v>शान कोफ्ता</v>
      </c>
      <c r="D691" s="5"/>
      <c r="E691" s="2" t="s">
        <v>442</v>
      </c>
      <c r="F691" s="1">
        <v>2.0</v>
      </c>
      <c r="G691" s="3" t="s">
        <v>4469</v>
      </c>
    </row>
    <row r="692">
      <c r="A692" s="3" t="s">
        <v>4477</v>
      </c>
      <c r="B692" s="4" t="str">
        <f>IFERROR(__xludf.DUMMYFUNCTION("GOOGLETRANSLATE(A692, ""en"", ""te"")"),"షాన్ కిచెన్ కింగ్")</f>
        <v>షాన్ కిచెన్ కింగ్</v>
      </c>
      <c r="C692" s="4" t="str">
        <f>IFERROR(__xludf.DUMMYFUNCTION("GOOGLETRANSLATE(A692, ""en"", ""hi"")"),"शान किचन किंग")</f>
        <v>शान किचन किंग</v>
      </c>
      <c r="D692" s="5"/>
      <c r="E692" s="2" t="s">
        <v>442</v>
      </c>
      <c r="F692" s="1">
        <v>2.0</v>
      </c>
      <c r="G692" s="3" t="s">
        <v>4469</v>
      </c>
    </row>
    <row r="693">
      <c r="A693" s="3" t="s">
        <v>4478</v>
      </c>
      <c r="B693" s="4" t="str">
        <f>IFERROR(__xludf.DUMMYFUNCTION("GOOGLETRANSLATE(A693, ""en"", ""te"")"),"షాన్ కీమా")</f>
        <v>షాన్ కీమా</v>
      </c>
      <c r="C693" s="4" t="str">
        <f>IFERROR(__xludf.DUMMYFUNCTION("GOOGLETRANSLATE(A693, ""en"", ""hi"")"),"शान कीमा")</f>
        <v>शान कीमा</v>
      </c>
      <c r="D693" s="5"/>
      <c r="E693" s="2" t="s">
        <v>442</v>
      </c>
      <c r="F693" s="1">
        <v>2.0</v>
      </c>
      <c r="G693" s="3" t="s">
        <v>4469</v>
      </c>
    </row>
    <row r="694">
      <c r="A694" s="3" t="s">
        <v>4479</v>
      </c>
      <c r="B694" s="4" t="str">
        <f>IFERROR(__xludf.DUMMYFUNCTION("GOOGLETRANSLATE(A694, ""en"", ""te"")"),"24 మంత్ర సాంబార్ పౌడర్")</f>
        <v>24 మంత్ర సాంబార్ పౌడర్</v>
      </c>
      <c r="C694" s="4" t="str">
        <f>IFERROR(__xludf.DUMMYFUNCTION("GOOGLETRANSLATE(A694, ""en"", ""hi"")"),"24 मंत्र सांभर पाउडर")</f>
        <v>24 मंत्र सांभर पाउडर</v>
      </c>
      <c r="D694" s="2" t="s">
        <v>3397</v>
      </c>
      <c r="E694" s="2" t="s">
        <v>442</v>
      </c>
      <c r="F694" s="1">
        <v>2.0</v>
      </c>
      <c r="G694" s="3" t="s">
        <v>4480</v>
      </c>
    </row>
    <row r="695">
      <c r="A695" s="3" t="s">
        <v>4481</v>
      </c>
      <c r="B695" s="4" t="str">
        <f>IFERROR(__xludf.DUMMYFUNCTION("GOOGLETRANSLATE(A695, ""en"", ""te"")"),"24 మంత్రాల పనీర్ మసాలా")</f>
        <v>24 మంత్రాల పనీర్ మసాలా</v>
      </c>
      <c r="C695" s="4" t="str">
        <f>IFERROR(__xludf.DUMMYFUNCTION("GOOGLETRANSLATE(A695, ""en"", ""hi"")"),"24 मंत्रा पनीर मसाला")</f>
        <v>24 मंत्रा पनीर मसाला</v>
      </c>
      <c r="D695" s="5"/>
      <c r="E695" s="2" t="s">
        <v>442</v>
      </c>
      <c r="F695" s="1">
        <v>2.0</v>
      </c>
      <c r="G695" s="3" t="s">
        <v>4480</v>
      </c>
    </row>
    <row r="696">
      <c r="A696" s="3" t="s">
        <v>4508</v>
      </c>
      <c r="B696" s="4" t="str">
        <f>IFERROR(__xludf.DUMMYFUNCTION("GOOGLETRANSLATE(A696, ""en"", ""te"")"),"24 మంత్ర మీట్ మసాలా")</f>
        <v>24 మంత్ర మీట్ మసాలా</v>
      </c>
      <c r="C696" s="4" t="str">
        <f>IFERROR(__xludf.DUMMYFUNCTION("GOOGLETRANSLATE(A696, ""en"", ""hi"")"),"24 मंत्रा मीट मसाला")</f>
        <v>24 मंत्रा मीट मसाला</v>
      </c>
      <c r="D696" s="5"/>
      <c r="E696" s="2" t="s">
        <v>442</v>
      </c>
      <c r="F696" s="1">
        <v>2.0</v>
      </c>
      <c r="G696" s="3" t="s">
        <v>4480</v>
      </c>
    </row>
    <row r="697">
      <c r="A697" s="3" t="s">
        <v>4509</v>
      </c>
      <c r="B697" s="4" t="str">
        <f>IFERROR(__xludf.DUMMYFUNCTION("GOOGLETRANSLATE(A697, ""en"", ""te"")"),"24 మంత్ర కిచెన్ కింగ్ మసాలా")</f>
        <v>24 మంత్ర కిచెన్ కింగ్ మసాలా</v>
      </c>
      <c r="C697" s="4" t="str">
        <f>IFERROR(__xludf.DUMMYFUNCTION("GOOGLETRANSLATE(A697, ""en"", ""hi"")"),"24 मंत्रा किचन किंग मसाला")</f>
        <v>24 मंत्रा किचन किंग मसाला</v>
      </c>
      <c r="D697" s="5"/>
      <c r="E697" s="2" t="s">
        <v>442</v>
      </c>
      <c r="F697" s="1">
        <v>2.0</v>
      </c>
      <c r="G697" s="3" t="s">
        <v>4480</v>
      </c>
    </row>
    <row r="698">
      <c r="A698" s="3" t="s">
        <v>4510</v>
      </c>
      <c r="B698" s="4" t="str">
        <f>IFERROR(__xludf.DUMMYFUNCTION("GOOGLETRANSLATE(A698, ""en"", ""te"")"),"24 మంత్రాలు గరం మసాలా")</f>
        <v>24 మంత్రాలు గరం మసాలా</v>
      </c>
      <c r="C698" s="4" t="str">
        <f>IFERROR(__xludf.DUMMYFUNCTION("GOOGLETRANSLATE(A698, ""en"", ""hi"")"),"24 मंत्र गरम मसाला")</f>
        <v>24 मंत्र गरम मसाला</v>
      </c>
      <c r="D698" s="2" t="s">
        <v>1070</v>
      </c>
      <c r="E698" s="2" t="s">
        <v>442</v>
      </c>
      <c r="F698" s="1">
        <v>2.0</v>
      </c>
      <c r="G698" s="3" t="s">
        <v>4480</v>
      </c>
    </row>
    <row r="699">
      <c r="A699" s="3" t="s">
        <v>4511</v>
      </c>
      <c r="B699" s="4" t="str">
        <f>IFERROR(__xludf.DUMMYFUNCTION("GOOGLETRANSLATE(A699, ""en"", ""te"")"),"24 మంత్ర ఫిష్ మసాలా")</f>
        <v>24 మంత్ర ఫిష్ మసాలా</v>
      </c>
      <c r="C699" s="4" t="str">
        <f>IFERROR(__xludf.DUMMYFUNCTION("GOOGLETRANSLATE(A699, ""en"", ""hi"")"),"24 मंत्रा फिश मसाला")</f>
        <v>24 मंत्रा फिश मसाला</v>
      </c>
      <c r="D699" s="5"/>
      <c r="E699" s="2" t="s">
        <v>442</v>
      </c>
      <c r="F699" s="1">
        <v>2.0</v>
      </c>
      <c r="G699" s="3" t="s">
        <v>4480</v>
      </c>
    </row>
    <row r="700">
      <c r="A700" s="3" t="s">
        <v>4512</v>
      </c>
      <c r="B700" s="4" t="str">
        <f>IFERROR(__xludf.DUMMYFUNCTION("GOOGLETRANSLATE(A700, ""en"", ""te"")"),"24 మంత్రాల ఎగ్ మసాలా")</f>
        <v>24 మంత్రాల ఎగ్ మసాలా</v>
      </c>
      <c r="C700" s="4" t="str">
        <f>IFERROR(__xludf.DUMMYFUNCTION("GOOGLETRANSLATE(A700, ""en"", ""hi"")"),"24 मंत्रा एग मसाला")</f>
        <v>24 मंत्रा एग मसाला</v>
      </c>
      <c r="D700" s="5"/>
      <c r="E700" s="2" t="s">
        <v>442</v>
      </c>
      <c r="F700" s="1">
        <v>2.0</v>
      </c>
      <c r="G700" s="3" t="s">
        <v>4480</v>
      </c>
    </row>
    <row r="701">
      <c r="A701" s="3" t="s">
        <v>4513</v>
      </c>
      <c r="B701" s="4" t="str">
        <f>IFERROR(__xludf.DUMMYFUNCTION("GOOGLETRANSLATE(A701, ""en"", ""te"")"),"24 మంత్రాలు చోలే మసాలా")</f>
        <v>24 మంత్రాలు చోలే మసాలా</v>
      </c>
      <c r="C701" s="4" t="str">
        <f>IFERROR(__xludf.DUMMYFUNCTION("GOOGLETRANSLATE(A701, ""en"", ""hi"")"),"24 मंत्रा छोले मसाला")</f>
        <v>24 मंत्रा छोले मसाला</v>
      </c>
      <c r="D701" s="5"/>
      <c r="E701" s="2" t="s">
        <v>442</v>
      </c>
      <c r="F701" s="1">
        <v>2.0</v>
      </c>
      <c r="G701" s="3" t="s">
        <v>4480</v>
      </c>
    </row>
    <row r="702">
      <c r="A702" s="3" t="s">
        <v>4514</v>
      </c>
      <c r="B702" s="4" t="str">
        <f>IFERROR(__xludf.DUMMYFUNCTION("GOOGLETRANSLATE(A702, ""en"", ""te"")"),"MDH T.PLUS మసాలా")</f>
        <v>MDH T.PLUS మసాలా</v>
      </c>
      <c r="C702" s="4" t="str">
        <f>IFERROR(__xludf.DUMMYFUNCTION("GOOGLETRANSLATE(A702, ""en"", ""hi"")"),"एमडीएच टी.प्लस मसाला")</f>
        <v>एमडीएच टी.प्लस मसाला</v>
      </c>
      <c r="D702" s="2" t="s">
        <v>1655</v>
      </c>
      <c r="E702" s="2" t="s">
        <v>442</v>
      </c>
      <c r="F702" s="1">
        <v>2.0</v>
      </c>
      <c r="G702" s="3" t="s">
        <v>4480</v>
      </c>
    </row>
    <row r="703">
      <c r="A703" s="3" t="s">
        <v>4515</v>
      </c>
      <c r="B703" s="4" t="str">
        <f>IFERROR(__xludf.DUMMYFUNCTION("GOOGLETRANSLATE(A703, ""en"", ""te"")"),"MDH తవాహ్ బిర్యానీ మసాలా")</f>
        <v>MDH తవాహ్ బిర్యానీ మసాలా</v>
      </c>
      <c r="C703" s="4" t="str">
        <f>IFERROR(__xludf.DUMMYFUNCTION("GOOGLETRANSLATE(A703, ""en"", ""hi"")"),"एमडीएच तवाह बिरयानी मसाला")</f>
        <v>एमडीएच तवाह बिरयानी मसाला</v>
      </c>
      <c r="D703" s="2" t="s">
        <v>1655</v>
      </c>
      <c r="E703" s="2" t="s">
        <v>442</v>
      </c>
      <c r="F703" s="1">
        <v>2.0</v>
      </c>
      <c r="G703" s="3" t="s">
        <v>4480</v>
      </c>
    </row>
    <row r="704">
      <c r="A704" s="3" t="s">
        <v>4686</v>
      </c>
      <c r="B704" s="4" t="str">
        <f>IFERROR(__xludf.DUMMYFUNCTION("GOOGLETRANSLATE(A704, ""en"", ""te"")"),"MDH BBQ చికెన్ మసాలా")</f>
        <v>MDH BBQ చికెన్ మసాలా</v>
      </c>
      <c r="C704" s="4" t="str">
        <f>IFERROR(__xludf.DUMMYFUNCTION("GOOGLETRANSLATE(A704, ""en"", ""hi"")"),"एमडीएच बारबेक्यू चिकन मसाला")</f>
        <v>एमडीएच बारबेक्यू चिकन मसाला</v>
      </c>
      <c r="D704" s="5"/>
      <c r="E704" s="2" t="s">
        <v>442</v>
      </c>
      <c r="F704" s="1">
        <v>2.0</v>
      </c>
      <c r="G704" s="3" t="s">
        <v>4480</v>
      </c>
    </row>
    <row r="705">
      <c r="A705" s="3" t="s">
        <v>4687</v>
      </c>
      <c r="B705" s="4" t="str">
        <f>IFERROR(__xludf.DUMMYFUNCTION("GOOGLETRANSLATE(A705, ""en"", ""te"")"),"MDH పనీర్ మసాలా")</f>
        <v>MDH పనీర్ మసాలా</v>
      </c>
      <c r="C705" s="4" t="str">
        <f>IFERROR(__xludf.DUMMYFUNCTION("GOOGLETRANSLATE(A705, ""en"", ""hi"")"),"एमडीएच पनीर मसाला")</f>
        <v>एमडीएच पनीर मसाला</v>
      </c>
      <c r="D705" s="2" t="s">
        <v>1655</v>
      </c>
      <c r="E705" s="2" t="s">
        <v>442</v>
      </c>
      <c r="F705" s="1">
        <v>2.0</v>
      </c>
      <c r="G705" s="3" t="s">
        <v>4480</v>
      </c>
    </row>
    <row r="706">
      <c r="A706" s="3" t="s">
        <v>4688</v>
      </c>
      <c r="B706" s="4" t="str">
        <f>IFERROR(__xludf.DUMMYFUNCTION("GOOGLETRANSLATE(A706, ""en"", ""te"")"),"MDH షాహి పనీర్ మసాలా")</f>
        <v>MDH షాహి పనీర్ మసాలా</v>
      </c>
      <c r="C706" s="4" t="str">
        <f>IFERROR(__xludf.DUMMYFUNCTION("GOOGLETRANSLATE(A706, ""en"", ""hi"")"),"एमडीएच शाही पनीर मसाला")</f>
        <v>एमडीएच शाही पनीर मसाला</v>
      </c>
      <c r="D706" s="2" t="s">
        <v>1655</v>
      </c>
      <c r="E706" s="2" t="s">
        <v>442</v>
      </c>
      <c r="F706" s="1">
        <v>2.0</v>
      </c>
      <c r="G706" s="3" t="s">
        <v>4480</v>
      </c>
    </row>
    <row r="707">
      <c r="A707" s="3" t="s">
        <v>4689</v>
      </c>
      <c r="B707" s="4" t="str">
        <f>IFERROR(__xludf.DUMMYFUNCTION("GOOGLETRANSLATE(A707, ""en"", ""te"")"),"MDH హైదరాబాద్ బిర్యానీ మసాలా")</f>
        <v>MDH హైదరాబాద్ బిర్యానీ మసాలా</v>
      </c>
      <c r="C707" s="4" t="str">
        <f>IFERROR(__xludf.DUMMYFUNCTION("GOOGLETRANSLATE(A707, ""en"", ""hi"")"),"एमडीएच हैदराबादी बिरयानी मसाला")</f>
        <v>एमडीएच हैदराबादी बिरयानी मसाला</v>
      </c>
      <c r="D707" s="5"/>
      <c r="E707" s="2" t="s">
        <v>442</v>
      </c>
      <c r="F707" s="1">
        <v>2.0</v>
      </c>
      <c r="G707" s="3" t="s">
        <v>4480</v>
      </c>
    </row>
    <row r="708">
      <c r="A708" s="3" t="s">
        <v>4690</v>
      </c>
      <c r="B708" s="4" t="str">
        <f>IFERROR(__xludf.DUMMYFUNCTION("GOOGLETRANSLATE(A708, ""en"", ""te"")"),"MDH చోలే మసాలా")</f>
        <v>MDH చోలే మసాలా</v>
      </c>
      <c r="C708" s="4" t="str">
        <f>IFERROR(__xludf.DUMMYFUNCTION("GOOGLETRANSLATE(A708, ""en"", ""hi"")"),"एमडीएच छोले मसाला")</f>
        <v>एमडीएच छोले मसाला</v>
      </c>
      <c r="D708" s="5"/>
      <c r="E708" s="2" t="s">
        <v>442</v>
      </c>
      <c r="F708" s="1">
        <v>2.0</v>
      </c>
      <c r="G708" s="3" t="s">
        <v>4480</v>
      </c>
    </row>
    <row r="709">
      <c r="A709" s="3" t="s">
        <v>4691</v>
      </c>
      <c r="B709" s="4" t="str">
        <f>IFERROR(__xludf.DUMMYFUNCTION("GOOGLETRANSLATE(A709, ""en"", ""te"")"),"దేశీ నెయ్యి నువ్వులు")</f>
        <v>దేశీ నెయ్యి నువ్వులు</v>
      </c>
      <c r="C709" s="4" t="str">
        <f>IFERROR(__xludf.DUMMYFUNCTION("GOOGLETRANSLATE(A709, ""en"", ""hi"")"),"देसी घी तिल के बीज")</f>
        <v>देसी घी तिल के बीज</v>
      </c>
      <c r="D709" s="2" t="s">
        <v>1617</v>
      </c>
      <c r="E709" s="2" t="s">
        <v>2700</v>
      </c>
      <c r="F709" s="1">
        <v>2.0</v>
      </c>
      <c r="G709" s="3" t="s">
        <v>4692</v>
      </c>
    </row>
    <row r="710">
      <c r="A710" s="3" t="s">
        <v>4693</v>
      </c>
      <c r="B710" s="4" t="str">
        <f>IFERROR(__xludf.DUMMYFUNCTION("GOOGLETRANSLATE(A710, ""en"", ""te"")"),"దేశీ నెయ్యి కొత్తిమీర గింజలు")</f>
        <v>దేశీ నెయ్యి కొత్తిమీర గింజలు</v>
      </c>
      <c r="C710" s="4" t="str">
        <f>IFERROR(__xludf.DUMMYFUNCTION("GOOGLETRANSLATE(A710, ""en"", ""hi"")"),"देसी घी, धनिया के बीज")</f>
        <v>देसी घी, धनिया के बीज</v>
      </c>
      <c r="D710" s="2" t="s">
        <v>2644</v>
      </c>
      <c r="E710" s="2" t="s">
        <v>442</v>
      </c>
      <c r="F710" s="1">
        <v>2.0</v>
      </c>
      <c r="G710" s="3" t="s">
        <v>4692</v>
      </c>
    </row>
    <row r="711">
      <c r="A711" s="3" t="s">
        <v>4694</v>
      </c>
      <c r="B711" s="4" t="str">
        <f>IFERROR(__xludf.DUMMYFUNCTION("GOOGLETRANSLATE(A711, ""en"", ""te"")"),"దేశీ నెయ్యి జీలకర్ర గింజలు")</f>
        <v>దేశీ నెయ్యి జీలకర్ర గింజలు</v>
      </c>
      <c r="C711" s="4" t="str">
        <f>IFERROR(__xludf.DUMMYFUNCTION("GOOGLETRANSLATE(A711, ""en"", ""hi"")"),"देसी घी जीरा के बीज")</f>
        <v>देसी घी जीरा के बीज</v>
      </c>
      <c r="D711" s="2" t="s">
        <v>4695</v>
      </c>
      <c r="E711" s="2" t="s">
        <v>54</v>
      </c>
      <c r="F711" s="1">
        <v>2.0</v>
      </c>
      <c r="G711" s="3" t="s">
        <v>4692</v>
      </c>
    </row>
    <row r="712">
      <c r="A712" s="3" t="s">
        <v>4696</v>
      </c>
      <c r="B712" s="4" t="str">
        <f>IFERROR(__xludf.DUMMYFUNCTION("GOOGLETRANSLATE(A712, ""en"", ""te"")"),"24 మంత్ర ఆర్గానిక్ గరం పౌడర్")</f>
        <v>24 మంత్ర ఆర్గానిక్ గరం పౌడర్</v>
      </c>
      <c r="C712" s="4" t="str">
        <f>IFERROR(__xludf.DUMMYFUNCTION("GOOGLETRANSLATE(A712, ""en"", ""hi"")"),"24 मंत्रा ऑर्गेनिक गरम पाउडर")</f>
        <v>24 मंत्रा ऑर्गेनिक गरम पाउडर</v>
      </c>
      <c r="D712" s="5"/>
      <c r="E712" s="2" t="s">
        <v>442</v>
      </c>
      <c r="F712" s="1">
        <v>2.0</v>
      </c>
      <c r="G712" s="3" t="s">
        <v>4692</v>
      </c>
    </row>
    <row r="713">
      <c r="A713" s="3" t="s">
        <v>4897</v>
      </c>
      <c r="B713" s="4" t="str">
        <f>IFERROR(__xludf.DUMMYFUNCTION("GOOGLETRANSLATE(A713, ""en"", ""te"")"),"24 మంత్ర ఆర్గానిక్ జీలకర్ర పొడి")</f>
        <v>24 మంత్ర ఆర్గానిక్ జీలకర్ర పొడి</v>
      </c>
      <c r="C713" s="4" t="str">
        <f>IFERROR(__xludf.DUMMYFUNCTION("GOOGLETRANSLATE(A713, ""en"", ""hi"")"),"24 मंत्रा ऑर्गेनिक जीरा पाउडर")</f>
        <v>24 मंत्रा ऑर्गेनिक जीरा पाउडर</v>
      </c>
      <c r="D713" s="2" t="s">
        <v>4906</v>
      </c>
      <c r="E713" s="2" t="s">
        <v>442</v>
      </c>
      <c r="F713" s="1">
        <v>2.0</v>
      </c>
      <c r="G713" s="3" t="s">
        <v>4692</v>
      </c>
    </row>
    <row r="714">
      <c r="A714" s="3" t="s">
        <v>4911</v>
      </c>
      <c r="B714" s="4" t="str">
        <f>IFERROR(__xludf.DUMMYFUNCTION("GOOGLETRANSLATE(A714, ""en"", ""te"")"),"24 మంత్ర ఆర్గానిక్ కొత్తిమీర పొడి")</f>
        <v>24 మంత్ర ఆర్గానిక్ కొత్తిమీర పొడి</v>
      </c>
      <c r="C714" s="4" t="str">
        <f>IFERROR(__xludf.DUMMYFUNCTION("GOOGLETRANSLATE(A714, ""en"", ""hi"")"),"24 मंत्रा ऑर्गेनिक धनिया पाउडर")</f>
        <v>24 मंत्रा ऑर्गेनिक धनिया पाउडर</v>
      </c>
      <c r="D714" s="2" t="s">
        <v>2644</v>
      </c>
      <c r="E714" s="2" t="s">
        <v>442</v>
      </c>
      <c r="F714" s="1">
        <v>2.0</v>
      </c>
      <c r="G714" s="3" t="s">
        <v>4692</v>
      </c>
    </row>
    <row r="715">
      <c r="A715" s="3" t="s">
        <v>4923</v>
      </c>
      <c r="B715" s="4" t="str">
        <f>IFERROR(__xludf.DUMMYFUNCTION("GOOGLETRANSLATE(A715, ""en"", ""te"")"),"లక్ష్మి మిరప పొడి")</f>
        <v>లక్ష్మి మిరప పొడి</v>
      </c>
      <c r="C715" s="4" t="str">
        <f>IFERROR(__xludf.DUMMYFUNCTION("GOOGLETRANSLATE(A715, ""en"", ""hi"")"),"लक्ष्मी मिर्च पाउडर")</f>
        <v>लक्ष्मी मिर्च पाउडर</v>
      </c>
      <c r="D715" s="2" t="s">
        <v>1636</v>
      </c>
      <c r="E715" s="2" t="s">
        <v>442</v>
      </c>
      <c r="F715" s="1">
        <v>2.0</v>
      </c>
      <c r="G715" s="3" t="s">
        <v>4924</v>
      </c>
    </row>
    <row r="716">
      <c r="A716" s="3" t="s">
        <v>4925</v>
      </c>
      <c r="B716" s="4" t="str">
        <f>IFERROR(__xludf.DUMMYFUNCTION("GOOGLETRANSLATE(A716, ""en"", ""te"")"),"స్వాద్ ఎక్స్‌ట్రా హాట్ చిల్లీ పౌడర్")</f>
        <v>స్వాద్ ఎక్స్‌ట్రా హాట్ చిల్లీ పౌడర్</v>
      </c>
      <c r="C716" s="4" t="str">
        <f>IFERROR(__xludf.DUMMYFUNCTION("GOOGLETRANSLATE(A716, ""en"", ""hi"")"),"स्वाद एक्स्ट्रा हॉट चिली पाउडर")</f>
        <v>स्वाद एक्स्ट्रा हॉट चिली पाउडर</v>
      </c>
      <c r="D716" s="2" t="s">
        <v>2647</v>
      </c>
      <c r="E716" s="2" t="s">
        <v>442</v>
      </c>
      <c r="F716" s="1">
        <v>2.0</v>
      </c>
      <c r="G716" s="3" t="s">
        <v>4924</v>
      </c>
    </row>
    <row r="717">
      <c r="A717" s="3" t="s">
        <v>4926</v>
      </c>
      <c r="B717" s="4" t="str">
        <f>IFERROR(__xludf.DUMMYFUNCTION("GOOGLETRANSLATE(A717, ""en"", ""te"")"),"లక్ష్మి కాశ్మీరీ మిరప పొడి")</f>
        <v>లక్ష్మి కాశ్మీరీ మిరప పొడి</v>
      </c>
      <c r="C717" s="4" t="str">
        <f>IFERROR(__xludf.DUMMYFUNCTION("GOOGLETRANSLATE(A717, ""en"", ""hi"")"),"लक्ष्मी कश्मीरी मिर्च पाउडर")</f>
        <v>लक्ष्मी कश्मीरी मिर्च पाउडर</v>
      </c>
      <c r="D717" s="2" t="s">
        <v>1636</v>
      </c>
      <c r="E717" s="2" t="s">
        <v>442</v>
      </c>
      <c r="F717" s="1">
        <v>2.0</v>
      </c>
      <c r="G717" s="3" t="s">
        <v>4924</v>
      </c>
    </row>
    <row r="718">
      <c r="A718" s="3" t="s">
        <v>4927</v>
      </c>
      <c r="B718" s="4" t="str">
        <f>IFERROR(__xludf.DUMMYFUNCTION("GOOGLETRANSLATE(A718, ""en"", ""te"")"),"క్లియో జీలకర్ర పొడి")</f>
        <v>క్లియో జీలకర్ర పొడి</v>
      </c>
      <c r="C718" s="4" t="str">
        <f>IFERROR(__xludf.DUMMYFUNCTION("GOOGLETRANSLATE(A718, ""en"", ""hi"")"),"क्लियो का जीरा पाउडर")</f>
        <v>क्लियो का जीरा पाउडर</v>
      </c>
      <c r="D718" s="2" t="s">
        <v>3080</v>
      </c>
      <c r="E718" s="2" t="s">
        <v>442</v>
      </c>
      <c r="F718" s="1">
        <v>2.0</v>
      </c>
      <c r="G718" s="3" t="s">
        <v>4924</v>
      </c>
    </row>
    <row r="719">
      <c r="A719" s="3" t="s">
        <v>4928</v>
      </c>
      <c r="B719" s="4" t="str">
        <f>IFERROR(__xludf.DUMMYFUNCTION("GOOGLETRANSLATE(A719, ""en"", ""te"")"),"ఆరా జీలకర్ర ధనియాల పొడి")</f>
        <v>ఆరా జీలకర్ర ధనియాల పొడి</v>
      </c>
      <c r="C719" s="4" t="str">
        <f>IFERROR(__xludf.DUMMYFUNCTION("GOOGLETRANSLATE(A719, ""en"", ""hi"")"),"आरा जीरा धनिया पाउडर")</f>
        <v>आरा जीरा धनिया पाउडर</v>
      </c>
      <c r="D719" s="2" t="s">
        <v>4929</v>
      </c>
      <c r="E719" s="2" t="s">
        <v>442</v>
      </c>
      <c r="F719" s="1">
        <v>2.0</v>
      </c>
      <c r="G719" s="3" t="s">
        <v>4924</v>
      </c>
    </row>
    <row r="720">
      <c r="A720" s="3" t="s">
        <v>4930</v>
      </c>
      <c r="B720" s="4" t="str">
        <f>IFERROR(__xludf.DUMMYFUNCTION("GOOGLETRANSLATE(A720, ""en"", ""te"")"),"లక్ష్మి జీలకర్ర పొడి")</f>
        <v>లక్ష్మి జీలకర్ర పొడి</v>
      </c>
      <c r="C720" s="4" t="str">
        <f>IFERROR(__xludf.DUMMYFUNCTION("GOOGLETRANSLATE(A720, ""en"", ""hi"")"),"लक्ष्मी जीरा पाउडर")</f>
        <v>लक्ष्मी जीरा पाउडर</v>
      </c>
      <c r="D720" s="2" t="s">
        <v>3080</v>
      </c>
      <c r="E720" s="2" t="s">
        <v>442</v>
      </c>
      <c r="F720" s="1">
        <v>2.0</v>
      </c>
      <c r="G720" s="3" t="s">
        <v>4924</v>
      </c>
    </row>
    <row r="721">
      <c r="A721" s="3" t="s">
        <v>4931</v>
      </c>
      <c r="B721" s="4" t="str">
        <f>IFERROR(__xludf.DUMMYFUNCTION("GOOGLETRANSLATE(A721, ""en"", ""te"")"),"బుల్డాక్ కార్బోనారా హాట్ చికెన్ ఫ్లేవర్ రామెన్")</f>
        <v>బుల్డాక్ కార్బోనారా హాట్ చికెన్ ఫ్లేవర్ రామెన్</v>
      </c>
      <c r="C721" s="4" t="str">
        <f>IFERROR(__xludf.DUMMYFUNCTION("GOOGLETRANSLATE(A721, ""en"", ""hi"")"),"बुलडक कार्बोनारा हॉट चिकन फ्लेवर रामेन")</f>
        <v>बुलडक कार्बोनारा हॉट चिकन फ्लेवर रामेन</v>
      </c>
      <c r="D721" s="2" t="s">
        <v>4932</v>
      </c>
      <c r="E721" s="2" t="s">
        <v>351</v>
      </c>
      <c r="F721" s="1">
        <v>2.0</v>
      </c>
      <c r="G721" s="3" t="s">
        <v>4933</v>
      </c>
    </row>
    <row r="722">
      <c r="A722" s="3" t="s">
        <v>4934</v>
      </c>
      <c r="B722" s="4" t="str">
        <f>IFERROR(__xludf.DUMMYFUNCTION("GOOGLETRANSLATE(A722, ""en"", ""te"")"),"బుల్డాక్ స్పైసీ చికెన్ రోస్టెడ్ నూడుల్స్")</f>
        <v>బుల్డాక్ స్పైసీ చికెన్ రోస్టెడ్ నూడుల్స్</v>
      </c>
      <c r="C722" s="4" t="str">
        <f>IFERROR(__xludf.DUMMYFUNCTION("GOOGLETRANSLATE(A722, ""en"", ""hi"")"),"बुलडक स्पाइसी चिकन रोस्टेड नूडल्स")</f>
        <v>बुलडक स्पाइसी चिकन रोस्टेड नूडल्स</v>
      </c>
      <c r="D722" s="2" t="s">
        <v>4935</v>
      </c>
      <c r="E722" s="2" t="s">
        <v>9</v>
      </c>
      <c r="F722" s="1">
        <v>2.0</v>
      </c>
      <c r="G722" s="3" t="s">
        <v>4933</v>
      </c>
    </row>
    <row r="723">
      <c r="A723" s="3" t="s">
        <v>4936</v>
      </c>
      <c r="B723" s="4" t="str">
        <f>IFERROR(__xludf.DUMMYFUNCTION("GOOGLETRANSLATE(A723, ""en"", ""te"")"),"బుల్డాక్ 2X స్పైసీ హాట్ చికెన్ ఫ్లేవర్ రామెన్")</f>
        <v>బుల్డాక్ 2X స్పైసీ హాట్ చికెన్ ఫ్లేవర్ రామెన్</v>
      </c>
      <c r="C723" s="4" t="str">
        <f>IFERROR(__xludf.DUMMYFUNCTION("GOOGLETRANSLATE(A723, ""en"", ""hi"")"),"बुलडक 2X स्पाइसी हॉट चिकन फ्लेवर रामेन")</f>
        <v>बुलडक 2X स्पाइसी हॉट चिकन फ्लेवर रामेन</v>
      </c>
      <c r="D723" s="2" t="s">
        <v>4935</v>
      </c>
      <c r="E723" s="2" t="s">
        <v>9</v>
      </c>
      <c r="F723" s="1">
        <v>2.0</v>
      </c>
      <c r="G723" s="3" t="s">
        <v>4933</v>
      </c>
    </row>
    <row r="724">
      <c r="A724" s="3" t="s">
        <v>4937</v>
      </c>
      <c r="B724" s="4" t="str">
        <f>IFERROR(__xludf.DUMMYFUNCTION("GOOGLETRANSLATE(A724, ""en"", ""te"")"),"బుల్డాక్ కర్రీ హాట్ చికెన్ ఫ్లేవర్ రామెన్")</f>
        <v>బుల్డాక్ కర్రీ హాట్ చికెన్ ఫ్లేవర్ రామెన్</v>
      </c>
      <c r="C724" s="4" t="str">
        <f>IFERROR(__xludf.DUMMYFUNCTION("GOOGLETRANSLATE(A724, ""en"", ""hi"")"),"बुलडक करी हॉट चिकन फ्लेवर रामेन")</f>
        <v>बुलडक करी हॉट चिकन फ्लेवर रामेन</v>
      </c>
      <c r="D724" s="5"/>
      <c r="E724" s="2" t="s">
        <v>9</v>
      </c>
      <c r="F724" s="1">
        <v>2.0</v>
      </c>
      <c r="G724" s="3" t="s">
        <v>4933</v>
      </c>
    </row>
    <row r="725">
      <c r="A725" s="3" t="s">
        <v>4938</v>
      </c>
      <c r="B725" s="4" t="str">
        <f>IFERROR(__xludf.DUMMYFUNCTION("GOOGLETRANSLATE(A725, ""en"", ""te"")"),"బంబినో పెప్పా పాస్తా")</f>
        <v>బంబినో పెప్పా పాస్తా</v>
      </c>
      <c r="C725" s="4" t="str">
        <f>IFERROR(__xludf.DUMMYFUNCTION("GOOGLETRANSLATE(A725, ""en"", ""hi"")"),"बम्बिनो पेप्पा पास्ता")</f>
        <v>बम्बिनो पेप्पा पास्ता</v>
      </c>
      <c r="D725" s="5"/>
      <c r="E725" s="2" t="s">
        <v>9</v>
      </c>
      <c r="F725" s="1">
        <v>2.0</v>
      </c>
      <c r="G725" s="3" t="s">
        <v>4933</v>
      </c>
    </row>
    <row r="726">
      <c r="A726" s="3" t="s">
        <v>4939</v>
      </c>
      <c r="B726" s="4" t="str">
        <f>IFERROR(__xludf.DUMMYFUNCTION("GOOGLETRANSLATE(A726, ""en"", ""te"")"),"షాన్ రోగన్ జోష్ మసాలా")</f>
        <v>షాన్ రోగన్ జోష్ మసాలా</v>
      </c>
      <c r="C726" s="4" t="str">
        <f>IFERROR(__xludf.DUMMYFUNCTION("GOOGLETRANSLATE(A726, ""en"", ""hi"")"),"शान रोगन जोश मसाला")</f>
        <v>शान रोगन जोश मसाला</v>
      </c>
      <c r="D726" s="5"/>
      <c r="E726" s="2" t="s">
        <v>442</v>
      </c>
      <c r="F726" s="1">
        <v>2.0</v>
      </c>
      <c r="G726" s="3" t="s">
        <v>4469</v>
      </c>
    </row>
    <row r="727">
      <c r="A727" s="3" t="s">
        <v>4940</v>
      </c>
      <c r="B727" s="4" t="str">
        <f>IFERROR(__xludf.DUMMYFUNCTION("GOOGLETRANSLATE(A727, ""en"", ""te"")"),"షాన్ బీఫ్ బిర్యానీ")</f>
        <v>షాన్ బీఫ్ బిర్యానీ</v>
      </c>
      <c r="C727" s="4" t="str">
        <f>IFERROR(__xludf.DUMMYFUNCTION("GOOGLETRANSLATE(A727, ""en"", ""hi"")"),"शान बीफ बिरयानी")</f>
        <v>शान बीफ बिरयानी</v>
      </c>
      <c r="D727" s="2" t="s">
        <v>4133</v>
      </c>
      <c r="E727" s="2" t="s">
        <v>940</v>
      </c>
      <c r="F727" s="1">
        <v>2.0</v>
      </c>
      <c r="G727" s="3" t="s">
        <v>4469</v>
      </c>
    </row>
    <row r="728">
      <c r="A728" s="3" t="s">
        <v>4941</v>
      </c>
      <c r="B728" s="4" t="str">
        <f>IFERROR(__xludf.DUMMYFUNCTION("GOOGLETRANSLATE(A728, ""en"", ""te"")"),"షాన్ కరాహి")</f>
        <v>షాన్ కరాహి</v>
      </c>
      <c r="C728" s="4" t="str">
        <f>IFERROR(__xludf.DUMMYFUNCTION("GOOGLETRANSLATE(A728, ""en"", ""hi"")"),"शान कराही")</f>
        <v>शान कराही</v>
      </c>
      <c r="D728" s="2" t="s">
        <v>4942</v>
      </c>
      <c r="E728" s="2" t="s">
        <v>327</v>
      </c>
      <c r="F728" s="1">
        <v>2.0</v>
      </c>
      <c r="G728" s="3" t="s">
        <v>4469</v>
      </c>
    </row>
    <row r="729">
      <c r="A729" s="3" t="s">
        <v>4943</v>
      </c>
      <c r="B729" s="4" t="str">
        <f>IFERROR(__xludf.DUMMYFUNCTION("GOOGLETRANSLATE(A729, ""en"", ""te"")"),"షాన్ కాట్-ఎ-కాట్")</f>
        <v>షాన్ కాట్-ఎ-కాట్</v>
      </c>
      <c r="C729" s="4" t="str">
        <f>IFERROR(__xludf.DUMMYFUNCTION("GOOGLETRANSLATE(A729, ""en"", ""hi"")"),"शान कट-ए-कट")</f>
        <v>शान कट-ए-कट</v>
      </c>
      <c r="D729" s="5"/>
      <c r="E729" s="2" t="s">
        <v>2279</v>
      </c>
      <c r="F729" s="1">
        <v>2.0</v>
      </c>
      <c r="G729" s="3" t="s">
        <v>4469</v>
      </c>
    </row>
    <row r="730">
      <c r="A730" s="3" t="s">
        <v>1377</v>
      </c>
      <c r="B730" s="4" t="str">
        <f>IFERROR(__xludf.DUMMYFUNCTION("GOOGLETRANSLATE(A730, ""en"", ""te"")"),"షాన్ హలీమ్")</f>
        <v>షాన్ హలీమ్</v>
      </c>
      <c r="C730" s="4" t="str">
        <f>IFERROR(__xludf.DUMMYFUNCTION("GOOGLETRANSLATE(A730, ""en"", ""hi"")"),"शान हलीम")</f>
        <v>शान हलीम</v>
      </c>
      <c r="D730" s="2" t="s">
        <v>1379</v>
      </c>
      <c r="E730" s="2" t="s">
        <v>940</v>
      </c>
      <c r="F730" s="1">
        <v>2.0</v>
      </c>
      <c r="G730" s="3" t="s">
        <v>4469</v>
      </c>
    </row>
    <row r="731">
      <c r="A731" s="3" t="s">
        <v>4944</v>
      </c>
      <c r="B731" s="4" t="str">
        <f>IFERROR(__xludf.DUMMYFUNCTION("GOOGLETRANSLATE(A731, ""en"", ""te"")"),"షాన్ ఆప్స్/స్టీక్స్")</f>
        <v>షాన్ ఆప్స్/స్టీక్స్</v>
      </c>
      <c r="C731" s="4" t="str">
        <f>IFERROR(__xludf.DUMMYFUNCTION("GOOGLETRANSLATE(A731, ""en"", ""hi"")"),"शान ऑप्स/स्टेक्स")</f>
        <v>शान ऑप्स/स्टेक्स</v>
      </c>
      <c r="D731" s="5"/>
      <c r="E731" s="2" t="s">
        <v>2279</v>
      </c>
      <c r="F731" s="1">
        <v>2.0</v>
      </c>
      <c r="G731" s="3" t="s">
        <v>4469</v>
      </c>
    </row>
    <row r="732">
      <c r="A732" s="3" t="s">
        <v>4945</v>
      </c>
      <c r="B732" s="4" t="str">
        <f>IFERROR(__xludf.DUMMYFUNCTION("GOOGLETRANSLATE(A732, ""en"", ""te"")"),"MDH T-ప్లస్ మసాలా")</f>
        <v>MDH T-ప్లస్ మసాలా</v>
      </c>
      <c r="C732" s="4" t="str">
        <f>IFERROR(__xludf.DUMMYFUNCTION("GOOGLETRANSLATE(A732, ""en"", ""hi"")"),"एमडीएच टी-प्लस मसाला")</f>
        <v>एमडीएच टी-प्लस मसाला</v>
      </c>
      <c r="D732" s="2" t="s">
        <v>1655</v>
      </c>
      <c r="E732" s="2" t="s">
        <v>442</v>
      </c>
      <c r="F732" s="1">
        <v>2.0</v>
      </c>
      <c r="G732" s="3" t="s">
        <v>4480</v>
      </c>
    </row>
    <row r="733">
      <c r="A733" s="3" t="s">
        <v>4946</v>
      </c>
      <c r="B733" s="4" t="str">
        <f>IFERROR(__xludf.DUMMYFUNCTION("GOOGLETRANSLATE(A733, ""en"", ""te"")"),"MDH స్టఫ్డ్ పరాఠా")</f>
        <v>MDH స్టఫ్డ్ పరాఠా</v>
      </c>
      <c r="C733" s="4" t="str">
        <f>IFERROR(__xludf.DUMMYFUNCTION("GOOGLETRANSLATE(A733, ""en"", ""hi"")"),"एमडीएच स्टफ्ड परांठा")</f>
        <v>एमडीएच स्टफ्ड परांठा</v>
      </c>
      <c r="D733" s="2" t="s">
        <v>4947</v>
      </c>
      <c r="E733" s="2" t="s">
        <v>4100</v>
      </c>
      <c r="F733" s="1">
        <v>2.0</v>
      </c>
      <c r="G733" s="3" t="s">
        <v>4480</v>
      </c>
    </row>
    <row r="734">
      <c r="A734" s="3" t="s">
        <v>4948</v>
      </c>
      <c r="B734" s="4" t="str">
        <f>IFERROR(__xludf.DUMMYFUNCTION("GOOGLETRANSLATE(A734, ""en"", ""te"")"),"MDH సబ్జీ మసాలా")</f>
        <v>MDH సబ్జీ మసాలా</v>
      </c>
      <c r="C734" s="4" t="str">
        <f>IFERROR(__xludf.DUMMYFUNCTION("GOOGLETRANSLATE(A734, ""en"", ""hi"")"),"एमडीएच सब्जी मसाला")</f>
        <v>एमडीएच सब्जी मसाला</v>
      </c>
      <c r="D734" s="2" t="s">
        <v>1070</v>
      </c>
      <c r="E734" s="2" t="s">
        <v>442</v>
      </c>
      <c r="F734" s="1">
        <v>2.0</v>
      </c>
      <c r="G734" s="3" t="s">
        <v>4480</v>
      </c>
    </row>
    <row r="735">
      <c r="A735" s="3" t="s">
        <v>4949</v>
      </c>
      <c r="B735" s="4" t="str">
        <f>IFERROR(__xludf.DUMMYFUNCTION("GOOGLETRANSLATE(A735, ""en"", ""te"")"),"MDH సాంబార్ మసాలా")</f>
        <v>MDH సాంబార్ మసాలా</v>
      </c>
      <c r="C735" s="4" t="str">
        <f>IFERROR(__xludf.DUMMYFUNCTION("GOOGLETRANSLATE(A735, ""en"", ""hi"")"),"एमडीएच सांभर मसाला")</f>
        <v>एमडीएच सांभर मसाला</v>
      </c>
      <c r="D735" s="2" t="s">
        <v>1070</v>
      </c>
      <c r="E735" s="2" t="s">
        <v>442</v>
      </c>
      <c r="F735" s="1">
        <v>2.0</v>
      </c>
      <c r="G735" s="3" t="s">
        <v>4480</v>
      </c>
    </row>
    <row r="736">
      <c r="A736" s="3" t="s">
        <v>4950</v>
      </c>
      <c r="B736" s="4" t="str">
        <f>IFERROR(__xludf.DUMMYFUNCTION("GOOGLETRANSLATE(A736, ""en"", ""te"")"),"MDH రాజ్మా మసాలా")</f>
        <v>MDH రాజ్మా మసాలా</v>
      </c>
      <c r="C736" s="4" t="str">
        <f>IFERROR(__xludf.DUMMYFUNCTION("GOOGLETRANSLATE(A736, ""en"", ""hi"")"),"एमडीएच राजमा मसाला")</f>
        <v>एमडीएच राजमा मसाला</v>
      </c>
      <c r="D736" s="2" t="s">
        <v>1070</v>
      </c>
      <c r="E736" s="2" t="s">
        <v>442</v>
      </c>
      <c r="F736" s="1">
        <v>2.0</v>
      </c>
      <c r="G736" s="3" t="s">
        <v>4480</v>
      </c>
    </row>
    <row r="737">
      <c r="A737" s="3" t="s">
        <v>1475</v>
      </c>
      <c r="B737" s="4" t="str">
        <f>IFERROR(__xludf.DUMMYFUNCTION("GOOGLETRANSLATE(A737, ""en"", ""te"")"),"MDH పకోరా మసాలా")</f>
        <v>MDH పకోరా మసాలా</v>
      </c>
      <c r="C737" s="4" t="str">
        <f>IFERROR(__xludf.DUMMYFUNCTION("GOOGLETRANSLATE(A737, ""en"", ""hi"")"),"एमडीएच पकोड़ा मसाला")</f>
        <v>एमडीएच पकोड़ा मसाला</v>
      </c>
      <c r="D737" s="2" t="s">
        <v>1483</v>
      </c>
      <c r="E737" s="2" t="s">
        <v>442</v>
      </c>
      <c r="F737" s="1">
        <v>2.0</v>
      </c>
      <c r="G737" s="3" t="s">
        <v>4480</v>
      </c>
    </row>
    <row r="738">
      <c r="A738" s="3" t="s">
        <v>4245</v>
      </c>
      <c r="B738" s="4" t="str">
        <f>IFERROR(__xludf.DUMMYFUNCTION("GOOGLETRANSLATE(A738, ""en"", ""te"")"),"లక్ష్మి పసుపు పొడి")</f>
        <v>లక్ష్మి పసుపు పొడి</v>
      </c>
      <c r="C738" s="4" t="str">
        <f>IFERROR(__xludf.DUMMYFUNCTION("GOOGLETRANSLATE(A738, ""en"", ""hi"")"),"लक्ष्मी हल्दी पाउडर")</f>
        <v>लक्ष्मी हल्दी पाउडर</v>
      </c>
      <c r="D738" s="2" t="s">
        <v>4951</v>
      </c>
      <c r="E738" s="2" t="s">
        <v>442</v>
      </c>
      <c r="F738" s="1">
        <v>2.0</v>
      </c>
      <c r="G738" s="3" t="s">
        <v>4692</v>
      </c>
    </row>
    <row r="739">
      <c r="A739" s="3" t="s">
        <v>4952</v>
      </c>
      <c r="B739" s="4" t="str">
        <f>IFERROR(__xludf.DUMMYFUNCTION("GOOGLETRANSLATE(A739, ""en"", ""te"")"),"లక్ష్మి కొత్తిమీర పొడి")</f>
        <v>లక్ష్మి కొత్తిమీర పొడి</v>
      </c>
      <c r="C739" s="4" t="str">
        <f>IFERROR(__xludf.DUMMYFUNCTION("GOOGLETRANSLATE(A739, ""en"", ""hi"")"),"लक्ष्मी धनिया पाउडर")</f>
        <v>लक्ष्मी धनिया पाउडर</v>
      </c>
      <c r="D739" s="2" t="s">
        <v>2644</v>
      </c>
      <c r="E739" s="2" t="s">
        <v>442</v>
      </c>
      <c r="F739" s="1">
        <v>2.0</v>
      </c>
      <c r="G739" s="3" t="s">
        <v>4692</v>
      </c>
    </row>
    <row r="740">
      <c r="A740" s="3" t="s">
        <v>4953</v>
      </c>
      <c r="B740" s="4" t="str">
        <f>IFERROR(__xludf.DUMMYFUNCTION("GOOGLETRANSLATE(A740, ""en"", ""te"")"),"లక్ష్మి జీలకర్ర పొడి")</f>
        <v>లక్ష్మి జీలకర్ర పొడి</v>
      </c>
      <c r="C740" s="4" t="str">
        <f>IFERROR(__xludf.DUMMYFUNCTION("GOOGLETRANSLATE(A740, ""en"", ""hi"")"),"लक्ष्मी जीरा पाउडर")</f>
        <v>लक्ष्मी जीरा पाउडर</v>
      </c>
      <c r="D740" s="2" t="s">
        <v>3080</v>
      </c>
      <c r="E740" s="2" t="s">
        <v>442</v>
      </c>
      <c r="F740" s="1">
        <v>2.0</v>
      </c>
      <c r="G740" s="3" t="s">
        <v>4692</v>
      </c>
    </row>
    <row r="741">
      <c r="A741" s="3" t="s">
        <v>1690</v>
      </c>
      <c r="B741" s="4" t="str">
        <f>IFERROR(__xludf.DUMMYFUNCTION("GOOGLETRANSLATE(A741, ""en"", ""te"")"),"స్వాద్ జీలకర్ర పొడి")</f>
        <v>స్వాద్ జీలకర్ర పొడి</v>
      </c>
      <c r="C741" s="4" t="str">
        <f>IFERROR(__xludf.DUMMYFUNCTION("GOOGLETRANSLATE(A741, ""en"", ""hi"")"),"स्वाद जीरा पाउडर")</f>
        <v>स्वाद जीरा पाउडर</v>
      </c>
      <c r="D741" s="2" t="s">
        <v>1695</v>
      </c>
      <c r="E741" s="2" t="s">
        <v>442</v>
      </c>
      <c r="F741" s="1">
        <v>2.0</v>
      </c>
      <c r="G741" s="3" t="s">
        <v>4692</v>
      </c>
    </row>
    <row r="742">
      <c r="A742" s="3" t="s">
        <v>4954</v>
      </c>
      <c r="B742" s="4" t="str">
        <f>IFERROR(__xludf.DUMMYFUNCTION("GOOGLETRANSLATE(A742, ""en"", ""te"")"),"ఆలా జీలకర్ర పొడి")</f>
        <v>ఆలా జీలకర్ర పొడి</v>
      </c>
      <c r="C742" s="4" t="str">
        <f>IFERROR(__xludf.DUMMYFUNCTION("GOOGLETRANSLATE(A742, ""en"", ""hi"")"),"आला जीरा पाउडर")</f>
        <v>आला जीरा पाउडर</v>
      </c>
      <c r="D742" s="2" t="s">
        <v>3080</v>
      </c>
      <c r="E742" s="2" t="s">
        <v>442</v>
      </c>
      <c r="F742" s="1">
        <v>2.0</v>
      </c>
      <c r="G742" s="3" t="s">
        <v>4692</v>
      </c>
    </row>
    <row r="743">
      <c r="A743" s="3" t="s">
        <v>1696</v>
      </c>
      <c r="B743" s="4" t="str">
        <f>IFERROR(__xludf.DUMMYFUNCTION("GOOGLETRANSLATE(A743, ""en"", ""te"")"),"లక్ష్మి జీలకర్ర గింజలు")</f>
        <v>లక్ష్మి జీలకర్ర గింజలు</v>
      </c>
      <c r="C743" s="4" t="str">
        <f>IFERROR(__xludf.DUMMYFUNCTION("GOOGLETRANSLATE(A743, ""en"", ""hi"")"),"लक्ष्मी जीरा के बीज")</f>
        <v>लक्ष्मी जीरा के बीज</v>
      </c>
      <c r="D743" s="2" t="s">
        <v>1701</v>
      </c>
      <c r="E743" s="2" t="s">
        <v>442</v>
      </c>
      <c r="F743" s="1">
        <v>2.0</v>
      </c>
      <c r="G743" s="3" t="s">
        <v>4692</v>
      </c>
    </row>
    <row r="744">
      <c r="A744" s="3" t="s">
        <v>4955</v>
      </c>
      <c r="B744" s="4" t="str">
        <f>IFERROR(__xludf.DUMMYFUNCTION("GOOGLETRANSLATE(A744, ""en"", ""te"")"),"స్వాద్ జీలకర్ర గింజలు")</f>
        <v>స్వాద్ జీలకర్ర గింజలు</v>
      </c>
      <c r="C744" s="4" t="str">
        <f>IFERROR(__xludf.DUMMYFUNCTION("GOOGLETRANSLATE(A744, ""en"", ""hi"")"),"स्वाद जीरा के बीज")</f>
        <v>स्वाद जीरा के बीज</v>
      </c>
      <c r="D744" s="2" t="s">
        <v>4956</v>
      </c>
      <c r="E744" s="2" t="s">
        <v>442</v>
      </c>
      <c r="F744" s="1">
        <v>2.0</v>
      </c>
      <c r="G744" s="3" t="s">
        <v>4692</v>
      </c>
    </row>
    <row r="745">
      <c r="A745" s="3" t="s">
        <v>4957</v>
      </c>
      <c r="B745" s="4" t="str">
        <f>IFERROR(__xludf.DUMMYFUNCTION("GOOGLETRANSLATE(A745, ""en"", ""te"")"),"ఆలా పానీ పూరీ (గోల్ గప్పే)")</f>
        <v>ఆలా పానీ పూరీ (గోల్ గప్పే)</v>
      </c>
      <c r="C745" s="4" t="str">
        <f>IFERROR(__xludf.DUMMYFUNCTION("GOOGLETRANSLATE(A745, ""en"", ""hi"")"),"आला पानी पूरी (गोल गप्पे)")</f>
        <v>आला पानी पूरी (गोल गप्पे)</v>
      </c>
      <c r="D745" s="2" t="s">
        <v>1483</v>
      </c>
      <c r="E745" s="2" t="s">
        <v>940</v>
      </c>
      <c r="F745" s="1">
        <v>2.0</v>
      </c>
      <c r="G745" s="3" t="s">
        <v>4933</v>
      </c>
    </row>
    <row r="746">
      <c r="A746" s="3" t="s">
        <v>4987</v>
      </c>
      <c r="B746" s="4" t="str">
        <f>IFERROR(__xludf.DUMMYFUNCTION("GOOGLETRANSLATE(A746, ""en"", ""te"")"),"కర్రీ పౌడర్")</f>
        <v>కర్రీ పౌడర్</v>
      </c>
      <c r="C746" s="4" t="str">
        <f>IFERROR(__xludf.DUMMYFUNCTION("GOOGLETRANSLATE(A746, ""en"", ""hi"")"),"कढ़ी चूर्ण")</f>
        <v>कढ़ी चूर्ण</v>
      </c>
      <c r="D746" s="2" t="s">
        <v>1449</v>
      </c>
      <c r="E746" s="2" t="s">
        <v>442</v>
      </c>
      <c r="F746" s="1">
        <v>2.0</v>
      </c>
      <c r="G746" s="3" t="s">
        <v>39</v>
      </c>
    </row>
    <row r="747">
      <c r="A747" s="3" t="s">
        <v>4996</v>
      </c>
      <c r="B747" s="4" t="str">
        <f>IFERROR(__xludf.DUMMYFUNCTION("GOOGLETRANSLATE(A747, ""en"", ""te"")"),"MDH మాంసం కూర")</f>
        <v>MDH మాంసం కూర</v>
      </c>
      <c r="C747" s="4" t="str">
        <f>IFERROR(__xludf.DUMMYFUNCTION("GOOGLETRANSLATE(A747, ""en"", ""hi"")"),"एमडीएच मीट करी")</f>
        <v>एमडीएच मीट करी</v>
      </c>
      <c r="D747" s="5"/>
      <c r="E747" s="2" t="s">
        <v>946</v>
      </c>
      <c r="F747" s="1">
        <v>2.0</v>
      </c>
      <c r="G747" s="3" t="s">
        <v>194</v>
      </c>
    </row>
    <row r="748">
      <c r="A748" s="3" t="s">
        <v>5001</v>
      </c>
      <c r="B748" s="4" t="str">
        <f>IFERROR(__xludf.DUMMYFUNCTION("GOOGLETRANSLATE(A748, ""en"", ""te"")"),"నెమలి కసూరి మెంతి")</f>
        <v>నెమలి కసూరి మెంతి</v>
      </c>
      <c r="C748" s="4" t="str">
        <f>IFERROR(__xludf.DUMMYFUNCTION("GOOGLETRANSLATE(A748, ""en"", ""hi"")"),"मोर कसूरी मेथी")</f>
        <v>मोर कसूरी मेथी</v>
      </c>
      <c r="D748" s="5"/>
      <c r="E748" s="2" t="s">
        <v>442</v>
      </c>
      <c r="F748" s="1">
        <v>2.0</v>
      </c>
      <c r="G748" s="3" t="s">
        <v>194</v>
      </c>
    </row>
    <row r="749">
      <c r="A749" s="3" t="s">
        <v>5006</v>
      </c>
      <c r="B749" s="4" t="str">
        <f>IFERROR(__xludf.DUMMYFUNCTION("GOOGLETRANSLATE(A749, ""en"", ""te"")"),"MDH దహివాడ రైతా")</f>
        <v>MDH దహివాడ రైతా</v>
      </c>
      <c r="C749" s="4" t="str">
        <f>IFERROR(__xludf.DUMMYFUNCTION("GOOGLETRANSLATE(A749, ""en"", ""hi"")"),"एमडीएच दहिवाडा रायता")</f>
        <v>एमडीएच दहिवाडा रायता</v>
      </c>
      <c r="D749" s="2" t="s">
        <v>1356</v>
      </c>
      <c r="E749" s="2" t="s">
        <v>940</v>
      </c>
      <c r="F749" s="1">
        <v>2.0</v>
      </c>
      <c r="G749" s="3" t="s">
        <v>194</v>
      </c>
    </row>
    <row r="750">
      <c r="A750" s="3" t="s">
        <v>5010</v>
      </c>
      <c r="B750" s="4" t="str">
        <f>IFERROR(__xludf.DUMMYFUNCTION("GOOGLETRANSLATE(A750, ""en"", ""te"")"),"MDH మఖన్ మసాలా")</f>
        <v>MDH మఖన్ మసాలా</v>
      </c>
      <c r="C750" s="4" t="str">
        <f>IFERROR(__xludf.DUMMYFUNCTION("GOOGLETRANSLATE(A750, ""en"", ""hi"")"),"एमडीएच मक्खन मसाला")</f>
        <v>एमडीएच मक्खन मसाला</v>
      </c>
      <c r="D750" s="5"/>
      <c r="E750" s="2" t="s">
        <v>442</v>
      </c>
      <c r="F750" s="1">
        <v>2.0</v>
      </c>
      <c r="G750" s="3" t="s">
        <v>194</v>
      </c>
    </row>
    <row r="751">
      <c r="A751" s="3" t="s">
        <v>5015</v>
      </c>
      <c r="B751" s="4" t="str">
        <f>IFERROR(__xludf.DUMMYFUNCTION("GOOGLETRANSLATE(A751, ""en"", ""te"")"),"సేంద్రీయ పసుపు పొడి")</f>
        <v>సేంద్రీయ పసుపు పొడి</v>
      </c>
      <c r="C751" s="4" t="str">
        <f>IFERROR(__xludf.DUMMYFUNCTION("GOOGLETRANSLATE(A751, ""en"", ""hi"")"),"जैविक हल्दी पाउडर")</f>
        <v>जैविक हल्दी पाउडर</v>
      </c>
      <c r="D751" s="2" t="s">
        <v>1599</v>
      </c>
      <c r="E751" s="2" t="s">
        <v>442</v>
      </c>
      <c r="F751" s="1">
        <v>2.0</v>
      </c>
      <c r="G751" s="3" t="s">
        <v>240</v>
      </c>
    </row>
    <row r="752">
      <c r="A752" s="3" t="s">
        <v>5020</v>
      </c>
      <c r="B752" s="4" t="str">
        <f>IFERROR(__xludf.DUMMYFUNCTION("GOOGLETRANSLATE(A752, ""en"", ""te"")"),"సేంద్రీయ మిరప పొడి")</f>
        <v>సేంద్రీయ మిరప పొడి</v>
      </c>
      <c r="C752" s="4" t="str">
        <f>IFERROR(__xludf.DUMMYFUNCTION("GOOGLETRANSLATE(A752, ""en"", ""hi"")"),"ऑर्गेनिक मिर्च पाउडर")</f>
        <v>ऑर्गेनिक मिर्च पाउडर</v>
      </c>
      <c r="D752" s="2" t="s">
        <v>1636</v>
      </c>
      <c r="E752" s="2" t="s">
        <v>442</v>
      </c>
      <c r="F752" s="1">
        <v>2.0</v>
      </c>
      <c r="G752" s="3" t="s">
        <v>240</v>
      </c>
    </row>
    <row r="753">
      <c r="A753" s="3" t="s">
        <v>5023</v>
      </c>
      <c r="B753" s="4" t="str">
        <f>IFERROR(__xludf.DUMMYFUNCTION("GOOGLETRANSLATE(A753, ""en"", ""te"")"),"సేంద్రీయ అల్లం పొడి")</f>
        <v>సేంద్రీయ అల్లం పొడి</v>
      </c>
      <c r="C753" s="4" t="str">
        <f>IFERROR(__xludf.DUMMYFUNCTION("GOOGLETRANSLATE(A753, ""en"", ""hi"")"),"जैविक अदरक पाउडर")</f>
        <v>जैविक अदरक पाउडर</v>
      </c>
      <c r="D753" s="2" t="s">
        <v>2341</v>
      </c>
      <c r="E753" s="2" t="s">
        <v>442</v>
      </c>
      <c r="F753" s="1">
        <v>2.0</v>
      </c>
      <c r="G753" s="3" t="s">
        <v>240</v>
      </c>
    </row>
    <row r="754">
      <c r="A754" s="3" t="s">
        <v>5028</v>
      </c>
      <c r="B754" s="4" t="str">
        <f>IFERROR(__xludf.DUMMYFUNCTION("GOOGLETRANSLATE(A754, ""en"", ""te"")"),"సేంద్రీయ ఆవాలు")</f>
        <v>సేంద్రీయ ఆవాలు</v>
      </c>
      <c r="C754" s="4" t="str">
        <f>IFERROR(__xludf.DUMMYFUNCTION("GOOGLETRANSLATE(A754, ""en"", ""hi"")"),"ऑर्गेनिक सरसों")</f>
        <v>ऑर्गेनिक सरसों</v>
      </c>
      <c r="D754" s="2" t="s">
        <v>2588</v>
      </c>
      <c r="E754" s="2" t="s">
        <v>442</v>
      </c>
      <c r="F754" s="1">
        <v>2.0</v>
      </c>
      <c r="G754" s="3" t="s">
        <v>240</v>
      </c>
    </row>
    <row r="755">
      <c r="A755" s="3" t="s">
        <v>5033</v>
      </c>
      <c r="B755" s="4" t="str">
        <f>IFERROR(__xludf.DUMMYFUNCTION("GOOGLETRANSLATE(A755, ""en"", ""te"")"),"సేంద్రీయ ఎర్ర మిరపకాయ")</f>
        <v>సేంద్రీయ ఎర్ర మిరపకాయ</v>
      </c>
      <c r="C755" s="4" t="str">
        <f>IFERROR(__xludf.DUMMYFUNCTION("GOOGLETRANSLATE(A755, ""en"", ""hi"")"),"जैविक लाल मिर्च")</f>
        <v>जैविक लाल मिर्च</v>
      </c>
      <c r="D755" s="2" t="s">
        <v>1636</v>
      </c>
      <c r="E755" s="2" t="s">
        <v>442</v>
      </c>
      <c r="F755" s="1">
        <v>2.0</v>
      </c>
      <c r="G755" s="3" t="s">
        <v>240</v>
      </c>
    </row>
    <row r="756">
      <c r="A756" s="3" t="s">
        <v>5038</v>
      </c>
      <c r="B756" s="4" t="str">
        <f>IFERROR(__xludf.DUMMYFUNCTION("GOOGLETRANSLATE(A756, ""en"", ""te"")"),"పటేల్ బ్రదర్స్ స్పైసెస్")</f>
        <v>పటేల్ బ్రదర్స్ స్పైసెస్</v>
      </c>
      <c r="C756" s="4" t="str">
        <f>IFERROR(__xludf.DUMMYFUNCTION("GOOGLETRANSLATE(A756, ""en"", ""hi"")"),"पटेल ब्रदर्स स्पाइसेस")</f>
        <v>पटेल ब्रदर्स स्पाइसेस</v>
      </c>
      <c r="D756" s="5"/>
      <c r="E756" s="2" t="s">
        <v>442</v>
      </c>
      <c r="F756" s="1">
        <v>2.0</v>
      </c>
      <c r="G756" s="3" t="s">
        <v>240</v>
      </c>
    </row>
    <row r="757">
      <c r="A757" s="3" t="s">
        <v>5042</v>
      </c>
      <c r="B757" s="4" t="str">
        <f>IFERROR(__xludf.DUMMYFUNCTION("GOOGLETRANSLATE(A757, ""en"", ""te"")"),"సెంచరీ ఖిచ్డీ")</f>
        <v>సెంచరీ ఖిచ్డీ</v>
      </c>
      <c r="C757" s="4" t="str">
        <f>IFERROR(__xludf.DUMMYFUNCTION("GOOGLETRANSLATE(A757, ""en"", ""hi"")"),"सेंचुरी खिचड़ी")</f>
        <v>सेंचुरी खिचड़ी</v>
      </c>
      <c r="D757" s="5"/>
      <c r="E757" s="2" t="s">
        <v>2649</v>
      </c>
      <c r="F757" s="1">
        <v>2.0</v>
      </c>
      <c r="G757" s="3" t="s">
        <v>240</v>
      </c>
    </row>
    <row r="758">
      <c r="A758" s="3" t="s">
        <v>4955</v>
      </c>
      <c r="B758" s="4" t="str">
        <f>IFERROR(__xludf.DUMMYFUNCTION("GOOGLETRANSLATE(A758, ""en"", ""te"")"),"స్వాద్ జీలకర్ర గింజలు")</f>
        <v>స్వాద్ జీలకర్ర గింజలు</v>
      </c>
      <c r="C758" s="4" t="str">
        <f>IFERROR(__xludf.DUMMYFUNCTION("GOOGLETRANSLATE(A758, ""en"", ""hi"")"),"स्वाद जीरा के बीज")</f>
        <v>स्वाद जीरा के बीज</v>
      </c>
      <c r="D758" s="2" t="s">
        <v>4956</v>
      </c>
      <c r="E758" s="2" t="s">
        <v>442</v>
      </c>
      <c r="F758" s="1">
        <v>2.0</v>
      </c>
      <c r="G758" s="3" t="s">
        <v>258</v>
      </c>
    </row>
    <row r="759">
      <c r="A759" s="3" t="s">
        <v>4957</v>
      </c>
      <c r="B759" s="4" t="str">
        <f>IFERROR(__xludf.DUMMYFUNCTION("GOOGLETRANSLATE(A759, ""en"", ""te"")"),"ఆలా పానీ పూరీ (గోల్ గప్పే)")</f>
        <v>ఆలా పానీ పూరీ (గోల్ గప్పే)</v>
      </c>
      <c r="C759" s="4" t="str">
        <f>IFERROR(__xludf.DUMMYFUNCTION("GOOGLETRANSLATE(A759, ""en"", ""hi"")"),"आला पानी पूरी (गोल गप्पे)")</f>
        <v>आला पानी पूरी (गोल गप्पे)</v>
      </c>
      <c r="D759" s="2" t="s">
        <v>1483</v>
      </c>
      <c r="E759" s="2" t="s">
        <v>940</v>
      </c>
      <c r="F759" s="1">
        <v>2.0</v>
      </c>
      <c r="G759" s="3" t="s">
        <v>292</v>
      </c>
    </row>
    <row r="760">
      <c r="A760" s="3" t="s">
        <v>5131</v>
      </c>
      <c r="B760" s="4" t="str">
        <f>IFERROR(__xludf.DUMMYFUNCTION("GOOGLETRANSLATE(A760, ""en"", ""te"")"),"మసాలాతో దాబ్ సబుత్ ధనియా హోల్ కొత్తిమీర")</f>
        <v>మసాలాతో దాబ్ సబుత్ ధనియా హోల్ కొత్తిమీర</v>
      </c>
      <c r="C760" s="4" t="str">
        <f>IFERROR(__xludf.DUMMYFUNCTION("GOOGLETRANSLATE(A760, ""en"", ""hi"")"),"मसाला के साथ दाब साबुत धनिया साबुत धनिया")</f>
        <v>मसाला के साथ दाब साबुत धनिया साबुत धनिया</v>
      </c>
      <c r="D760" s="2" t="s">
        <v>1021</v>
      </c>
      <c r="E760" s="2" t="s">
        <v>442</v>
      </c>
      <c r="F760" s="1">
        <v>2.0</v>
      </c>
      <c r="G760" s="3" t="s">
        <v>292</v>
      </c>
    </row>
    <row r="761">
      <c r="A761" s="3" t="s">
        <v>5132</v>
      </c>
      <c r="B761" s="4" t="str">
        <f>IFERROR(__xludf.DUMMYFUNCTION("GOOGLETRANSLATE(A761, ""en"", ""te"")"),"విసినియా పానీ పూరి")</f>
        <v>విసినియా పానీ పూరి</v>
      </c>
      <c r="C761" s="4" t="str">
        <f>IFERROR(__xludf.DUMMYFUNCTION("GOOGLETRANSLATE(A761, ""en"", ""hi"")"),"विसिनिया पानी पुरी")</f>
        <v>विसिनिया पानी पुरी</v>
      </c>
      <c r="D761" s="2" t="s">
        <v>1304</v>
      </c>
      <c r="E761" s="2" t="s">
        <v>1294</v>
      </c>
      <c r="F761" s="1">
        <v>2.0</v>
      </c>
      <c r="G761" s="3" t="s">
        <v>292</v>
      </c>
    </row>
    <row r="762">
      <c r="A762" s="3" t="s">
        <v>1506</v>
      </c>
      <c r="B762" s="4" t="str">
        <f>IFERROR(__xludf.DUMMYFUNCTION("GOOGLETRANSLATE(A762, ""en"", ""te"")"),"MDH నెమలి కసూరి మెంతి")</f>
        <v>MDH నెమలి కసూరి మెంతి</v>
      </c>
      <c r="C762" s="4" t="str">
        <f>IFERROR(__xludf.DUMMYFUNCTION("GOOGLETRANSLATE(A762, ""en"", ""hi"")"),"एमडीएच पीकॉक कसूरी मेथी")</f>
        <v>एमडीएच पीकॉक कसूरी मेथी</v>
      </c>
      <c r="D762" s="5"/>
      <c r="E762" s="2" t="s">
        <v>442</v>
      </c>
      <c r="F762" s="1">
        <v>2.0</v>
      </c>
      <c r="G762" s="3" t="s">
        <v>71</v>
      </c>
    </row>
    <row r="763">
      <c r="A763" s="3" t="s">
        <v>1365</v>
      </c>
      <c r="B763" s="4" t="str">
        <f>IFERROR(__xludf.DUMMYFUNCTION("GOOGLETRANSLATE(A763, ""en"", ""te"")"),"MDH ఫిష్ కర్రీ మసాలా")</f>
        <v>MDH ఫిష్ కర్రీ మసాలా</v>
      </c>
      <c r="C763" s="4" t="str">
        <f>IFERROR(__xludf.DUMMYFUNCTION("GOOGLETRANSLATE(A763, ""en"", ""hi"")"),"एमडीएच फिश करी मसाला")</f>
        <v>एमडीएच फिश करी मसाला</v>
      </c>
      <c r="D763" s="5"/>
      <c r="E763" s="2" t="s">
        <v>442</v>
      </c>
      <c r="F763" s="1">
        <v>2.0</v>
      </c>
      <c r="G763" s="3" t="s">
        <v>71</v>
      </c>
    </row>
    <row r="764">
      <c r="A764" s="3" t="s">
        <v>1576</v>
      </c>
      <c r="B764" s="4" t="str">
        <f>IFERROR(__xludf.DUMMYFUNCTION("GOOGLETRANSLATE(A764, ""en"", ""te"")"),"MDH దహివాడ రైతా మసాలా")</f>
        <v>MDH దహివాడ రైతా మసాలా</v>
      </c>
      <c r="C764" s="4" t="str">
        <f>IFERROR(__xludf.DUMMYFUNCTION("GOOGLETRANSLATE(A764, ""en"", ""hi"")"),"एमडीएच दहीवड़ा रायता मसाला")</f>
        <v>एमडीएच दहीवड़ा रायता मसाला</v>
      </c>
      <c r="D764" s="5"/>
      <c r="E764" s="2" t="s">
        <v>442</v>
      </c>
      <c r="F764" s="1">
        <v>2.0</v>
      </c>
      <c r="G764" s="3" t="s">
        <v>71</v>
      </c>
    </row>
    <row r="765">
      <c r="A765" s="3" t="s">
        <v>5133</v>
      </c>
      <c r="B765" s="4" t="str">
        <f>IFERROR(__xludf.DUMMYFUNCTION("GOOGLETRANSLATE(A765, ""en"", ""te"")"),"MDH దాల్ మఖానీ మసాలా")</f>
        <v>MDH దాల్ మఖానీ మసాలా</v>
      </c>
      <c r="C765" s="4" t="str">
        <f>IFERROR(__xludf.DUMMYFUNCTION("GOOGLETRANSLATE(A765, ""en"", ""hi"")"),"एमडीएच दाल मखनी मसाला")</f>
        <v>एमडीएच दाल मखनी मसाला</v>
      </c>
      <c r="D765" s="5"/>
      <c r="E765" s="2" t="s">
        <v>442</v>
      </c>
      <c r="F765" s="1">
        <v>2.0</v>
      </c>
      <c r="G765" s="3" t="s">
        <v>71</v>
      </c>
    </row>
    <row r="766">
      <c r="A766" s="3" t="s">
        <v>1014</v>
      </c>
      <c r="B766" s="4" t="str">
        <f>IFERROR(__xludf.DUMMYFUNCTION("GOOGLETRANSLATE(A766, ""en"", ""te"")"),"MDH చంకీ చాట్ మసాలా")</f>
        <v>MDH చంకీ చాట్ మసాలా</v>
      </c>
      <c r="C766" s="4" t="str">
        <f>IFERROR(__xludf.DUMMYFUNCTION("GOOGLETRANSLATE(A766, ""en"", ""hi"")"),"एमडीएच चंकी चाट मसाला")</f>
        <v>एमडीएच चंकी चाट मसाला</v>
      </c>
      <c r="D766" s="2" t="s">
        <v>1021</v>
      </c>
      <c r="E766" s="2" t="s">
        <v>442</v>
      </c>
      <c r="F766" s="1">
        <v>2.0</v>
      </c>
      <c r="G766" s="3" t="s">
        <v>71</v>
      </c>
    </row>
    <row r="767">
      <c r="A767" s="3" t="s">
        <v>5134</v>
      </c>
      <c r="B767" s="4" t="str">
        <f>IFERROR(__xludf.DUMMYFUNCTION("GOOGLETRANSLATE(A767, ""en"", ""te"")"),"చికెన్ కోసం MDH కర్రీ మసాలా")</f>
        <v>చికెన్ కోసం MDH కర్రీ మసాలా</v>
      </c>
      <c r="C767" s="4" t="str">
        <f>IFERROR(__xludf.DUMMYFUNCTION("GOOGLETRANSLATE(A767, ""en"", ""hi"")"),"एमडीएच चिकन करी मसाला")</f>
        <v>एमडीएच चिकन करी मसाला</v>
      </c>
      <c r="D767" s="5"/>
      <c r="E767" s="2" t="s">
        <v>442</v>
      </c>
      <c r="F767" s="1">
        <v>2.0</v>
      </c>
      <c r="G767" s="3" t="s">
        <v>71</v>
      </c>
    </row>
    <row r="768">
      <c r="A768" s="3" t="s">
        <v>2152</v>
      </c>
      <c r="B768" s="4" t="str">
        <f>IFERROR(__xludf.DUMMYFUNCTION("GOOGLETRANSLATE(A768, ""en"", ""te"")"),"MDH చనా దాల్ మసాలా")</f>
        <v>MDH చనా దాల్ మసాలా</v>
      </c>
      <c r="C768" s="4" t="str">
        <f>IFERROR(__xludf.DUMMYFUNCTION("GOOGLETRANSLATE(A768, ""en"", ""hi"")"),"एमडीएच चना दाल मसाला")</f>
        <v>एमडीएच चना दाल मसाला</v>
      </c>
      <c r="D768" s="5"/>
      <c r="E768" s="2" t="s">
        <v>442</v>
      </c>
      <c r="F768" s="1">
        <v>2.0</v>
      </c>
      <c r="G768" s="3" t="s">
        <v>71</v>
      </c>
    </row>
    <row r="769">
      <c r="A769" s="3" t="s">
        <v>1031</v>
      </c>
      <c r="B769" s="4" t="str">
        <f>IFERROR(__xludf.DUMMYFUNCTION("GOOGLETRANSLATE(A769, ""en"", ""te"")"),"MDH చనా మసాలా")</f>
        <v>MDH చనా మసాలా</v>
      </c>
      <c r="C769" s="4" t="str">
        <f>IFERROR(__xludf.DUMMYFUNCTION("GOOGLETRANSLATE(A769, ""en"", ""hi"")"),"एमडीएच चना मसाला")</f>
        <v>एमडीएच चना मसाला</v>
      </c>
      <c r="D769" s="2" t="s">
        <v>1036</v>
      </c>
      <c r="E769" s="2" t="s">
        <v>1038</v>
      </c>
      <c r="F769" s="1">
        <v>2.0</v>
      </c>
      <c r="G769" s="3" t="s">
        <v>71</v>
      </c>
    </row>
    <row r="770">
      <c r="A770" s="3" t="s">
        <v>1041</v>
      </c>
      <c r="B770" s="4" t="str">
        <f>IFERROR(__xludf.DUMMYFUNCTION("GOOGLETRANSLATE(A770, ""en"", ""te"")"),"MDH చట్నీ పొడినా మసాలా")</f>
        <v>MDH చట్నీ పొడినా మసాలా</v>
      </c>
      <c r="C770" s="4" t="str">
        <f>IFERROR(__xludf.DUMMYFUNCTION("GOOGLETRANSLATE(A770, ""en"", ""hi"")"),"एमडीएच चटनी पुदीना मसाला")</f>
        <v>एमडीएच चटनी पुदीना मसाला</v>
      </c>
      <c r="D770" s="5"/>
      <c r="E770" s="2" t="s">
        <v>442</v>
      </c>
      <c r="F770" s="1">
        <v>2.0</v>
      </c>
      <c r="G770" s="3" t="s">
        <v>71</v>
      </c>
    </row>
    <row r="771">
      <c r="A771" s="3" t="s">
        <v>5135</v>
      </c>
      <c r="B771" s="4" t="str">
        <f>IFERROR(__xludf.DUMMYFUNCTION("GOOGLETRANSLATE(A771, ""en"", ""te"")"),"శ్రీ గణేష్‌మిల్ తందూరి చికెన్ మసాలా")</f>
        <v>శ్రీ గణేష్‌మిల్ తందూరి చికెన్ మసాలా</v>
      </c>
      <c r="C771" s="4" t="str">
        <f>IFERROR(__xludf.DUMMYFUNCTION("GOOGLETRANSLATE(A771, ""en"", ""hi"")"),"श्री गणेशमिल तंदूरी चिकन मसाला")</f>
        <v>श्री गणेशमिल तंदूरी चिकन मसाला</v>
      </c>
      <c r="D771" s="5"/>
      <c r="E771" s="2" t="s">
        <v>442</v>
      </c>
      <c r="F771" s="1">
        <v>2.0</v>
      </c>
      <c r="G771" s="3" t="s">
        <v>114</v>
      </c>
    </row>
    <row r="772">
      <c r="A772" s="3" t="s">
        <v>5136</v>
      </c>
      <c r="B772" s="4" t="str">
        <f>IFERROR(__xludf.DUMMYFUNCTION("GOOGLETRANSLATE(A772, ""en"", ""te"")"),"శ్రీ గణేష్‌మిల్ మద్రాస్ సాంబార్ పౌడర్")</f>
        <v>శ్రీ గణేష్‌మిల్ మద్రాస్ సాంబార్ పౌడర్</v>
      </c>
      <c r="C772" s="4" t="str">
        <f>IFERROR(__xludf.DUMMYFUNCTION("GOOGLETRANSLATE(A772, ""en"", ""hi"")"),"श्री गणेशमिल मद्रास सांभर पाउडर")</f>
        <v>श्री गणेशमिल मद्रास सांभर पाउडर</v>
      </c>
      <c r="D772" s="2" t="s">
        <v>3397</v>
      </c>
      <c r="E772" s="2" t="s">
        <v>442</v>
      </c>
      <c r="F772" s="1">
        <v>2.0</v>
      </c>
      <c r="G772" s="3" t="s">
        <v>114</v>
      </c>
    </row>
    <row r="773">
      <c r="A773" s="3" t="s">
        <v>5137</v>
      </c>
      <c r="B773" s="4" t="str">
        <f>IFERROR(__xludf.DUMMYFUNCTION("GOOGLETRANSLATE(A773, ""en"", ""te"")"),"శ్రీ గణేష్మిల్ మద్రాస్ రసం పౌడర్")</f>
        <v>శ్రీ గణేష్మిల్ మద్రాస్ రసం పౌడర్</v>
      </c>
      <c r="C773" s="4" t="str">
        <f>IFERROR(__xludf.DUMMYFUNCTION("GOOGLETRANSLATE(A773, ""en"", ""hi"")"),"श्री गणेशमिल मद्रास रसम पाउडर")</f>
        <v>श्री गणेशमिल मद्रास रसम पाउडर</v>
      </c>
      <c r="D773" s="5"/>
      <c r="E773" s="2" t="s">
        <v>442</v>
      </c>
      <c r="F773" s="1">
        <v>2.0</v>
      </c>
      <c r="G773" s="3" t="s">
        <v>114</v>
      </c>
    </row>
    <row r="774">
      <c r="A774" s="3" t="s">
        <v>5138</v>
      </c>
      <c r="B774" s="4" t="str">
        <f>IFERROR(__xludf.DUMMYFUNCTION("GOOGLETRANSLATE(A774, ""en"", ""te"")"),"శ్రీ గణేష్‌మిల్ ఇన్‌స్టంట్ పులియోధరై మిక్స్")</f>
        <v>శ్రీ గణేష్‌మిల్ ఇన్‌స్టంట్ పులియోధరై మిక్స్</v>
      </c>
      <c r="C774" s="4" t="str">
        <f>IFERROR(__xludf.DUMMYFUNCTION("GOOGLETRANSLATE(A774, ""en"", ""hi"")"),"श्री गणेशमिल इंस्टेंट पुलियोधराई मिक्स")</f>
        <v>श्री गणेशमिल इंस्टेंट पुलियोधराई मिक्स</v>
      </c>
      <c r="D774" s="2" t="s">
        <v>1151</v>
      </c>
      <c r="E774" s="2" t="s">
        <v>940</v>
      </c>
      <c r="F774" s="1">
        <v>2.0</v>
      </c>
      <c r="G774" s="3" t="s">
        <v>114</v>
      </c>
    </row>
    <row r="775">
      <c r="A775" s="3" t="s">
        <v>5139</v>
      </c>
      <c r="B775" s="4" t="str">
        <f>IFERROR(__xludf.DUMMYFUNCTION("GOOGLETRANSLATE(A775, ""en"", ""te"")"),"గాఢమైన నల్ల మిరియాల పొడి")</f>
        <v>గాఢమైన నల్ల మిరియాల పొడి</v>
      </c>
      <c r="C775" s="4" t="str">
        <f>IFERROR(__xludf.DUMMYFUNCTION("GOOGLETRANSLATE(A775, ""en"", ""hi"")"),"गहरा काला मिर्च पाउडर")</f>
        <v>गहरा काला मिर्च पाउडर</v>
      </c>
      <c r="D775" s="5"/>
      <c r="E775" s="2" t="s">
        <v>442</v>
      </c>
      <c r="F775" s="1">
        <v>2.0</v>
      </c>
      <c r="G775" s="3" t="s">
        <v>258</v>
      </c>
    </row>
    <row r="776">
      <c r="A776" s="3" t="s">
        <v>5140</v>
      </c>
      <c r="B776" s="4" t="str">
        <f>IFERROR(__xludf.DUMMYFUNCTION("GOOGLETRANSLATE(A776, ""en"", ""te"")"),"స్వాద్ నల్ల మిరియాలు (ముతక)")</f>
        <v>స్వాద్ నల్ల మిరియాలు (ముతక)</v>
      </c>
      <c r="C776" s="4" t="str">
        <f>IFERROR(__xludf.DUMMYFUNCTION("GOOGLETRANSLATE(A776, ""en"", ""hi"")"),"स्वाद काली मिर्च (मोटी कटी हुई)")</f>
        <v>स्वाद काली मिर्च (मोटी कटी हुई)</v>
      </c>
      <c r="D776" s="5"/>
      <c r="E776" s="2" t="s">
        <v>442</v>
      </c>
      <c r="F776" s="1">
        <v>2.0</v>
      </c>
      <c r="G776" s="3" t="s">
        <v>258</v>
      </c>
    </row>
    <row r="777">
      <c r="A777" s="3" t="s">
        <v>5141</v>
      </c>
      <c r="B777" s="4" t="str">
        <f>IFERROR(__xludf.DUMMYFUNCTION("GOOGLETRANSLATE(A777, ""en"", ""te"")"),"ఆరా తెల్ల మిరియాల పొడి")</f>
        <v>ఆరా తెల్ల మిరియాల పొడి</v>
      </c>
      <c r="C777" s="4" t="str">
        <f>IFERROR(__xludf.DUMMYFUNCTION("GOOGLETRANSLATE(A777, ""en"", ""hi"")"),"आरा सफेद काली मिर्च पाउडर")</f>
        <v>आरा सफेद काली मिर्च पाउडर</v>
      </c>
      <c r="D777" s="5"/>
      <c r="E777" s="2" t="s">
        <v>442</v>
      </c>
      <c r="F777" s="1">
        <v>2.0</v>
      </c>
      <c r="G777" s="3" t="s">
        <v>258</v>
      </c>
    </row>
    <row r="778">
      <c r="A778" s="3" t="s">
        <v>1287</v>
      </c>
      <c r="B778" s="4" t="str">
        <f>IFERROR(__xludf.DUMMYFUNCTION("GOOGLETRANSLATE(A778, ""en"", ""te"")"),"దీప్ పానీ పూరి గొల్గప్ప")</f>
        <v>దీప్ పానీ పూరి గొల్గప్ప</v>
      </c>
      <c r="C778" s="4" t="str">
        <f>IFERROR(__xludf.DUMMYFUNCTION("GOOGLETRANSLATE(A778, ""en"", ""hi"")"),"दीप पानी पुरी गोलगप्पा")</f>
        <v>दीप पानी पुरी गोलगप्पा</v>
      </c>
      <c r="D778" s="5"/>
      <c r="E778" s="2" t="s">
        <v>1294</v>
      </c>
      <c r="F778" s="1">
        <v>2.0</v>
      </c>
      <c r="G778" s="3" t="s">
        <v>292</v>
      </c>
    </row>
    <row r="779">
      <c r="A779" s="3" t="s">
        <v>5142</v>
      </c>
      <c r="B779" s="4" t="str">
        <f>IFERROR(__xludf.DUMMYFUNCTION("GOOGLETRANSLATE(A779, ""en"", ""te"")"),"హల్దీరామ్స్ పానీ పూరీ")</f>
        <v>హల్దీరామ్స్ పానీ పూరీ</v>
      </c>
      <c r="C779" s="4" t="str">
        <f>IFERROR(__xludf.DUMMYFUNCTION("GOOGLETRANSLATE(A779, ""en"", ""hi"")"),"हल्दीराम की पानी पूरी")</f>
        <v>हल्दीराम की पानी पूरी</v>
      </c>
      <c r="D779" s="5"/>
      <c r="E779" s="2" t="s">
        <v>1294</v>
      </c>
      <c r="F779" s="1">
        <v>2.0</v>
      </c>
      <c r="G779" s="3" t="s">
        <v>292</v>
      </c>
    </row>
    <row r="780">
      <c r="A780" s="3" t="s">
        <v>5147</v>
      </c>
      <c r="B780" s="4" t="str">
        <f>IFERROR(__xludf.DUMMYFUNCTION("GOOGLETRANSLATE(A780, ""en"", ""te"")"),"చికెన్ కోసం MDH చనా మసాలా")</f>
        <v>చికెన్ కోసం MDH చనా మసాలా</v>
      </c>
      <c r="C780" s="4" t="str">
        <f>IFERROR(__xludf.DUMMYFUNCTION("GOOGLETRANSLATE(A780, ""en"", ""hi"")"),"एमडीएच चिकन के लिए चना मसाला")</f>
        <v>एमडीएच चिकन के लिए चना मसाला</v>
      </c>
      <c r="D780" s="5"/>
      <c r="E780" s="2" t="s">
        <v>940</v>
      </c>
      <c r="F780" s="1">
        <v>2.0</v>
      </c>
      <c r="G780" s="3" t="s">
        <v>85</v>
      </c>
    </row>
    <row r="781">
      <c r="A781" s="3" t="s">
        <v>5133</v>
      </c>
      <c r="B781" s="4" t="str">
        <f>IFERROR(__xludf.DUMMYFUNCTION("GOOGLETRANSLATE(A781, ""en"", ""te"")"),"MDH దాల్ మఖానీ మసాలా")</f>
        <v>MDH దాల్ మఖానీ మసాలా</v>
      </c>
      <c r="C781" s="4" t="str">
        <f>IFERROR(__xludf.DUMMYFUNCTION("GOOGLETRANSLATE(A781, ""en"", ""hi"")"),"एमडीएच दाल मखनी मसाला")</f>
        <v>एमडीएच दाल मखनी मसाला</v>
      </c>
      <c r="D781" s="5"/>
      <c r="E781" s="2" t="s">
        <v>442</v>
      </c>
      <c r="F781" s="1">
        <v>2.0</v>
      </c>
      <c r="G781" s="3" t="s">
        <v>85</v>
      </c>
    </row>
    <row r="782">
      <c r="A782" s="3" t="s">
        <v>5156</v>
      </c>
      <c r="B782" s="4" t="str">
        <f>IFERROR(__xludf.DUMMYFUNCTION("GOOGLETRANSLATE(A782, ""en"", ""te"")"),"MDH బొంబాయియా బిర్యానీ మసాలా")</f>
        <v>MDH బొంబాయియా బిర్యానీ మసాలా</v>
      </c>
      <c r="C782" s="4" t="str">
        <f>IFERROR(__xludf.DUMMYFUNCTION("GOOGLETRANSLATE(A782, ""en"", ""hi"")"),"एमडीएच बॉम्बेया बिरयानी मसाला")</f>
        <v>एमडीएच बॉम्बेया बिरयानी मसाला</v>
      </c>
      <c r="D782" s="2" t="s">
        <v>1655</v>
      </c>
      <c r="E782" s="2" t="s">
        <v>442</v>
      </c>
      <c r="F782" s="1">
        <v>2.0</v>
      </c>
      <c r="G782" s="3" t="s">
        <v>85</v>
      </c>
    </row>
    <row r="783">
      <c r="A783" s="3" t="s">
        <v>5161</v>
      </c>
      <c r="B783" s="4" t="str">
        <f>IFERROR(__xludf.DUMMYFUNCTION("GOOGLETRANSLATE(A783, ""en"", ""te"")"),"సెంచరీ చాట్‌పట్ మసాలా")</f>
        <v>సెంచరీ చాట్‌పట్ మసాలా</v>
      </c>
      <c r="C783" s="4" t="str">
        <f>IFERROR(__xludf.DUMMYFUNCTION("GOOGLETRANSLATE(A783, ""en"", ""hi"")"),"सेंचुरी चटपट मसाला")</f>
        <v>सेंचुरी चटपट मसाला</v>
      </c>
      <c r="D783" s="2" t="s">
        <v>1655</v>
      </c>
      <c r="E783" s="2" t="s">
        <v>442</v>
      </c>
      <c r="F783" s="1">
        <v>2.0</v>
      </c>
      <c r="G783" s="3" t="s">
        <v>114</v>
      </c>
    </row>
    <row r="784">
      <c r="A784" s="3" t="s">
        <v>5165</v>
      </c>
      <c r="B784" s="4" t="str">
        <f>IFERROR(__xludf.DUMMYFUNCTION("GOOGLETRANSLATE(A784, ""en"", ""te"")"),"జిఎఫ్ఎఫ్ తందూరి చికెన్ మసాలా")</f>
        <v>జిఎఫ్ఎఫ్ తందూరి చికెన్ మసాలా</v>
      </c>
      <c r="C784" s="4" t="str">
        <f>IFERROR(__xludf.DUMMYFUNCTION("GOOGLETRANSLATE(A784, ""en"", ""hi"")"),"जीएफएफ तंदूरी चिकन मसाला")</f>
        <v>जीएफएफ तंदूरी चिकन मसाला</v>
      </c>
      <c r="D784" s="5"/>
      <c r="E784" s="2" t="s">
        <v>442</v>
      </c>
      <c r="F784" s="1">
        <v>2.0</v>
      </c>
      <c r="G784" s="3" t="s">
        <v>114</v>
      </c>
    </row>
    <row r="785">
      <c r="A785" s="3" t="s">
        <v>5172</v>
      </c>
      <c r="B785" s="4" t="str">
        <f>IFERROR(__xludf.DUMMYFUNCTION("GOOGLETRANSLATE(A785, ""en"", ""te"")"),"జిఎఫ్ఎఫ్ మద్రాస్ సాంబార్ పౌడర్")</f>
        <v>జిఎఫ్ఎఫ్ మద్రాస్ సాంబార్ పౌడర్</v>
      </c>
      <c r="C785" s="4" t="str">
        <f>IFERROR(__xludf.DUMMYFUNCTION("GOOGLETRANSLATE(A785, ""en"", ""hi"")"),"जीएफएफ मद्रास सांभर पाउडर")</f>
        <v>जीएफएफ मद्रास सांभर पाउडर</v>
      </c>
      <c r="D785" s="2" t="s">
        <v>5175</v>
      </c>
      <c r="E785" s="2" t="s">
        <v>442</v>
      </c>
      <c r="F785" s="1">
        <v>2.0</v>
      </c>
      <c r="G785" s="3" t="s">
        <v>114</v>
      </c>
    </row>
    <row r="786">
      <c r="A786" s="3" t="s">
        <v>5177</v>
      </c>
      <c r="B786" s="4" t="str">
        <f>IFERROR(__xludf.DUMMYFUNCTION("GOOGLETRANSLATE(A786, ""en"", ""te"")"),"జిఎఫ్ఎఫ్ మద్రాస్ రసం పౌడర్")</f>
        <v>జిఎఫ్ఎఫ్ మద్రాస్ రసం పౌడర్</v>
      </c>
      <c r="C786" s="4" t="str">
        <f>IFERROR(__xludf.DUMMYFUNCTION("GOOGLETRANSLATE(A786, ""en"", ""hi"")"),"जीएफएफ मद्रास रसम पाउडर")</f>
        <v>जीएफएफ मद्रास रसम पाउडर</v>
      </c>
      <c r="D786" s="2" t="s">
        <v>5175</v>
      </c>
      <c r="E786" s="2" t="s">
        <v>442</v>
      </c>
      <c r="F786" s="1">
        <v>2.0</v>
      </c>
      <c r="G786" s="3" t="s">
        <v>114</v>
      </c>
    </row>
    <row r="787">
      <c r="A787" s="3" t="s">
        <v>5181</v>
      </c>
      <c r="B787" s="4" t="str">
        <f>IFERROR(__xludf.DUMMYFUNCTION("GOOGLETRANSLATE(A787, ""en"", ""te"")"),"జిఎఫ్ఎఫ్ ఇన్స్టంట్ పులియోధరై మిక్స్")</f>
        <v>జిఎఫ్ఎఫ్ ఇన్స్టంట్ పులియోధరై మిక్స్</v>
      </c>
      <c r="C787" s="4" t="str">
        <f>IFERROR(__xludf.DUMMYFUNCTION("GOOGLETRANSLATE(A787, ""en"", ""hi"")"),"जीएफएफ इंस्टेंट पुलियोधराई मिक्स")</f>
        <v>जीएफएफ इंस्टेंट पुलियोधराई मिक्स</v>
      </c>
      <c r="D787" s="2" t="s">
        <v>1151</v>
      </c>
      <c r="E787" s="2" t="s">
        <v>940</v>
      </c>
      <c r="F787" s="1">
        <v>2.0</v>
      </c>
      <c r="G787" s="3" t="s">
        <v>114</v>
      </c>
    </row>
    <row r="788">
      <c r="A788" s="3" t="s">
        <v>5186</v>
      </c>
      <c r="B788" s="4" t="str">
        <f>IFERROR(__xludf.DUMMYFUNCTION("GOOGLETRANSLATE(A788, ""en"", ""te"")"),"జిఎఫ్ఎఫ్ ఇడ్లీ మిరపకాయ చట్నీ పొడి")</f>
        <v>జిఎఫ్ఎఫ్ ఇడ్లీ మిరపకాయ చట్నీ పొడి</v>
      </c>
      <c r="C788" s="4" t="str">
        <f>IFERROR(__xludf.DUMMYFUNCTION("GOOGLETRANSLATE(A788, ""en"", ""hi"")"),"जीएफएफ इडली मिर्च चटनी पाउडर")</f>
        <v>जीएफएफ इडली मिर्च चटनी पाउडर</v>
      </c>
      <c r="D788" s="5"/>
      <c r="E788" s="2" t="s">
        <v>442</v>
      </c>
      <c r="F788" s="1">
        <v>2.0</v>
      </c>
      <c r="G788" s="3" t="s">
        <v>114</v>
      </c>
    </row>
    <row r="789">
      <c r="A789" s="3" t="s">
        <v>5191</v>
      </c>
      <c r="B789" s="4" t="str">
        <f>IFERROR(__xludf.DUMMYFUNCTION("GOOGLETRANSLATE(A789, ""en"", ""te"")"),"జిఎఫ్ఎఫ్ స్పెషల్ ఎగ్ కర్రీ మసాలా")</f>
        <v>జిఎఫ్ఎఫ్ స్పెషల్ ఎగ్ కర్రీ మసాలా</v>
      </c>
      <c r="C789" s="4" t="str">
        <f>IFERROR(__xludf.DUMMYFUNCTION("GOOGLETRANSLATE(A789, ""en"", ""hi"")"),"जीएफएफ स्पेशल एग करी मसाला")</f>
        <v>जीएफएफ स्पेशल एग करी मसाला</v>
      </c>
      <c r="D789" s="5"/>
      <c r="E789" s="2" t="s">
        <v>442</v>
      </c>
      <c r="F789" s="1">
        <v>2.0</v>
      </c>
      <c r="G789" s="3" t="s">
        <v>114</v>
      </c>
    </row>
    <row r="790">
      <c r="A790" s="3" t="s">
        <v>5194</v>
      </c>
      <c r="B790" s="4" t="str">
        <f>IFERROR(__xludf.DUMMYFUNCTION("GOOGLETRANSLATE(A790, ""en"", ""te"")"),"జిఎఫ్ఎఫ్ మద్రాస్ చికెన్ 65 మసాలా")</f>
        <v>జిఎఫ్ఎఫ్ మద్రాస్ చికెన్ 65 మసాలా</v>
      </c>
      <c r="C790" s="4" t="str">
        <f>IFERROR(__xludf.DUMMYFUNCTION("GOOGLETRANSLATE(A790, ""en"", ""hi"")"),"जीएफएफ मद्रास चिकन 65 मसाला")</f>
        <v>जीएफएफ मद्रास चिकन 65 मसाला</v>
      </c>
      <c r="D790" s="5"/>
      <c r="E790" s="2" t="s">
        <v>442</v>
      </c>
      <c r="F790" s="1">
        <v>2.0</v>
      </c>
      <c r="G790" s="3" t="s">
        <v>114</v>
      </c>
    </row>
    <row r="791">
      <c r="A791" s="3" t="s">
        <v>5198</v>
      </c>
      <c r="B791" s="4" t="str">
        <f>IFERROR(__xludf.DUMMYFUNCTION("GOOGLETRANSLATE(A791, ""en"", ""te"")"),"జిఎఫ్ఎఫ్ బిర్యానీ పులావ్ మసాలా")</f>
        <v>జిఎఫ్ఎఫ్ బిర్యానీ పులావ్ మసాలా</v>
      </c>
      <c r="C791" s="4" t="str">
        <f>IFERROR(__xludf.DUMMYFUNCTION("GOOGLETRANSLATE(A791, ""en"", ""hi"")"),"जीएफएफ बिरयानी पुलाव मसाला")</f>
        <v>जीएफएफ बिरयानी पुलाव मसाला</v>
      </c>
      <c r="D791" s="5"/>
      <c r="E791" s="2" t="s">
        <v>442</v>
      </c>
      <c r="F791" s="1">
        <v>2.0</v>
      </c>
      <c r="G791" s="3" t="s">
        <v>114</v>
      </c>
    </row>
    <row r="792">
      <c r="A792" s="3" t="s">
        <v>5236</v>
      </c>
      <c r="B792" s="4" t="str">
        <f>IFERROR(__xludf.DUMMYFUNCTION("GOOGLETRANSLATE(A792, ""en"", ""te"")"),"ఎల్పీ నల్ల మిరియాల పొడి")</f>
        <v>ఎల్పీ నల్ల మిరియాల పొడి</v>
      </c>
      <c r="C792" s="4" t="str">
        <f>IFERROR(__xludf.DUMMYFUNCTION("GOOGLETRANSLATE(A792, ""en"", ""hi"")"),"एलपी काली मिर्च पाउडर")</f>
        <v>एलपी काली मिर्च पाउडर</v>
      </c>
      <c r="D792" s="5"/>
      <c r="E792" s="2" t="s">
        <v>442</v>
      </c>
      <c r="F792" s="1">
        <v>2.0</v>
      </c>
      <c r="G792" s="3" t="s">
        <v>10</v>
      </c>
    </row>
    <row r="793">
      <c r="A793" s="3" t="s">
        <v>5289</v>
      </c>
      <c r="B793" s="4" t="str">
        <f>IFERROR(__xludf.DUMMYFUNCTION("GOOGLETRANSLATE(A793, ""en"", ""te"")"),"గాఢమైన నల్ల మిరియాల పొడి")</f>
        <v>గాఢమైన నల్ల మిరియాల పొడి</v>
      </c>
      <c r="C793" s="4" t="str">
        <f>IFERROR(__xludf.DUMMYFUNCTION("GOOGLETRANSLATE(A793, ""en"", ""hi"")"),"गहरी काली मिर्च")</f>
        <v>गहरी काली मिर्च</v>
      </c>
      <c r="D793" s="5"/>
      <c r="E793" s="2" t="s">
        <v>442</v>
      </c>
      <c r="F793" s="1">
        <v>2.0</v>
      </c>
      <c r="G793" s="3" t="s">
        <v>10</v>
      </c>
    </row>
    <row r="794">
      <c r="A794" s="3" t="s">
        <v>5399</v>
      </c>
      <c r="B794" s="4" t="str">
        <f>IFERROR(__xludf.DUMMYFUNCTION("GOOGLETRANSLATE(A794, ""en"", ""te"")"),"SWAD నల్ల మిరియాలు (ముతక)")</f>
        <v>SWAD నల్ల మిరియాలు (ముతక)</v>
      </c>
      <c r="C794" s="4" t="str">
        <f>IFERROR(__xludf.DUMMYFUNCTION("GOOGLETRANSLATE(A794, ""en"", ""hi"")"),"स्वाद काली मिर्च (मोटी कटी हुई)")</f>
        <v>स्वाद काली मिर्च (मोटी कटी हुई)</v>
      </c>
      <c r="D794" s="5"/>
      <c r="E794" s="2" t="s">
        <v>442</v>
      </c>
      <c r="F794" s="1">
        <v>2.0</v>
      </c>
      <c r="G794" s="3" t="s">
        <v>10</v>
      </c>
    </row>
    <row r="795">
      <c r="A795" s="3" t="s">
        <v>5400</v>
      </c>
      <c r="B795" s="4" t="str">
        <f>IFERROR(__xludf.DUMMYFUNCTION("GOOGLETRANSLATE(A795, ""en"", ""te"")"),"AAAA తెల్ల మిరియాల పొడి")</f>
        <v>AAAA తెల్ల మిరియాల పొడి</v>
      </c>
      <c r="C795" s="4" t="str">
        <f>IFERROR(__xludf.DUMMYFUNCTION("GOOGLETRANSLATE(A795, ""en"", ""hi"")"),"एएएए सफेद काली मिर्च पाउडर")</f>
        <v>एएएए सफेद काली मिर्च पाउडर</v>
      </c>
      <c r="D795" s="5"/>
      <c r="E795" s="2" t="s">
        <v>442</v>
      </c>
      <c r="F795" s="1">
        <v>2.0</v>
      </c>
      <c r="G795" s="3" t="s">
        <v>10</v>
      </c>
    </row>
    <row r="796">
      <c r="A796" s="3" t="s">
        <v>5401</v>
      </c>
      <c r="B796" s="4" t="str">
        <f>IFERROR(__xludf.DUMMYFUNCTION("GOOGLETRANSLATE(A796, ""en"", ""te"")"),"హల్దీరామ్ స్ట్రీట్ స్టైల్ పానీ పూరి")</f>
        <v>హల్దీరామ్ స్ట్రీట్ స్టైల్ పానీ పూరి</v>
      </c>
      <c r="C796" s="4" t="str">
        <f>IFERROR(__xludf.DUMMYFUNCTION("GOOGLETRANSLATE(A796, ""en"", ""hi"")"),"हल्दीराम की स्ट्रीट स्टाइल पानी पुरी")</f>
        <v>हल्दीराम की स्ट्रीट स्टाइल पानी पुरी</v>
      </c>
      <c r="D796" s="2" t="s">
        <v>1304</v>
      </c>
      <c r="E796" s="2" t="s">
        <v>1294</v>
      </c>
      <c r="F796" s="1">
        <v>2.0</v>
      </c>
      <c r="G796" s="3" t="s">
        <v>20</v>
      </c>
    </row>
    <row r="797">
      <c r="A797" s="3" t="s">
        <v>5142</v>
      </c>
      <c r="B797" s="4" t="str">
        <f>IFERROR(__xludf.DUMMYFUNCTION("GOOGLETRANSLATE(A797, ""en"", ""te"")"),"హల్దీరామ్స్ పానీ పూరీ")</f>
        <v>హల్దీరామ్స్ పానీ పూరీ</v>
      </c>
      <c r="C797" s="4" t="str">
        <f>IFERROR(__xludf.DUMMYFUNCTION("GOOGLETRANSLATE(A797, ""en"", ""hi"")"),"हल्दीराम की पानी पूरी")</f>
        <v>हल्दीराम की पानी पूरी</v>
      </c>
      <c r="D797" s="5"/>
      <c r="E797" s="2" t="s">
        <v>1294</v>
      </c>
      <c r="F797" s="1">
        <v>2.0</v>
      </c>
      <c r="G797" s="3" t="s">
        <v>20</v>
      </c>
    </row>
    <row r="798">
      <c r="A798" s="3" t="s">
        <v>5402</v>
      </c>
      <c r="B798" s="4" t="str">
        <f>IFERROR(__xludf.DUMMYFUNCTION("GOOGLETRANSLATE(A798, ""en"", ""te"")"),"షానా పానీ పూరి")</f>
        <v>షానా పానీ పూరి</v>
      </c>
      <c r="C798" s="4" t="str">
        <f>IFERROR(__xludf.DUMMYFUNCTION("GOOGLETRANSLATE(A798, ""en"", ""hi"")"),"शाना पानी पुरी")</f>
        <v>शाना पानी पुरी</v>
      </c>
      <c r="D798" s="2" t="s">
        <v>1304</v>
      </c>
      <c r="E798" s="2" t="s">
        <v>1294</v>
      </c>
      <c r="F798" s="1">
        <v>2.0</v>
      </c>
      <c r="G798" s="3" t="s">
        <v>20</v>
      </c>
    </row>
    <row r="799">
      <c r="A799" s="3" t="s">
        <v>5403</v>
      </c>
      <c r="B799" s="4" t="str">
        <f>IFERROR(__xludf.DUMMYFUNCTION("GOOGLETRANSLATE(A799, ""en"", ""te"")"),"MDH అచారి గోష్ట్")</f>
        <v>MDH అచారి గోష్ట్</v>
      </c>
      <c r="C799" s="4" t="str">
        <f>IFERROR(__xludf.DUMMYFUNCTION("GOOGLETRANSLATE(A799, ""en"", ""hi"")"),"एमडीएच अचारी गोश्त")</f>
        <v>एमडीएच अचारी गोश्त</v>
      </c>
      <c r="D799" s="2" t="s">
        <v>5404</v>
      </c>
      <c r="E799" s="2" t="s">
        <v>996</v>
      </c>
      <c r="F799" s="1">
        <v>2.0</v>
      </c>
      <c r="G799" s="3" t="s">
        <v>85</v>
      </c>
    </row>
    <row r="800">
      <c r="A800" s="3" t="s">
        <v>5405</v>
      </c>
      <c r="B800" s="4" t="str">
        <f>IFERROR(__xludf.DUMMYFUNCTION("GOOGLETRANSLATE(A800, ""en"", ""te"")"),"CEE ఇన్‌స్టంట్ పులియోధరత్ మిక్స్")</f>
        <v>CEE ఇన్‌స్టంట్ పులియోధరత్ మిక్స్</v>
      </c>
      <c r="C800" s="4" t="str">
        <f>IFERROR(__xludf.DUMMYFUNCTION("GOOGLETRANSLATE(A800, ""en"", ""hi"")"),"सीईई इंस्टेंट पुल्योधारट मिक्स")</f>
        <v>सीईई इंस्टेंट पुल्योधारट मिक्स</v>
      </c>
      <c r="D800" s="5"/>
      <c r="E800" s="2" t="s">
        <v>940</v>
      </c>
      <c r="F800" s="1">
        <v>2.0</v>
      </c>
      <c r="G800" s="3" t="s">
        <v>114</v>
      </c>
    </row>
    <row r="801">
      <c r="A801" s="3" t="s">
        <v>5406</v>
      </c>
      <c r="B801" s="4" t="str">
        <f>IFERROR(__xludf.DUMMYFUNCTION("GOOGLETRANSLATE(A801, ""en"", ""te"")"),"సిఈఈ ఇడ్లీ మిరపకాయ చట్నీ పొడి")</f>
        <v>సిఈఈ ఇడ్లీ మిరపకాయ చట్నీ పొడి</v>
      </c>
      <c r="C801" s="4" t="str">
        <f>IFERROR(__xludf.DUMMYFUNCTION("GOOGLETRANSLATE(A801, ""en"", ""hi"")"),"सीईई इडली मिर्च चटनी पाउडर")</f>
        <v>सीईई इडली मिर्च चटनी पाउडर</v>
      </c>
      <c r="D801" s="5"/>
      <c r="E801" s="2" t="s">
        <v>442</v>
      </c>
      <c r="F801" s="1">
        <v>2.0</v>
      </c>
      <c r="G801" s="3" t="s">
        <v>114</v>
      </c>
    </row>
    <row r="802">
      <c r="A802" s="3" t="s">
        <v>5407</v>
      </c>
      <c r="B802" s="4" t="str">
        <f>IFERROR(__xludf.DUMMYFUNCTION("GOOGLETRANSLATE(A802, ""en"", ""te"")"),"సిఈఈ స్పెషల్ ఎగ్ కర్రీ మసాలా")</f>
        <v>సిఈఈ స్పెషల్ ఎగ్ కర్రీ మసాలా</v>
      </c>
      <c r="C802" s="4" t="str">
        <f>IFERROR(__xludf.DUMMYFUNCTION("GOOGLETRANSLATE(A802, ""en"", ""hi"")"),"सीईई स्पेशल एग करी मसाला")</f>
        <v>सीईई स्पेशल एग करी मसाला</v>
      </c>
      <c r="D802" s="5"/>
      <c r="E802" s="2" t="s">
        <v>442</v>
      </c>
      <c r="F802" s="1">
        <v>2.0</v>
      </c>
      <c r="G802" s="3" t="s">
        <v>114</v>
      </c>
    </row>
    <row r="803">
      <c r="A803" s="3" t="s">
        <v>5408</v>
      </c>
      <c r="B803" s="4" t="str">
        <f>IFERROR(__xludf.DUMMYFUNCTION("GOOGLETRANSLATE(A803, ""en"", ""te"")"),"సిఈఈ మద్రాస్ చికెన్ 65 మసాలా")</f>
        <v>సిఈఈ మద్రాస్ చికెన్ 65 మసాలా</v>
      </c>
      <c r="C803" s="4" t="str">
        <f>IFERROR(__xludf.DUMMYFUNCTION("GOOGLETRANSLATE(A803, ""en"", ""hi"")"),"सीईई मद्रास चिकन 65 मसाला")</f>
        <v>सीईई मद्रास चिकन 65 मसाला</v>
      </c>
      <c r="D803" s="5"/>
      <c r="E803" s="2" t="s">
        <v>442</v>
      </c>
      <c r="F803" s="1">
        <v>2.0</v>
      </c>
      <c r="G803" s="3" t="s">
        <v>114</v>
      </c>
    </row>
    <row r="804">
      <c r="A804" s="3" t="s">
        <v>5409</v>
      </c>
      <c r="B804" s="4" t="str">
        <f>IFERROR(__xludf.DUMMYFUNCTION("GOOGLETRANSLATE(A804, ""en"", ""te"")"),"సిఈఈ బిర్యానీ పులావ్ మసాలా")</f>
        <v>సిఈఈ బిర్యానీ పులావ్ మసాలా</v>
      </c>
      <c r="C804" s="4" t="str">
        <f>IFERROR(__xludf.DUMMYFUNCTION("GOOGLETRANSLATE(A804, ""en"", ""hi"")"),"सीईई बिरयानी पुलाव मसाला")</f>
        <v>सीईई बिरयानी पुलाव मसाला</v>
      </c>
      <c r="D804" s="2" t="s">
        <v>1070</v>
      </c>
      <c r="E804" s="2" t="s">
        <v>442</v>
      </c>
      <c r="F804" s="1">
        <v>2.0</v>
      </c>
      <c r="G804" s="3" t="s">
        <v>114</v>
      </c>
    </row>
    <row r="805">
      <c r="A805" s="3" t="s">
        <v>5410</v>
      </c>
      <c r="B805" s="4" t="str">
        <f>IFERROR(__xludf.DUMMYFUNCTION("GOOGLETRANSLATE(A805, ""en"", ""te"")"),"నేషనల్ మటన్ బిర్యానీ")</f>
        <v>నేషనల్ మటన్ బిర్యానీ</v>
      </c>
      <c r="C805" s="4" t="str">
        <f>IFERROR(__xludf.DUMMYFUNCTION("GOOGLETRANSLATE(A805, ""en"", ""hi"")"),"राष्ट्रीय मटन बिरयानी")</f>
        <v>राष्ट्रीय मटन बिरयानी</v>
      </c>
      <c r="D805" s="2" t="s">
        <v>2660</v>
      </c>
      <c r="E805" s="2" t="s">
        <v>9</v>
      </c>
      <c r="F805" s="1">
        <v>2.0</v>
      </c>
      <c r="G805" s="3" t="s">
        <v>114</v>
      </c>
    </row>
    <row r="806">
      <c r="A806" s="3" t="s">
        <v>5411</v>
      </c>
      <c r="B806" s="4" t="str">
        <f>IFERROR(__xludf.DUMMYFUNCTION("GOOGLETRANSLATE(A806, ""en"", ""te"")"),"నేషనల్ బిర్యానీ")</f>
        <v>నేషనల్ బిర్యానీ</v>
      </c>
      <c r="C806" s="4" t="str">
        <f>IFERROR(__xludf.DUMMYFUNCTION("GOOGLETRANSLATE(A806, ""en"", ""hi"")"),"राष्ट्रीय बिरयानी")</f>
        <v>राष्ट्रीय बिरयानी</v>
      </c>
      <c r="D806" s="2" t="s">
        <v>4118</v>
      </c>
      <c r="E806" s="2" t="s">
        <v>9</v>
      </c>
      <c r="F806" s="1">
        <v>2.0</v>
      </c>
      <c r="G806" s="3" t="s">
        <v>114</v>
      </c>
    </row>
    <row r="807">
      <c r="A807" s="3" t="s">
        <v>1277</v>
      </c>
      <c r="B807" s="4" t="str">
        <f>IFERROR(__xludf.DUMMYFUNCTION("GOOGLETRANSLATE(A807, ""en"", ""te"")"),"స్వాద్ అనార్దన పొడి")</f>
        <v>స్వాద్ అనార్దన పొడి</v>
      </c>
      <c r="C807" s="4" t="str">
        <f>IFERROR(__xludf.DUMMYFUNCTION("GOOGLETRANSLATE(A807, ""en"", ""hi"")"),"स्वाद अनारदाना पाउडर")</f>
        <v>स्वाद अनारदाना पाउडर</v>
      </c>
      <c r="D807" s="5"/>
      <c r="E807" s="2" t="s">
        <v>442</v>
      </c>
      <c r="F807" s="1">
        <v>2.0</v>
      </c>
      <c r="G807" s="3" t="s">
        <v>114</v>
      </c>
    </row>
    <row r="808">
      <c r="A808" s="3" t="s">
        <v>5412</v>
      </c>
      <c r="B808" s="4" t="str">
        <f>IFERROR(__xludf.DUMMYFUNCTION("GOOGLETRANSLATE(A808, ""en"", ""te"")"),"స్వాద్ తెల్ల మిరియాల పొడి")</f>
        <v>స్వాద్ తెల్ల మిరియాల పొడి</v>
      </c>
      <c r="C808" s="4" t="str">
        <f>IFERROR(__xludf.DUMMYFUNCTION("GOOGLETRANSLATE(A808, ""en"", ""hi"")"),"स्वाद सफेद काली मिर्च पाउडर")</f>
        <v>स्वाद सफेद काली मिर्च पाउडर</v>
      </c>
      <c r="D808" s="5"/>
      <c r="E808" s="2" t="s">
        <v>442</v>
      </c>
      <c r="F808" s="1">
        <v>2.0</v>
      </c>
      <c r="G808" s="3" t="s">
        <v>10</v>
      </c>
    </row>
    <row r="809">
      <c r="A809" s="3" t="s">
        <v>5413</v>
      </c>
      <c r="B809" s="4" t="str">
        <f>IFERROR(__xludf.DUMMYFUNCTION("GOOGLETRANSLATE(A809, ""en"", ""te"")"),"ఆరా తెల్ల మిరియాల పొడి 3.5oz")</f>
        <v>ఆరా తెల్ల మిరియాల పొడి 3.5oz</v>
      </c>
      <c r="C809" s="4" t="str">
        <f>IFERROR(__xludf.DUMMYFUNCTION("GOOGLETRANSLATE(A809, ""en"", ""hi"")"),"आरा सफेद काली मिर्च पाउडर 3.5 औंस")</f>
        <v>आरा सफेद काली मिर्च पाउडर 3.5 औंस</v>
      </c>
      <c r="D809" s="5"/>
      <c r="E809" s="2" t="s">
        <v>442</v>
      </c>
      <c r="F809" s="1">
        <v>2.0</v>
      </c>
      <c r="G809" s="3" t="s">
        <v>10</v>
      </c>
    </row>
    <row r="810">
      <c r="A810" s="3" t="s">
        <v>5414</v>
      </c>
      <c r="B810" s="4" t="str">
        <f>IFERROR(__xludf.DUMMYFUNCTION("GOOGLETRANSLATE(A810, ""en"", ""te"")"),"లక్ష్మి వాము గింజలు 14oz")</f>
        <v>లక్ష్మి వాము గింజలు 14oz</v>
      </c>
      <c r="C810" s="4" t="str">
        <f>IFERROR(__xludf.DUMMYFUNCTION("GOOGLETRANSLATE(A810, ""en"", ""hi"")"),"लक्ष्मी अजवाइन के बीज 14 औंस")</f>
        <v>लक्ष्मी अजवाइन के बीज 14 औंस</v>
      </c>
      <c r="D810" s="2" t="s">
        <v>1249</v>
      </c>
      <c r="E810" s="2" t="s">
        <v>442</v>
      </c>
      <c r="F810" s="1">
        <v>2.0</v>
      </c>
      <c r="G810" s="3" t="s">
        <v>10</v>
      </c>
    </row>
    <row r="811">
      <c r="A811" s="3" t="s">
        <v>5415</v>
      </c>
      <c r="B811" s="4" t="str">
        <f>IFERROR(__xludf.DUMMYFUNCTION("GOOGLETRANSLATE(A811, ""en"", ""te"")"),"స్వాద్ అనార్దన పొడి (సంచి)")</f>
        <v>స్వాద్ అనార్దన పొడి (సంచి)</v>
      </c>
      <c r="C811" s="4" t="str">
        <f>IFERROR(__xludf.DUMMYFUNCTION("GOOGLETRANSLATE(A811, ""en"", ""hi"")"),"स्वाद अनारदाना पाउडर (बैग)")</f>
        <v>स्वाद अनारदाना पाउडर (बैग)</v>
      </c>
      <c r="D811" s="5"/>
      <c r="E811" s="2" t="s">
        <v>442</v>
      </c>
      <c r="F811" s="1">
        <v>2.0</v>
      </c>
      <c r="G811" s="3" t="s">
        <v>10</v>
      </c>
    </row>
    <row r="812">
      <c r="A812" s="3" t="s">
        <v>5416</v>
      </c>
      <c r="B812" s="4" t="str">
        <f>IFERROR(__xludf.DUMMYFUNCTION("GOOGLETRANSLATE(A812, ""en"", ""te"")"),"షానా చాట్ పూరి")</f>
        <v>షానా చాట్ పూరి</v>
      </c>
      <c r="C812" s="4" t="str">
        <f>IFERROR(__xludf.DUMMYFUNCTION("GOOGLETRANSLATE(A812, ""en"", ""hi"")"),"शाना चाट पूरी")</f>
        <v>शाना चाट पूरी</v>
      </c>
      <c r="D812" s="2" t="s">
        <v>5417</v>
      </c>
      <c r="E812" s="2" t="s">
        <v>1294</v>
      </c>
      <c r="F812" s="1">
        <v>2.0</v>
      </c>
      <c r="G812" s="3" t="s">
        <v>20</v>
      </c>
    </row>
    <row r="813">
      <c r="A813" s="3" t="s">
        <v>5418</v>
      </c>
      <c r="B813" s="4" t="str">
        <f>IFERROR(__xludf.DUMMYFUNCTION("GOOGLETRANSLATE(A813, ""en"", ""te"")"),"మీకు ఇష్టమైన చాట్ పూరీ ఏది?")</f>
        <v>మీకు ఇష్టమైన చాట్ పూరీ ఏది?</v>
      </c>
      <c r="C813" s="4" t="str">
        <f>IFERROR(__xludf.DUMMYFUNCTION("GOOGLETRANSLATE(A813, ""en"", ""hi"")"),"आपकी पसंदीदा चाट पूरी कौन सी है?")</f>
        <v>आपकी पसंदीदा चाट पूरी कौन सी है?</v>
      </c>
      <c r="D813" s="2" t="s">
        <v>5419</v>
      </c>
      <c r="E813" s="2" t="s">
        <v>1294</v>
      </c>
      <c r="F813" s="1">
        <v>2.0</v>
      </c>
      <c r="G813" s="3" t="s">
        <v>20</v>
      </c>
    </row>
    <row r="814">
      <c r="A814" s="3" t="s">
        <v>5420</v>
      </c>
      <c r="B814" s="4" t="str">
        <f>IFERROR(__xludf.DUMMYFUNCTION("GOOGLETRANSLATE(A814, ""en"", ""te"")"),"చింగ్ యొక్క రహస్య పచ్చి మిరపకాయ సాస్")</f>
        <v>చింగ్ యొక్క రహస్య పచ్చి మిరపకాయ సాస్</v>
      </c>
      <c r="C814" s="4" t="str">
        <f>IFERROR(__xludf.DUMMYFUNCTION("GOOGLETRANSLATE(A814, ""en"", ""hi"")"),"चिंग की गुप्त हरी मिर्च की चटनी")</f>
        <v>चिंग की गुप्त हरी मिर्च की चटनी</v>
      </c>
      <c r="D814" s="5"/>
      <c r="E814" s="2" t="s">
        <v>946</v>
      </c>
      <c r="F814" s="1">
        <v>2.0</v>
      </c>
      <c r="G814" s="3" t="s">
        <v>5421</v>
      </c>
    </row>
    <row r="815">
      <c r="A815" s="3" t="s">
        <v>5422</v>
      </c>
      <c r="B815" s="4" t="str">
        <f>IFERROR(__xludf.DUMMYFUNCTION("GOOGLETRANSLATE(A815, ""en"", ""te"")"),"చింగ్ యొక్క రహస్య ముదురు సోయా సాస్")</f>
        <v>చింగ్ యొక్క రహస్య ముదురు సోయా సాస్</v>
      </c>
      <c r="C815" s="4" t="str">
        <f>IFERROR(__xludf.DUMMYFUNCTION("GOOGLETRANSLATE(A815, ""en"", ""hi"")"),"चिंग का सीक्रेट डार्क सोया सॉस")</f>
        <v>चिंग का सीक्रेट डार्क सोया सॉस</v>
      </c>
      <c r="D815" s="2" t="s">
        <v>5423</v>
      </c>
      <c r="E815" s="2" t="s">
        <v>946</v>
      </c>
      <c r="F815" s="1">
        <v>2.0</v>
      </c>
      <c r="G815" s="3" t="s">
        <v>5421</v>
      </c>
    </row>
    <row r="816">
      <c r="A816" s="3" t="s">
        <v>5424</v>
      </c>
      <c r="B816" s="4" t="str">
        <f>IFERROR(__xludf.DUMMYFUNCTION("GOOGLETRANSLATE(A816, ""en"", ""te"")"),"స్వాద్ చింతపండు కాన్సంట్రేట్")</f>
        <v>స్వాద్ చింతపండు కాన్సంట్రేట్</v>
      </c>
      <c r="C816" s="4" t="str">
        <f>IFERROR(__xludf.DUMMYFUNCTION("GOOGLETRANSLATE(A816, ""en"", ""hi"")"),"स्वाद इमली का सांद्रण")</f>
        <v>स्वाद इमली का सांद्रण</v>
      </c>
      <c r="D816" s="5"/>
      <c r="E816" s="2" t="s">
        <v>946</v>
      </c>
      <c r="F816" s="1">
        <v>2.0</v>
      </c>
      <c r="G816" s="3" t="s">
        <v>5425</v>
      </c>
    </row>
    <row r="817">
      <c r="A817" s="3" t="s">
        <v>5426</v>
      </c>
      <c r="B817" s="4" t="str">
        <f>IFERROR(__xludf.DUMMYFUNCTION("GOOGLETRANSLATE(A817, ""en"", ""te"")"),"టమికాన్ చింతపండు కాన్సంట్రేట్")</f>
        <v>టమికాన్ చింతపండు కాన్సంట్రేట్</v>
      </c>
      <c r="C817" s="4" t="str">
        <f>IFERROR(__xludf.DUMMYFUNCTION("GOOGLETRANSLATE(A817, ""en"", ""hi"")"),"टैमिकॉन इमली सांद्रण")</f>
        <v>टैमिकॉन इमली सांद्रण</v>
      </c>
      <c r="D817" s="5"/>
      <c r="E817" s="2" t="s">
        <v>946</v>
      </c>
      <c r="F817" s="1">
        <v>2.0</v>
      </c>
      <c r="G817" s="3" t="s">
        <v>5425</v>
      </c>
    </row>
    <row r="818">
      <c r="A818" s="3" t="s">
        <v>5427</v>
      </c>
      <c r="B818" s="4" t="str">
        <f>IFERROR(__xludf.DUMMYFUNCTION("GOOGLETRANSLATE(A818, ""en"", ""te"")"),"స్వాద్ సీడ్‌లెస్ చింతపండు")</f>
        <v>స్వాద్ సీడ్‌లెస్ చింతపండు</v>
      </c>
      <c r="C818" s="4" t="str">
        <f>IFERROR(__xludf.DUMMYFUNCTION("GOOGLETRANSLATE(A818, ""en"", ""hi"")"),"स्वाद बीज रहित इमली")</f>
        <v>स्वाद बीज रहित इमली</v>
      </c>
      <c r="D818" s="5"/>
      <c r="E818" s="2" t="s">
        <v>442</v>
      </c>
      <c r="F818" s="1">
        <v>2.0</v>
      </c>
      <c r="G818" s="3" t="s">
        <v>5428</v>
      </c>
    </row>
    <row r="819">
      <c r="A819" s="3" t="s">
        <v>5429</v>
      </c>
      <c r="B819" s="4" t="str">
        <f>IFERROR(__xludf.DUMMYFUNCTION("GOOGLETRANSLATE(A819, ""en"", ""te"")"),"ఏరోప్లేన్ విత్తనాలు లేని చింతపండు")</f>
        <v>ఏరోప్లేన్ విత్తనాలు లేని చింతపండు</v>
      </c>
      <c r="C819" s="4" t="str">
        <f>IFERROR(__xludf.DUMMYFUNCTION("GOOGLETRANSLATE(A819, ""en"", ""hi"")"),"एरोप्लेन सीडलेस इमली")</f>
        <v>एरोप्लेन सीडलेस इमली</v>
      </c>
      <c r="D819" s="5"/>
      <c r="E819" s="2" t="s">
        <v>442</v>
      </c>
      <c r="F819" s="1">
        <v>2.0</v>
      </c>
      <c r="G819" s="3" t="s">
        <v>5428</v>
      </c>
    </row>
    <row r="820">
      <c r="A820" s="3" t="s">
        <v>5430</v>
      </c>
      <c r="B820" s="4" t="str">
        <f>IFERROR(__xludf.DUMMYFUNCTION("GOOGLETRANSLATE(A820, ""en"", ""te"")"),"నంధారి తీపి చింతపండు")</f>
        <v>నంధారి తీపి చింతపండు</v>
      </c>
      <c r="C820" s="4" t="str">
        <f>IFERROR(__xludf.DUMMYFUNCTION("GOOGLETRANSLATE(A820, ""en"", ""hi"")"),"नंदारी की मीठी इमली")</f>
        <v>नंदारी की मीठी इमली</v>
      </c>
      <c r="D820" s="5"/>
      <c r="E820" s="2" t="s">
        <v>442</v>
      </c>
      <c r="F820" s="1">
        <v>2.0</v>
      </c>
      <c r="G820" s="3" t="s">
        <v>5428</v>
      </c>
    </row>
    <row r="821">
      <c r="A821" s="3" t="s">
        <v>5431</v>
      </c>
      <c r="B821" s="4" t="str">
        <f>IFERROR(__xludf.DUMMYFUNCTION("GOOGLETRANSLATE(A821, ""en"", ""te"")"),"చింగ్ యొక్క రహస్య మంచో సూప్")</f>
        <v>చింగ్ యొక్క రహస్య మంచో సూప్</v>
      </c>
      <c r="C821" s="4" t="str">
        <f>IFERROR(__xludf.DUMMYFUNCTION("GOOGLETRANSLATE(A821, ""en"", ""hi"")"),"चिंग का गुप्त मंचो सूप")</f>
        <v>चिंग का गुप्त मंचो सूप</v>
      </c>
      <c r="D821" s="5"/>
      <c r="E821" s="2" t="s">
        <v>946</v>
      </c>
      <c r="F821" s="1">
        <v>2.0</v>
      </c>
      <c r="G821" s="3" t="s">
        <v>5432</v>
      </c>
    </row>
    <row r="822">
      <c r="A822" s="3" t="s">
        <v>5433</v>
      </c>
      <c r="B822" s="4" t="str">
        <f>IFERROR(__xludf.DUMMYFUNCTION("GOOGLETRANSLATE(A822, ""en"", ""te"")"),"చింగ్ యొక్క రహస్య హాట్ &amp; సోర్ సూప్")</f>
        <v>చింగ్ యొక్క రహస్య హాట్ &amp; సోర్ సూప్</v>
      </c>
      <c r="C822" s="4" t="str">
        <f>IFERROR(__xludf.DUMMYFUNCTION("GOOGLETRANSLATE(A822, ""en"", ""hi"")"),"चिंग का गुप्त हॉट एंड सॉर सूप")</f>
        <v>चिंग का गुप्त हॉट एंड सॉर सूप</v>
      </c>
      <c r="D822" s="5"/>
      <c r="E822" s="2" t="s">
        <v>940</v>
      </c>
      <c r="F822" s="1">
        <v>2.0</v>
      </c>
      <c r="G822" s="3" t="s">
        <v>5432</v>
      </c>
    </row>
    <row r="823">
      <c r="A823" s="3" t="s">
        <v>5435</v>
      </c>
      <c r="B823" s="4" t="str">
        <f>IFERROR(__xludf.DUMMYFUNCTION("GOOGLETRANSLATE(A823, ""en"", ""te"")"),"చింగ్ యొక్క రహస్య మిశ్రమ కూరగాయల సూప్")</f>
        <v>చింగ్ యొక్క రహస్య మిశ్రమ కూరగాయల సూప్</v>
      </c>
      <c r="C823" s="4" t="str">
        <f>IFERROR(__xludf.DUMMYFUNCTION("GOOGLETRANSLATE(A823, ""en"", ""hi"")"),"चिंग का सीक्रेट मिक्स वेज सूप")</f>
        <v>चिंग का सीक्रेट मिक्स वेज सूप</v>
      </c>
      <c r="D823" s="5"/>
      <c r="E823" s="2" t="s">
        <v>940</v>
      </c>
      <c r="F823" s="1">
        <v>2.0</v>
      </c>
      <c r="G823" s="3" t="s">
        <v>5432</v>
      </c>
    </row>
    <row r="824">
      <c r="A824" s="3" t="s">
        <v>5437</v>
      </c>
      <c r="B824" s="4" t="str">
        <f>IFERROR(__xludf.DUMMYFUNCTION("GOOGLETRANSLATE(A824, ""en"", ""te"")"),"నార్ మిక్స్డ్ వెజిటబుల్ సూప్")</f>
        <v>నార్ మిక్స్డ్ వెజిటబుల్ సూప్</v>
      </c>
      <c r="C824" s="4" t="str">
        <f>IFERROR(__xludf.DUMMYFUNCTION("GOOGLETRANSLATE(A824, ""en"", ""hi"")"),"नॉर मिक्स्ड वेजिटेबल सूप")</f>
        <v>नॉर मिक्स्ड वेजिटेबल सूप</v>
      </c>
      <c r="D824" s="5"/>
      <c r="E824" s="2" t="s">
        <v>940</v>
      </c>
      <c r="F824" s="1">
        <v>2.0</v>
      </c>
      <c r="G824" s="3" t="s">
        <v>5432</v>
      </c>
    </row>
    <row r="825">
      <c r="A825" s="3" t="s">
        <v>5441</v>
      </c>
      <c r="B825" s="4" t="str">
        <f>IFERROR(__xludf.DUMMYFUNCTION("GOOGLETRANSLATE(A825, ""en"", ""te"")"),"నార్ హాట్ &amp; సోర్ వెజిటబుల్ సూప్")</f>
        <v>నార్ హాట్ &amp; సోర్ వెజిటబుల్ సూప్</v>
      </c>
      <c r="C825" s="4" t="str">
        <f>IFERROR(__xludf.DUMMYFUNCTION("GOOGLETRANSLATE(A825, ""en"", ""hi"")"),"नॉर हॉट एंड सॉर वेजिटेबल सूप")</f>
        <v>नॉर हॉट एंड सॉर वेजिटेबल सूप</v>
      </c>
      <c r="D825" s="5"/>
      <c r="E825" s="2" t="s">
        <v>940</v>
      </c>
      <c r="F825" s="1">
        <v>2.0</v>
      </c>
      <c r="G825" s="3" t="s">
        <v>5445</v>
      </c>
    </row>
    <row r="826">
      <c r="A826" s="3" t="s">
        <v>5437</v>
      </c>
      <c r="B826" s="4" t="str">
        <f>IFERROR(__xludf.DUMMYFUNCTION("GOOGLETRANSLATE(A826, ""en"", ""te"")"),"నార్ మిక్స్డ్ వెజిటబుల్ సూప్")</f>
        <v>నార్ మిక్స్డ్ వెజిటబుల్ సూప్</v>
      </c>
      <c r="C826" s="4" t="str">
        <f>IFERROR(__xludf.DUMMYFUNCTION("GOOGLETRANSLATE(A826, ""en"", ""hi"")"),"नॉर मिक्स्ड वेजिटेबल सूप")</f>
        <v>नॉर मिक्स्ड वेजिटेबल सूप</v>
      </c>
      <c r="D826" s="5"/>
      <c r="E826" s="2" t="s">
        <v>940</v>
      </c>
      <c r="F826" s="1">
        <v>2.0</v>
      </c>
      <c r="G826" s="3" t="s">
        <v>5445</v>
      </c>
    </row>
    <row r="827">
      <c r="A827" s="3" t="s">
        <v>5449</v>
      </c>
      <c r="B827" s="4" t="str">
        <f>IFERROR(__xludf.DUMMYFUNCTION("GOOGLETRANSLATE(A827, ""en"", ""te"")"),"చింగ్ యొక్క రహస్య పచ్చి మిరపకాయ సాస్")</f>
        <v>చింగ్ యొక్క రహస్య పచ్చి మిరపకాయ సాస్</v>
      </c>
      <c r="C827" s="4" t="str">
        <f>IFERROR(__xludf.DUMMYFUNCTION("GOOGLETRANSLATE(A827, ""en"", ""hi"")"),"चिंग की गुप्त हरी मिर्च की चटनी")</f>
        <v>चिंग की गुप्त हरी मिर्च की चटनी</v>
      </c>
      <c r="D827" s="5"/>
      <c r="E827" s="2" t="s">
        <v>946</v>
      </c>
      <c r="F827" s="1">
        <v>2.0</v>
      </c>
      <c r="G827" s="3" t="s">
        <v>5421</v>
      </c>
    </row>
    <row r="828">
      <c r="A828" s="3" t="s">
        <v>5455</v>
      </c>
      <c r="B828" s="4" t="str">
        <f>IFERROR(__xludf.DUMMYFUNCTION("GOOGLETRANSLATE(A828, ""en"", ""te"")"),"తడి చింతపండు")</f>
        <v>తడి చింతపండు</v>
      </c>
      <c r="C828" s="4" t="str">
        <f>IFERROR(__xludf.DUMMYFUNCTION("GOOGLETRANSLATE(A828, ""en"", ""hi"")"),"गीली इमली")</f>
        <v>गीली इमली</v>
      </c>
      <c r="D828" s="5"/>
      <c r="E828" s="2" t="s">
        <v>996</v>
      </c>
      <c r="F828" s="1">
        <v>2.0</v>
      </c>
      <c r="G828" s="3" t="s">
        <v>5428</v>
      </c>
    </row>
    <row r="829">
      <c r="A829" s="3" t="s">
        <v>5458</v>
      </c>
      <c r="B829" s="4" t="str">
        <f>IFERROR(__xludf.DUMMYFUNCTION("GOOGLETRANSLATE(A829, ""en"", ""te"")"),"చింగ్ యొక్క రహస్య టమోటా సూప్")</f>
        <v>చింగ్ యొక్క రహస్య టమోటా సూప్</v>
      </c>
      <c r="C829" s="4" t="str">
        <f>IFERROR(__xludf.DUMMYFUNCTION("GOOGLETRANSLATE(A829, ""en"", ""hi"")"),"चिंग का गुप्त टमाटर का सूप")</f>
        <v>चिंग का गुप्त टमाटर का सूप</v>
      </c>
      <c r="D829" s="5"/>
      <c r="E829" s="2" t="s">
        <v>946</v>
      </c>
      <c r="F829" s="1">
        <v>2.0</v>
      </c>
      <c r="G829" s="3" t="s">
        <v>5432</v>
      </c>
    </row>
    <row r="830">
      <c r="A830" s="3" t="s">
        <v>5463</v>
      </c>
      <c r="B830" s="4" t="str">
        <f>IFERROR(__xludf.DUMMYFUNCTION("GOOGLETRANSLATE(A830, ""en"", ""te"")"),"నార్ సూప్")</f>
        <v>నార్ సూప్</v>
      </c>
      <c r="C830" s="4" t="str">
        <f>IFERROR(__xludf.DUMMYFUNCTION("GOOGLETRANSLATE(A830, ""en"", ""hi"")"),"नॉर सूप")</f>
        <v>नॉर सूप</v>
      </c>
      <c r="D830" s="5"/>
      <c r="E830" s="2" t="s">
        <v>946</v>
      </c>
      <c r="F830" s="1">
        <v>2.0</v>
      </c>
      <c r="G830" s="3" t="s">
        <v>5432</v>
      </c>
    </row>
    <row r="831">
      <c r="A831" s="3" t="s">
        <v>5463</v>
      </c>
      <c r="B831" s="4" t="str">
        <f>IFERROR(__xludf.DUMMYFUNCTION("GOOGLETRANSLATE(A831, ""en"", ""te"")"),"నార్ సూప్")</f>
        <v>నార్ సూప్</v>
      </c>
      <c r="C831" s="4" t="str">
        <f>IFERROR(__xludf.DUMMYFUNCTION("GOOGLETRANSLATE(A831, ""en"", ""hi"")"),"नॉर सूप")</f>
        <v>नॉर सूप</v>
      </c>
      <c r="D831" s="5"/>
      <c r="E831" s="2" t="s">
        <v>946</v>
      </c>
      <c r="F831" s="1">
        <v>2.0</v>
      </c>
      <c r="G831" s="3" t="s">
        <v>5445</v>
      </c>
    </row>
    <row r="832">
      <c r="A832" s="3" t="s">
        <v>5469</v>
      </c>
      <c r="B832" s="4" t="str">
        <f>IFERROR(__xludf.DUMMYFUNCTION("GOOGLETRANSLATE(A832, ""en"", ""te"")"),"MTR పోహా ఎక్స్‌ప్రెస్")</f>
        <v>MTR పోహా ఎక్స్‌ప్రెస్</v>
      </c>
      <c r="C832" s="4" t="str">
        <f>IFERROR(__xludf.DUMMYFUNCTION("GOOGLETRANSLATE(A832, ""en"", ""hi"")"),"एमटीआर पोहा एक्सप्रेस")</f>
        <v>एमटीआर पोहा एक्सप्रेस</v>
      </c>
      <c r="D832" s="5"/>
      <c r="E832" s="2" t="s">
        <v>940</v>
      </c>
      <c r="F832" s="1">
        <v>2.0</v>
      </c>
      <c r="G832" s="3" t="s">
        <v>71</v>
      </c>
    </row>
    <row r="833">
      <c r="A833" s="3" t="s">
        <v>5474</v>
      </c>
      <c r="B833" s="4" t="str">
        <f>IFERROR(__xludf.DUMMYFUNCTION("GOOGLETRANSLATE(A833, ""en"", ""te"")"),"MTR ఉప్మా ఎక్స్‌ప్రెస్")</f>
        <v>MTR ఉప్మా ఎక్స్‌ప్రెస్</v>
      </c>
      <c r="C833" s="4" t="str">
        <f>IFERROR(__xludf.DUMMYFUNCTION("GOOGLETRANSLATE(A833, ""en"", ""hi"")"),"एमटीआर उपमा एक्सप्रेस")</f>
        <v>एमटीआर उपमा एक्सप्रेस</v>
      </c>
      <c r="D833" s="5"/>
      <c r="E833" s="2" t="s">
        <v>940</v>
      </c>
      <c r="F833" s="1">
        <v>2.0</v>
      </c>
      <c r="G833" s="3" t="s">
        <v>71</v>
      </c>
    </row>
    <row r="834">
      <c r="A834" s="3" t="s">
        <v>5479</v>
      </c>
      <c r="B834" s="4" t="str">
        <f>IFERROR(__xludf.DUMMYFUNCTION("GOOGLETRANSLATE(A834, ""en"", ""te"")"),"MTR దాల్ చావల్ ఎక్స్‌ప్రెస్")</f>
        <v>MTR దాల్ చావల్ ఎక్స్‌ప్రెస్</v>
      </c>
      <c r="C834" s="4" t="str">
        <f>IFERROR(__xludf.DUMMYFUNCTION("GOOGLETRANSLATE(A834, ""en"", ""hi"")"),"एमटीआर दाल चावल एक्सप्रेस")</f>
        <v>एमटीआर दाल चावल एक्सप्रेस</v>
      </c>
      <c r="D834" s="2" t="s">
        <v>5483</v>
      </c>
      <c r="E834" s="2" t="s">
        <v>940</v>
      </c>
      <c r="F834" s="1">
        <v>2.0</v>
      </c>
      <c r="G834" s="3" t="s">
        <v>71</v>
      </c>
    </row>
    <row r="835">
      <c r="A835" s="3" t="s">
        <v>5449</v>
      </c>
      <c r="B835" s="4" t="str">
        <f>IFERROR(__xludf.DUMMYFUNCTION("GOOGLETRANSLATE(A835, ""en"", ""te"")"),"చింగ్ యొక్క రహస్య పచ్చి మిరపకాయ సాస్")</f>
        <v>చింగ్ యొక్క రహస్య పచ్చి మిరపకాయ సాస్</v>
      </c>
      <c r="C835" s="4" t="str">
        <f>IFERROR(__xludf.DUMMYFUNCTION("GOOGLETRANSLATE(A835, ""en"", ""hi"")"),"चिंग की गुप्त हरी मिर्च की चटनी")</f>
        <v>चिंग की गुप्त हरी मिर्च की चटनी</v>
      </c>
      <c r="D835" s="5"/>
      <c r="E835" s="2" t="s">
        <v>946</v>
      </c>
      <c r="F835" s="1">
        <v>2.0</v>
      </c>
      <c r="G835" s="3" t="s">
        <v>71</v>
      </c>
    </row>
    <row r="836">
      <c r="A836" s="3" t="s">
        <v>5488</v>
      </c>
      <c r="B836" s="4" t="str">
        <f>IFERROR(__xludf.DUMMYFUNCTION("GOOGLETRANSLATE(A836, ""en"", ""te"")"),"చింగ్ యొక్క రహస్య మిరప సాస్")</f>
        <v>చింగ్ యొక్క రహస్య మిరప సాస్</v>
      </c>
      <c r="C836" s="4" t="str">
        <f>IFERROR(__xludf.DUMMYFUNCTION("GOOGLETRANSLATE(A836, ""en"", ""hi"")"),"चिंग की सीक्रेट चिली सॉस")</f>
        <v>चिंग की सीक्रेट चिली सॉस</v>
      </c>
      <c r="D836" s="2" t="s">
        <v>1636</v>
      </c>
      <c r="E836" s="2" t="s">
        <v>946</v>
      </c>
      <c r="F836" s="1">
        <v>2.0</v>
      </c>
      <c r="G836" s="3" t="s">
        <v>71</v>
      </c>
    </row>
    <row r="837">
      <c r="A837" s="3" t="s">
        <v>5422</v>
      </c>
      <c r="B837" s="4" t="str">
        <f>IFERROR(__xludf.DUMMYFUNCTION("GOOGLETRANSLATE(A837, ""en"", ""te"")"),"చింగ్ యొక్క రహస్య ముదురు సోయా సాస్")</f>
        <v>చింగ్ యొక్క రహస్య ముదురు సోయా సాస్</v>
      </c>
      <c r="C837" s="4" t="str">
        <f>IFERROR(__xludf.DUMMYFUNCTION("GOOGLETRANSLATE(A837, ""en"", ""hi"")"),"चिंग का सीक्रेट डार्क सोया सॉस")</f>
        <v>चिंग का सीक्रेट डार्क सोया सॉस</v>
      </c>
      <c r="D837" s="2" t="s">
        <v>5423</v>
      </c>
      <c r="E837" s="2" t="s">
        <v>946</v>
      </c>
      <c r="F837" s="1">
        <v>2.0</v>
      </c>
      <c r="G837" s="3" t="s">
        <v>71</v>
      </c>
    </row>
    <row r="838">
      <c r="A838" s="3" t="s">
        <v>5449</v>
      </c>
      <c r="B838" s="4" t="str">
        <f>IFERROR(__xludf.DUMMYFUNCTION("GOOGLETRANSLATE(A838, ""en"", ""te"")"),"చింగ్ యొక్క రహస్య పచ్చి మిరపకాయ సాస్")</f>
        <v>చింగ్ యొక్క రహస్య పచ్చి మిరపకాయ సాస్</v>
      </c>
      <c r="C838" s="4" t="str">
        <f>IFERROR(__xludf.DUMMYFUNCTION("GOOGLETRANSLATE(A838, ""en"", ""hi"")"),"चिंग की गुप्त हरी मिर्च की चटनी")</f>
        <v>चिंग की गुप्त हरी मिर्च की चटनी</v>
      </c>
      <c r="D838" s="5"/>
      <c r="E838" s="2" t="s">
        <v>946</v>
      </c>
      <c r="F838" s="1">
        <v>2.0</v>
      </c>
      <c r="G838" s="3" t="s">
        <v>76</v>
      </c>
    </row>
    <row r="839">
      <c r="A839" s="3" t="s">
        <v>5488</v>
      </c>
      <c r="B839" s="4" t="str">
        <f>IFERROR(__xludf.DUMMYFUNCTION("GOOGLETRANSLATE(A839, ""en"", ""te"")"),"చింగ్ యొక్క రహస్య మిరప సాస్")</f>
        <v>చింగ్ యొక్క రహస్య మిరప సాస్</v>
      </c>
      <c r="C839" s="4" t="str">
        <f>IFERROR(__xludf.DUMMYFUNCTION("GOOGLETRANSLATE(A839, ""en"", ""hi"")"),"चिंग की सीक्रेट चिली सॉस")</f>
        <v>चिंग की सीक्रेट चिली सॉस</v>
      </c>
      <c r="D839" s="2" t="s">
        <v>1636</v>
      </c>
      <c r="E839" s="2" t="s">
        <v>946</v>
      </c>
      <c r="F839" s="1">
        <v>2.0</v>
      </c>
      <c r="G839" s="3" t="s">
        <v>76</v>
      </c>
    </row>
    <row r="840">
      <c r="A840" s="3" t="s">
        <v>5422</v>
      </c>
      <c r="B840" s="4" t="str">
        <f>IFERROR(__xludf.DUMMYFUNCTION("GOOGLETRANSLATE(A840, ""en"", ""te"")"),"చింగ్ యొక్క రహస్య ముదురు సోయా సాస్")</f>
        <v>చింగ్ యొక్క రహస్య ముదురు సోయా సాస్</v>
      </c>
      <c r="C840" s="4" t="str">
        <f>IFERROR(__xludf.DUMMYFUNCTION("GOOGLETRANSLATE(A840, ""en"", ""hi"")"),"चिंग का सीक्रेट डार्क सोया सॉस")</f>
        <v>चिंग का सीक्रेट डार्क सोया सॉस</v>
      </c>
      <c r="D840" s="2" t="s">
        <v>5423</v>
      </c>
      <c r="E840" s="2" t="s">
        <v>946</v>
      </c>
      <c r="F840" s="1">
        <v>2.0</v>
      </c>
      <c r="G840" s="3" t="s">
        <v>76</v>
      </c>
    </row>
    <row r="841">
      <c r="A841" s="3" t="s">
        <v>5424</v>
      </c>
      <c r="B841" s="4" t="str">
        <f>IFERROR(__xludf.DUMMYFUNCTION("GOOGLETRANSLATE(A841, ""en"", ""te"")"),"స్వాద్ చింతపండు కాన్సంట్రేట్")</f>
        <v>స్వాద్ చింతపండు కాన్సంట్రేట్</v>
      </c>
      <c r="C841" s="4" t="str">
        <f>IFERROR(__xludf.DUMMYFUNCTION("GOOGLETRANSLATE(A841, ""en"", ""hi"")"),"स्वाद इमली का सांद्रण")</f>
        <v>स्वाद इमली का सांद्रण</v>
      </c>
      <c r="D841" s="5"/>
      <c r="E841" s="2" t="s">
        <v>946</v>
      </c>
      <c r="F841" s="1">
        <v>2.0</v>
      </c>
      <c r="G841" s="3" t="s">
        <v>76</v>
      </c>
    </row>
    <row r="842">
      <c r="A842" s="3" t="s">
        <v>5427</v>
      </c>
      <c r="B842" s="4" t="str">
        <f>IFERROR(__xludf.DUMMYFUNCTION("GOOGLETRANSLATE(A842, ""en"", ""te"")"),"స్వాద్ సీడ్‌లెస్ చింతపండు")</f>
        <v>స్వాద్ సీడ్‌లెస్ చింతపండు</v>
      </c>
      <c r="C842" s="4" t="str">
        <f>IFERROR(__xludf.DUMMYFUNCTION("GOOGLETRANSLATE(A842, ""en"", ""hi"")"),"स्वाद बीज रहित इमली")</f>
        <v>स्वाद बीज रहित इमली</v>
      </c>
      <c r="D842" s="5"/>
      <c r="E842" s="2" t="s">
        <v>442</v>
      </c>
      <c r="F842" s="1">
        <v>2.0</v>
      </c>
      <c r="G842" s="3" t="s">
        <v>85</v>
      </c>
    </row>
    <row r="843">
      <c r="A843" s="3" t="s">
        <v>5431</v>
      </c>
      <c r="B843" s="4" t="str">
        <f>IFERROR(__xludf.DUMMYFUNCTION("GOOGLETRANSLATE(A843, ""en"", ""te"")"),"చింగ్ యొక్క రహస్య మంచో సూప్")</f>
        <v>చింగ్ యొక్క రహస్య మంచో సూప్</v>
      </c>
      <c r="C843" s="4" t="str">
        <f>IFERROR(__xludf.DUMMYFUNCTION("GOOGLETRANSLATE(A843, ""en"", ""hi"")"),"चिंग का गुप्त मंचो सूप")</f>
        <v>चिंग का गुप्त मंचो सूप</v>
      </c>
      <c r="D843" s="5"/>
      <c r="E843" s="2" t="s">
        <v>946</v>
      </c>
      <c r="F843" s="1">
        <v>2.0</v>
      </c>
      <c r="G843" s="3" t="s">
        <v>114</v>
      </c>
    </row>
    <row r="844">
      <c r="A844" s="3" t="s">
        <v>5458</v>
      </c>
      <c r="B844" s="4" t="str">
        <f>IFERROR(__xludf.DUMMYFUNCTION("GOOGLETRANSLATE(A844, ""en"", ""te"")"),"చింగ్ యొక్క రహస్య టమోటా సూప్")</f>
        <v>చింగ్ యొక్క రహస్య టమోటా సూప్</v>
      </c>
      <c r="C844" s="4" t="str">
        <f>IFERROR(__xludf.DUMMYFUNCTION("GOOGLETRANSLATE(A844, ""en"", ""hi"")"),"चिंग का गुप्त टमाटर का सूप")</f>
        <v>चिंग का गुप्त टमाटर का सूप</v>
      </c>
      <c r="D844" s="5"/>
      <c r="E844" s="2" t="s">
        <v>946</v>
      </c>
      <c r="F844" s="1">
        <v>2.0</v>
      </c>
      <c r="G844" s="3" t="s">
        <v>114</v>
      </c>
    </row>
    <row r="845">
      <c r="A845" s="3" t="s">
        <v>5433</v>
      </c>
      <c r="B845" s="4" t="str">
        <f>IFERROR(__xludf.DUMMYFUNCTION("GOOGLETRANSLATE(A845, ""en"", ""te"")"),"చింగ్ యొక్క రహస్య హాట్ &amp; సోర్ సూప్")</f>
        <v>చింగ్ యొక్క రహస్య హాట్ &amp; సోర్ సూప్</v>
      </c>
      <c r="C845" s="4" t="str">
        <f>IFERROR(__xludf.DUMMYFUNCTION("GOOGLETRANSLATE(A845, ""en"", ""hi"")"),"चिंग का गुप्त हॉट एंड सॉर सूप")</f>
        <v>चिंग का गुप्त हॉट एंड सॉर सूप</v>
      </c>
      <c r="D845" s="5"/>
      <c r="E845" s="2" t="s">
        <v>940</v>
      </c>
      <c r="F845" s="1">
        <v>2.0</v>
      </c>
      <c r="G845" s="3" t="s">
        <v>114</v>
      </c>
    </row>
    <row r="846">
      <c r="A846" s="3" t="s">
        <v>5435</v>
      </c>
      <c r="B846" s="4" t="str">
        <f>IFERROR(__xludf.DUMMYFUNCTION("GOOGLETRANSLATE(A846, ""en"", ""te"")"),"చింగ్ యొక్క రహస్య మిశ్రమ కూరగాయల సూప్")</f>
        <v>చింగ్ యొక్క రహస్య మిశ్రమ కూరగాయల సూప్</v>
      </c>
      <c r="C846" s="4" t="str">
        <f>IFERROR(__xludf.DUMMYFUNCTION("GOOGLETRANSLATE(A846, ""en"", ""hi"")"),"चिंग का सीक्रेट मिक्स वेज सूप")</f>
        <v>चिंग का सीक्रेट मिक्स वेज सूप</v>
      </c>
      <c r="D846" s="5"/>
      <c r="E846" s="2" t="s">
        <v>940</v>
      </c>
      <c r="F846" s="1">
        <v>2.0</v>
      </c>
      <c r="G846" s="3" t="s">
        <v>114</v>
      </c>
    </row>
    <row r="847">
      <c r="A847" s="3" t="s">
        <v>5624</v>
      </c>
      <c r="B847" s="4" t="str">
        <f>IFERROR(__xludf.DUMMYFUNCTION("GOOGLETRANSLATE(A847, ""en"", ""te"")"),"షాన్ మిరపకాయ ఊరగాయ")</f>
        <v>షాన్ మిరపకాయ ఊరగాయ</v>
      </c>
      <c r="C847" s="4" t="str">
        <f>IFERROR(__xludf.DUMMYFUNCTION("GOOGLETRANSLATE(A847, ""en"", ""hi"")"),"शान मिर्च का अचार")</f>
        <v>शान मिर्च का अचार</v>
      </c>
      <c r="D847" s="2" t="s">
        <v>5625</v>
      </c>
      <c r="E847" s="2" t="s">
        <v>996</v>
      </c>
      <c r="F847" s="1">
        <v>2.0</v>
      </c>
      <c r="G847" s="3" t="s">
        <v>114</v>
      </c>
    </row>
    <row r="848">
      <c r="A848" s="3" t="s">
        <v>5741</v>
      </c>
      <c r="B848" s="4" t="str">
        <f>IFERROR(__xludf.DUMMYFUNCTION("GOOGLETRANSLATE(A848, ""en"", ""te"")"),"షాన్ మామిడి ఊరగాయ")</f>
        <v>షాన్ మామిడి ఊరగాయ</v>
      </c>
      <c r="C848" s="4" t="str">
        <f>IFERROR(__xludf.DUMMYFUNCTION("GOOGLETRANSLATE(A848, ""en"", ""hi"")"),"शान आम का अचार")</f>
        <v>शान आम का अचार</v>
      </c>
      <c r="D848" s="2" t="s">
        <v>5742</v>
      </c>
      <c r="E848" s="2" t="s">
        <v>996</v>
      </c>
      <c r="F848" s="1">
        <v>2.0</v>
      </c>
      <c r="G848" s="3" t="s">
        <v>114</v>
      </c>
    </row>
    <row r="849">
      <c r="A849" s="3" t="s">
        <v>5743</v>
      </c>
      <c r="B849" s="4" t="str">
        <f>IFERROR(__xludf.DUMMYFUNCTION("GOOGLETRANSLATE(A849, ""en"", ""te"")"),"షాన్ నిమ్మకాయ ఊరగాయ")</f>
        <v>షాన్ నిమ్మకాయ ఊరగాయ</v>
      </c>
      <c r="C849" s="4" t="str">
        <f>IFERROR(__xludf.DUMMYFUNCTION("GOOGLETRANSLATE(A849, ""en"", ""hi"")"),"शान नींबू का अचार")</f>
        <v>शान नींबू का अचार</v>
      </c>
      <c r="D849" s="2" t="s">
        <v>5744</v>
      </c>
      <c r="E849" s="2" t="s">
        <v>996</v>
      </c>
      <c r="F849" s="1">
        <v>2.0</v>
      </c>
      <c r="G849" s="3" t="s">
        <v>114</v>
      </c>
    </row>
    <row r="850">
      <c r="A850" s="3" t="s">
        <v>5441</v>
      </c>
      <c r="B850" s="4" t="str">
        <f>IFERROR(__xludf.DUMMYFUNCTION("GOOGLETRANSLATE(A850, ""en"", ""te"")"),"నార్ హాట్ &amp; సోర్ వెజిటబుల్ సూప్")</f>
        <v>నార్ హాట్ &amp; సోర్ వెజిటబుల్ సూప్</v>
      </c>
      <c r="C850" s="4" t="str">
        <f>IFERROR(__xludf.DUMMYFUNCTION("GOOGLETRANSLATE(A850, ""en"", ""hi"")"),"नॉर हॉट एंड सॉर वेजिटेबल सूप")</f>
        <v>नॉर हॉट एंड सॉर वेजिटेबल सूप</v>
      </c>
      <c r="D850" s="5"/>
      <c r="E850" s="2" t="s">
        <v>940</v>
      </c>
      <c r="F850" s="1">
        <v>2.0</v>
      </c>
      <c r="G850" s="3" t="s">
        <v>10</v>
      </c>
    </row>
    <row r="851">
      <c r="A851" s="3" t="s">
        <v>5745</v>
      </c>
      <c r="B851" s="4" t="str">
        <f>IFERROR(__xludf.DUMMYFUNCTION("GOOGLETRANSLATE(A851, ""en"", ""te"")"),"హల్దీరామ్స్ మినిట్ ఖానా ఉప్మా")</f>
        <v>హల్దీరామ్స్ మినిట్ ఖానా ఉప్మా</v>
      </c>
      <c r="C851" s="4" t="str">
        <f>IFERROR(__xludf.DUMMYFUNCTION("GOOGLETRANSLATE(A851, ""en"", ""hi"")"),"हल्दीराम का मिनट खाना उपमा")</f>
        <v>हल्दीराम का मिनट खाना उपमा</v>
      </c>
      <c r="D851" s="2" t="s">
        <v>5483</v>
      </c>
      <c r="E851" s="2" t="s">
        <v>940</v>
      </c>
      <c r="F851" s="1">
        <v>2.0</v>
      </c>
      <c r="G851" s="3" t="s">
        <v>5746</v>
      </c>
    </row>
    <row r="852">
      <c r="A852" s="3" t="s">
        <v>5747</v>
      </c>
      <c r="B852" s="4" t="str">
        <f>IFERROR(__xludf.DUMMYFUNCTION("GOOGLETRANSLATE(A852, ""en"", ""te"")"),"హల్దీరామ్స్ మినిట్ ఖానా పోహా")</f>
        <v>హల్దీరామ్స్ మినిట్ ఖానా పోహా</v>
      </c>
      <c r="C852" s="4" t="str">
        <f>IFERROR(__xludf.DUMMYFUNCTION("GOOGLETRANSLATE(A852, ""en"", ""hi"")"),"हल्दीराम का मिनट खाना पोहा")</f>
        <v>हल्दीराम का मिनट खाना पोहा</v>
      </c>
      <c r="D852" s="5"/>
      <c r="E852" s="2" t="s">
        <v>940</v>
      </c>
      <c r="F852" s="1">
        <v>2.0</v>
      </c>
      <c r="G852" s="3" t="s">
        <v>5746</v>
      </c>
    </row>
    <row r="853">
      <c r="A853" s="3" t="s">
        <v>5748</v>
      </c>
      <c r="B853" s="4" t="str">
        <f>IFERROR(__xludf.DUMMYFUNCTION("GOOGLETRANSLATE(A853, ""en"", ""te"")"),"హల్దీరామ్ యొక్క నిమిషం ఖానా దాల్ చావల్")</f>
        <v>హల్దీరామ్ యొక్క నిమిషం ఖానా దాల్ చావల్</v>
      </c>
      <c r="C853" s="4" t="str">
        <f>IFERROR(__xludf.DUMMYFUNCTION("GOOGLETRANSLATE(A853, ""en"", ""hi"")"),"हल्दीराम मिनट खाना दाल चावल")</f>
        <v>हल्दीराम मिनट खाना दाल चावल</v>
      </c>
      <c r="D853" s="2" t="s">
        <v>3379</v>
      </c>
      <c r="E853" s="2" t="s">
        <v>940</v>
      </c>
      <c r="F853" s="1">
        <v>2.0</v>
      </c>
      <c r="G853" s="3" t="s">
        <v>5746</v>
      </c>
    </row>
    <row r="854">
      <c r="A854" s="3" t="s">
        <v>5749</v>
      </c>
      <c r="B854" s="4" t="str">
        <f>IFERROR(__xludf.DUMMYFUNCTION("GOOGLETRANSLATE(A854, ""en"", ""te"")"),"హల్దీరామ్ పోహా సేవ్")</f>
        <v>హల్దీరామ్ పోహా సేవ్</v>
      </c>
      <c r="C854" s="4" t="str">
        <f>IFERROR(__xludf.DUMMYFUNCTION("GOOGLETRANSLATE(A854, ""en"", ""hi"")"),"हल्दीराम का पोहा सेव")</f>
        <v>हल्दीराम का पोहा सेव</v>
      </c>
      <c r="D854" s="2" t="s">
        <v>5750</v>
      </c>
      <c r="E854" s="2" t="s">
        <v>1294</v>
      </c>
      <c r="F854" s="1">
        <v>2.0</v>
      </c>
      <c r="G854" s="3" t="s">
        <v>5746</v>
      </c>
    </row>
    <row r="855">
      <c r="A855" s="3" t="s">
        <v>5751</v>
      </c>
      <c r="B855" s="4" t="str">
        <f>IFERROR(__xludf.DUMMYFUNCTION("GOOGLETRANSLATE(A855, ""en"", ""te"")"),"చింగ్ యొక్క రహస్య ఎర్ర మిరప సాస్")</f>
        <v>చింగ్ యొక్క రహస్య ఎర్ర మిరప సాస్</v>
      </c>
      <c r="C855" s="4" t="str">
        <f>IFERROR(__xludf.DUMMYFUNCTION("GOOGLETRANSLATE(A855, ""en"", ""hi"")"),"चिंग की गुप्त लाल मिर्च की चटनी")</f>
        <v>चिंग की गुप्त लाल मिर्च की चटनी</v>
      </c>
      <c r="D855" s="2" t="s">
        <v>1636</v>
      </c>
      <c r="E855" s="2" t="s">
        <v>946</v>
      </c>
      <c r="F855" s="1">
        <v>2.0</v>
      </c>
      <c r="G855" s="3" t="s">
        <v>5752</v>
      </c>
    </row>
    <row r="856">
      <c r="A856" s="3" t="s">
        <v>5753</v>
      </c>
      <c r="B856" s="4" t="str">
        <f>IFERROR(__xludf.DUMMYFUNCTION("GOOGLETRANSLATE(A856, ""en"", ""te"")"),"చింగ్ యొక్క రహస్య మిరప వెనిగర్")</f>
        <v>చింగ్ యొక్క రహస్య మిరప వెనిగర్</v>
      </c>
      <c r="C856" s="4" t="str">
        <f>IFERROR(__xludf.DUMMYFUNCTION("GOOGLETRANSLATE(A856, ""en"", ""hi"")"),"चिंग का सीक्रेट चिली विनेगर")</f>
        <v>चिंग का सीक्रेट चिली विनेगर</v>
      </c>
      <c r="D856" s="2" t="s">
        <v>1636</v>
      </c>
      <c r="E856" s="2" t="s">
        <v>946</v>
      </c>
      <c r="F856" s="1">
        <v>2.0</v>
      </c>
      <c r="G856" s="3" t="s">
        <v>5752</v>
      </c>
    </row>
    <row r="857">
      <c r="A857" s="3" t="s">
        <v>5422</v>
      </c>
      <c r="B857" s="4" t="str">
        <f>IFERROR(__xludf.DUMMYFUNCTION("GOOGLETRANSLATE(A857, ""en"", ""te"")"),"చింగ్ యొక్క రహస్య ముదురు సోయా సాస్")</f>
        <v>చింగ్ యొక్క రహస్య ముదురు సోయా సాస్</v>
      </c>
      <c r="C857" s="4" t="str">
        <f>IFERROR(__xludf.DUMMYFUNCTION("GOOGLETRANSLATE(A857, ""en"", ""hi"")"),"चिंग का सीक्रेट डार्क सोया सॉस")</f>
        <v>चिंग का सीक्रेट डार्क सोया सॉस</v>
      </c>
      <c r="D857" s="2" t="s">
        <v>5423</v>
      </c>
      <c r="E857" s="2" t="s">
        <v>946</v>
      </c>
      <c r="F857" s="1">
        <v>2.0</v>
      </c>
      <c r="G857" s="3" t="s">
        <v>5752</v>
      </c>
    </row>
    <row r="858">
      <c r="A858" s="3" t="s">
        <v>5449</v>
      </c>
      <c r="B858" s="4" t="str">
        <f>IFERROR(__xludf.DUMMYFUNCTION("GOOGLETRANSLATE(A858, ""en"", ""te"")"),"చింగ్ యొక్క రహస్య పచ్చి మిరపకాయ సాస్")</f>
        <v>చింగ్ యొక్క రహస్య పచ్చి మిరపకాయ సాస్</v>
      </c>
      <c r="C858" s="4" t="str">
        <f>IFERROR(__xludf.DUMMYFUNCTION("GOOGLETRANSLATE(A858, ""en"", ""hi"")"),"चिंग की गुप्त हरी मिर्च की चटनी")</f>
        <v>चिंग की गुप्त हरी मिर्च की चटनी</v>
      </c>
      <c r="D858" s="5"/>
      <c r="E858" s="2" t="s">
        <v>946</v>
      </c>
      <c r="F858" s="1">
        <v>2.0</v>
      </c>
      <c r="G858" s="3" t="s">
        <v>5752</v>
      </c>
    </row>
    <row r="859">
      <c r="A859" s="3" t="s">
        <v>5754</v>
      </c>
      <c r="B859" s="4" t="str">
        <f>IFERROR(__xludf.DUMMYFUNCTION("GOOGLETRANSLATE(A859, ""en"", ""te"")"),"స్వాద్ తెలుగు కాకరకాయ ఊరగాయ")</f>
        <v>స్వాద్ తెలుగు కాకరకాయ ఊరగాయ</v>
      </c>
      <c r="C859" s="4" t="str">
        <f>IFERROR(__xludf.DUMMYFUNCTION("GOOGLETRANSLATE(A859, ""en"", ""hi"")"),"स्वाद तेलुगु करेला अचार")</f>
        <v>स्वाद तेलुगु करेला अचार</v>
      </c>
      <c r="D859" s="2" t="s">
        <v>5755</v>
      </c>
      <c r="E859" s="2" t="s">
        <v>996</v>
      </c>
      <c r="F859" s="1">
        <v>2.0</v>
      </c>
      <c r="G859" s="3" t="s">
        <v>5756</v>
      </c>
    </row>
    <row r="860">
      <c r="A860" s="3" t="s">
        <v>5757</v>
      </c>
      <c r="B860" s="4" t="str">
        <f>IFERROR(__xludf.DUMMYFUNCTION("GOOGLETRANSLATE(A860, ""en"", ""te"")"),"స్వాద్ తెలుగు ఊరగాయ")</f>
        <v>స్వాద్ తెలుగు ఊరగాయ</v>
      </c>
      <c r="C860" s="4" t="str">
        <f>IFERROR(__xludf.DUMMYFUNCTION("GOOGLETRANSLATE(A860, ""en"", ""hi"")"),"स्वाद तेलुगु अचार")</f>
        <v>स्वाद तेलुगु अचार</v>
      </c>
      <c r="D860" s="2" t="s">
        <v>5758</v>
      </c>
      <c r="E860" s="2" t="s">
        <v>996</v>
      </c>
      <c r="F860" s="1">
        <v>2.0</v>
      </c>
      <c r="G860" s="3" t="s">
        <v>5756</v>
      </c>
    </row>
    <row r="861">
      <c r="A861" s="3" t="s">
        <v>5759</v>
      </c>
      <c r="B861" s="4" t="str">
        <f>IFERROR(__xludf.DUMMYFUNCTION("GOOGLETRANSLATE(A861, ""en"", ""te"")"),"షాన్ వెల్లుల్లి ఊరగాయ")</f>
        <v>షాన్ వెల్లుల్లి ఊరగాయ</v>
      </c>
      <c r="C861" s="4" t="str">
        <f>IFERROR(__xludf.DUMMYFUNCTION("GOOGLETRANSLATE(A861, ""en"", ""hi"")"),"शान लहसुन का अचार")</f>
        <v>शान लहसुन का अचार</v>
      </c>
      <c r="D861" s="2" t="s">
        <v>5760</v>
      </c>
      <c r="E861" s="2" t="s">
        <v>996</v>
      </c>
      <c r="F861" s="1">
        <v>2.0</v>
      </c>
      <c r="G861" s="3" t="s">
        <v>5761</v>
      </c>
    </row>
    <row r="862">
      <c r="A862" s="3" t="s">
        <v>5762</v>
      </c>
      <c r="B862" s="4" t="str">
        <f>IFERROR(__xludf.DUMMYFUNCTION("GOOGLETRANSLATE(A862, ""en"", ""te"")"),"షాన్ హైదరాబాదీ ఊరగాయ")</f>
        <v>షాన్ హైదరాబాదీ ఊరగాయ</v>
      </c>
      <c r="C862" s="4" t="str">
        <f>IFERROR(__xludf.DUMMYFUNCTION("GOOGLETRANSLATE(A862, ""en"", ""hi"")"),"शान हैदराबादी अचार")</f>
        <v>शान हैदराबादी अचार</v>
      </c>
      <c r="D862" s="2" t="s">
        <v>5763</v>
      </c>
      <c r="E862" s="2" t="s">
        <v>996</v>
      </c>
      <c r="F862" s="1">
        <v>2.0</v>
      </c>
      <c r="G862" s="3" t="s">
        <v>5761</v>
      </c>
    </row>
    <row r="863">
      <c r="A863" s="3" t="s">
        <v>5743</v>
      </c>
      <c r="B863" s="4" t="str">
        <f>IFERROR(__xludf.DUMMYFUNCTION("GOOGLETRANSLATE(A863, ""en"", ""te"")"),"షాన్ నిమ్మకాయ ఊరగాయ")</f>
        <v>షాన్ నిమ్మకాయ ఊరగాయ</v>
      </c>
      <c r="C863" s="4" t="str">
        <f>IFERROR(__xludf.DUMMYFUNCTION("GOOGLETRANSLATE(A863, ""en"", ""hi"")"),"शान नींबू का अचार")</f>
        <v>शान नींबू का अचार</v>
      </c>
      <c r="D863" s="2" t="s">
        <v>5744</v>
      </c>
      <c r="E863" s="2" t="s">
        <v>996</v>
      </c>
      <c r="F863" s="1">
        <v>2.0</v>
      </c>
      <c r="G863" s="3" t="s">
        <v>5761</v>
      </c>
    </row>
    <row r="864">
      <c r="A864" s="3" t="s">
        <v>5741</v>
      </c>
      <c r="B864" s="4" t="str">
        <f>IFERROR(__xludf.DUMMYFUNCTION("GOOGLETRANSLATE(A864, ""en"", ""te"")"),"షాన్ మామిడి ఊరగాయ")</f>
        <v>షాన్ మామిడి ఊరగాయ</v>
      </c>
      <c r="C864" s="4" t="str">
        <f>IFERROR(__xludf.DUMMYFUNCTION("GOOGLETRANSLATE(A864, ""en"", ""hi"")"),"शान आम का अचार")</f>
        <v>शान आम का अचार</v>
      </c>
      <c r="D864" s="2" t="s">
        <v>5742</v>
      </c>
      <c r="E864" s="2" t="s">
        <v>996</v>
      </c>
      <c r="F864" s="1">
        <v>2.0</v>
      </c>
      <c r="G864" s="3" t="s">
        <v>5761</v>
      </c>
    </row>
    <row r="865">
      <c r="A865" s="3" t="s">
        <v>5764</v>
      </c>
      <c r="B865" s="4" t="str">
        <f>IFERROR(__xludf.DUMMYFUNCTION("GOOGLETRANSLATE(A865, ""en"", ""te"")"),"ఆరా మూంగ్ దాల్")</f>
        <v>ఆరా మూంగ్ దాల్</v>
      </c>
      <c r="C865" s="4" t="str">
        <f>IFERROR(__xludf.DUMMYFUNCTION("GOOGLETRANSLATE(A865, ""en"", ""hi"")"),"आरा मूंग दाल")</f>
        <v>आरा मूंग दाल</v>
      </c>
      <c r="D865" s="2" t="s">
        <v>3379</v>
      </c>
      <c r="E865" s="2" t="s">
        <v>1038</v>
      </c>
      <c r="F865" s="1">
        <v>2.0</v>
      </c>
      <c r="G865" s="3" t="s">
        <v>5761</v>
      </c>
    </row>
    <row r="866">
      <c r="A866" s="3" t="s">
        <v>5766</v>
      </c>
      <c r="B866" s="4" t="str">
        <f>IFERROR(__xludf.DUMMYFUNCTION("GOOGLETRANSLATE(A866, ""en"", ""te"")"),"స్వాద్ గంథోడా పొడి")</f>
        <v>స్వాద్ గంథోడా పొడి</v>
      </c>
      <c r="C866" s="4" t="str">
        <f>IFERROR(__xludf.DUMMYFUNCTION("GOOGLETRANSLATE(A866, ""en"", ""hi"")"),"स्वाद गंथोडा पाउडर")</f>
        <v>स्वाद गंथोडा पाउडर</v>
      </c>
      <c r="D866" s="5"/>
      <c r="E866" s="2" t="s">
        <v>442</v>
      </c>
      <c r="F866" s="1">
        <v>2.0</v>
      </c>
      <c r="G866" s="3" t="s">
        <v>5761</v>
      </c>
    </row>
    <row r="867">
      <c r="A867" s="3" t="s">
        <v>5849</v>
      </c>
      <c r="B867" s="4" t="str">
        <f>IFERROR(__xludf.DUMMYFUNCTION("GOOGLETRANSLATE(A867, ""en"", ""te"")"),"డీప్ వెర్మిసెల్లి ఉప్మా")</f>
        <v>డీప్ వెర్మిసెల్లి ఉప్మా</v>
      </c>
      <c r="C867" s="4" t="str">
        <f>IFERROR(__xludf.DUMMYFUNCTION("GOOGLETRANSLATE(A867, ""en"", ""hi"")"),"डीप वर्मीसेली उपमा")</f>
        <v>डीप वर्मीसेली उपमा</v>
      </c>
      <c r="D867" s="5"/>
      <c r="E867" s="2" t="s">
        <v>2649</v>
      </c>
      <c r="F867" s="1">
        <v>2.0</v>
      </c>
      <c r="G867" s="3" t="s">
        <v>71</v>
      </c>
    </row>
    <row r="868">
      <c r="A868" s="3" t="s">
        <v>5850</v>
      </c>
      <c r="B868" s="4" t="str">
        <f>IFERROR(__xludf.DUMMYFUNCTION("GOOGLETRANSLATE(A868, ""en"", ""te"")"),"దీప్ ఖట్టా మిఠా పోహా సేవ్")</f>
        <v>దీప్ ఖట్టా మిఠా పోహా సేవ్</v>
      </c>
      <c r="C868" s="4" t="str">
        <f>IFERROR(__xludf.DUMMYFUNCTION("GOOGLETRANSLATE(A868, ""en"", ""hi"")"),"दीप खट्टा मीठा पोहा सेव")</f>
        <v>दीप खट्टा मीठा पोहा सेव</v>
      </c>
      <c r="D868" s="5"/>
      <c r="E868" s="2" t="s">
        <v>2649</v>
      </c>
      <c r="F868" s="1">
        <v>2.0</v>
      </c>
      <c r="G868" s="3" t="s">
        <v>71</v>
      </c>
    </row>
    <row r="869">
      <c r="A869" s="3" t="s">
        <v>5851</v>
      </c>
      <c r="B869" s="4" t="str">
        <f>IFERROR(__xludf.DUMMYFUNCTION("GOOGLETRANSLATE(A869, ""en"", ""te"")"),"దీప్ పోహా సేవ్")</f>
        <v>దీప్ పోహా సేవ్</v>
      </c>
      <c r="C869" s="4" t="str">
        <f>IFERROR(__xludf.DUMMYFUNCTION("GOOGLETRANSLATE(A869, ""en"", ""hi"")"),"दीप पोहा सेव")</f>
        <v>दीप पोहा सेव</v>
      </c>
      <c r="D869" s="5"/>
      <c r="E869" s="2" t="s">
        <v>2649</v>
      </c>
      <c r="F869" s="1">
        <v>2.0</v>
      </c>
      <c r="G869" s="3" t="s">
        <v>71</v>
      </c>
    </row>
    <row r="870">
      <c r="A870" s="3" t="s">
        <v>5852</v>
      </c>
      <c r="B870" s="4" t="str">
        <f>IFERROR(__xludf.DUMMYFUNCTION("GOOGLETRANSLATE(A870, ""en"", ""te"")"),"డీప్ ఎక్స్‌ప్రెస్ మీల్స్ ఉప్మా")</f>
        <v>డీప్ ఎక్స్‌ప్రెస్ మీల్స్ ఉప్మా</v>
      </c>
      <c r="C870" s="4" t="str">
        <f>IFERROR(__xludf.DUMMYFUNCTION("GOOGLETRANSLATE(A870, ""en"", ""hi"")"),"डीप एक्सप्रेस मील्स उपमा")</f>
        <v>डीप एक्सप्रेस मील्स उपमा</v>
      </c>
      <c r="D870" s="5"/>
      <c r="E870" s="2" t="s">
        <v>940</v>
      </c>
      <c r="F870" s="1">
        <v>2.0</v>
      </c>
      <c r="G870" s="3" t="s">
        <v>71</v>
      </c>
    </row>
    <row r="871">
      <c r="A871" s="3" t="s">
        <v>5747</v>
      </c>
      <c r="B871" s="4" t="str">
        <f>IFERROR(__xludf.DUMMYFUNCTION("GOOGLETRANSLATE(A871, ""en"", ""te"")"),"హల్దీరామ్స్ మినిట్ ఖానా పోహా")</f>
        <v>హల్దీరామ్స్ మినిట్ ఖానా పోహా</v>
      </c>
      <c r="C871" s="4" t="str">
        <f>IFERROR(__xludf.DUMMYFUNCTION("GOOGLETRANSLATE(A871, ""en"", ""hi"")"),"हल्दीराम का मिनट खाना पोहा")</f>
        <v>हल्दीराम का मिनट खाना पोहा</v>
      </c>
      <c r="D871" s="5"/>
      <c r="E871" s="2" t="s">
        <v>940</v>
      </c>
      <c r="F871" s="1">
        <v>2.0</v>
      </c>
      <c r="G871" s="3" t="s">
        <v>71</v>
      </c>
    </row>
    <row r="872">
      <c r="A872" s="3" t="s">
        <v>5853</v>
      </c>
      <c r="B872" s="4" t="str">
        <f>IFERROR(__xludf.DUMMYFUNCTION("GOOGLETRANSLATE(A872, ""en"", ""te"")"),"చింగ్స్ సీక్రెట్ షెజ్వాన్ చట్నీ")</f>
        <v>చింగ్స్ సీక్రెట్ షెజ్వాన్ చట్నీ</v>
      </c>
      <c r="C872" s="4" t="str">
        <f>IFERROR(__xludf.DUMMYFUNCTION("GOOGLETRANSLATE(A872, ""en"", ""hi"")"),"चिंग्स सीक्रेट शेज़वान चटनी")</f>
        <v>चिंग्स सीक्रेट शेज़वान चटनी</v>
      </c>
      <c r="D872" s="5"/>
      <c r="E872" s="2" t="s">
        <v>946</v>
      </c>
      <c r="F872" s="1">
        <v>2.0</v>
      </c>
      <c r="G872" s="3" t="s">
        <v>5854</v>
      </c>
    </row>
    <row r="873">
      <c r="A873" s="3" t="s">
        <v>5855</v>
      </c>
      <c r="B873" s="4" t="str">
        <f>IFERROR(__xludf.DUMMYFUNCTION("GOOGLETRANSLATE(A873, ""en"", ""te"")"),"ముదురు ఎరుపు మిరప సాస్")</f>
        <v>ముదురు ఎరుపు మిరప సాస్</v>
      </c>
      <c r="C873" s="4" t="str">
        <f>IFERROR(__xludf.DUMMYFUNCTION("GOOGLETRANSLATE(A873, ""en"", ""hi"")"),"गहरे लाल रंग की मिर्च की चटनी")</f>
        <v>गहरे लाल रंग की मिर्च की चटनी</v>
      </c>
      <c r="D873" s="2" t="s">
        <v>1636</v>
      </c>
      <c r="E873" s="2" t="s">
        <v>946</v>
      </c>
      <c r="F873" s="1">
        <v>2.0</v>
      </c>
      <c r="G873" s="3" t="s">
        <v>5854</v>
      </c>
    </row>
    <row r="874">
      <c r="A874" s="3" t="s">
        <v>5422</v>
      </c>
      <c r="B874" s="4" t="str">
        <f>IFERROR(__xludf.DUMMYFUNCTION("GOOGLETRANSLATE(A874, ""en"", ""te"")"),"చింగ్ యొక్క రహస్య ముదురు సోయా సాస్")</f>
        <v>చింగ్ యొక్క రహస్య ముదురు సోయా సాస్</v>
      </c>
      <c r="C874" s="4" t="str">
        <f>IFERROR(__xludf.DUMMYFUNCTION("GOOGLETRANSLATE(A874, ""en"", ""hi"")"),"चिंग का सीक्रेट डार्क सोया सॉस")</f>
        <v>चिंग का सीक्रेट डार्क सोया सॉस</v>
      </c>
      <c r="D874" s="2" t="s">
        <v>5423</v>
      </c>
      <c r="E874" s="2" t="s">
        <v>946</v>
      </c>
      <c r="F874" s="1">
        <v>2.0</v>
      </c>
      <c r="G874" s="3" t="s">
        <v>5854</v>
      </c>
    </row>
    <row r="875">
      <c r="A875" s="3" t="s">
        <v>5753</v>
      </c>
      <c r="B875" s="4" t="str">
        <f>IFERROR(__xludf.DUMMYFUNCTION("GOOGLETRANSLATE(A875, ""en"", ""te"")"),"చింగ్ యొక్క రహస్య మిరప వెనిగర్")</f>
        <v>చింగ్ యొక్క రహస్య మిరప వెనిగర్</v>
      </c>
      <c r="C875" s="4" t="str">
        <f>IFERROR(__xludf.DUMMYFUNCTION("GOOGLETRANSLATE(A875, ""en"", ""hi"")"),"चिंग का सीक्रेट चिली विनेगर")</f>
        <v>चिंग का सीक्रेट चिली विनेगर</v>
      </c>
      <c r="D875" s="2" t="s">
        <v>1636</v>
      </c>
      <c r="E875" s="2" t="s">
        <v>946</v>
      </c>
      <c r="F875" s="1">
        <v>2.0</v>
      </c>
      <c r="G875" s="3" t="s">
        <v>5854</v>
      </c>
    </row>
    <row r="876">
      <c r="A876" s="3" t="s">
        <v>5449</v>
      </c>
      <c r="B876" s="4" t="str">
        <f>IFERROR(__xludf.DUMMYFUNCTION("GOOGLETRANSLATE(A876, ""en"", ""te"")"),"చింగ్ యొక్క రహస్య పచ్చి మిరపకాయ సాస్")</f>
        <v>చింగ్ యొక్క రహస్య పచ్చి మిరపకాయ సాస్</v>
      </c>
      <c r="C876" s="4" t="str">
        <f>IFERROR(__xludf.DUMMYFUNCTION("GOOGLETRANSLATE(A876, ""en"", ""hi"")"),"चिंग की गुप्त हरी मिर्च की चटनी")</f>
        <v>चिंग की गुप्त हरी मिर्च की चटनी</v>
      </c>
      <c r="D876" s="5"/>
      <c r="E876" s="2" t="s">
        <v>946</v>
      </c>
      <c r="F876" s="1">
        <v>2.0</v>
      </c>
      <c r="G876" s="3" t="s">
        <v>5854</v>
      </c>
    </row>
    <row r="877">
      <c r="A877" s="3" t="s">
        <v>5856</v>
      </c>
      <c r="B877" s="4" t="str">
        <f>IFERROR(__xludf.DUMMYFUNCTION("GOOGLETRANSLATE(A877, ""en"", ""te"")"),"స్వాద్ వెల్లుల్లి ఊరగాయ")</f>
        <v>స్వాద్ వెల్లుల్లి ఊరగాయ</v>
      </c>
      <c r="C877" s="4" t="str">
        <f>IFERROR(__xludf.DUMMYFUNCTION("GOOGLETRANSLATE(A877, ""en"", ""hi"")"),"स्वाद लहसुन का अचार")</f>
        <v>स्वाद लहसुन का अचार</v>
      </c>
      <c r="D877" s="2" t="s">
        <v>5858</v>
      </c>
      <c r="E877" s="2" t="s">
        <v>996</v>
      </c>
      <c r="F877" s="1">
        <v>2.0</v>
      </c>
      <c r="G877" s="3" t="s">
        <v>5859</v>
      </c>
    </row>
    <row r="878">
      <c r="A878" s="3" t="s">
        <v>5860</v>
      </c>
      <c r="B878" s="4" t="str">
        <f>IFERROR(__xludf.DUMMYFUNCTION("GOOGLETRANSLATE(A878, ""en"", ""te"")"),"శ్వేత తెలుగు దొండకాయ ఊరగాయ")</f>
        <v>శ్వేత తెలుగు దొండకాయ ఊరగాయ</v>
      </c>
      <c r="C878" s="4" t="str">
        <f>IFERROR(__xludf.DUMMYFUNCTION("GOOGLETRANSLATE(A878, ""en"", ""hi"")"),"स्वेता तेलुगु डोंडाकाया अचार")</f>
        <v>स्वेता तेलुगु डोंडाकाया अचार</v>
      </c>
      <c r="D878" s="2" t="s">
        <v>5862</v>
      </c>
      <c r="E878" s="2" t="s">
        <v>996</v>
      </c>
      <c r="F878" s="1">
        <v>2.0</v>
      </c>
      <c r="G878" s="3" t="s">
        <v>5859</v>
      </c>
    </row>
    <row r="879">
      <c r="A879" s="3" t="s">
        <v>5863</v>
      </c>
      <c r="B879" s="4" t="str">
        <f>IFERROR(__xludf.DUMMYFUNCTION("GOOGLETRANSLATE(A879, ""en"", ""te"")"),"శ్వేత తెలుగు కాకరకాయ ఊరగాయ")</f>
        <v>శ్వేత తెలుగు కాకరకాయ ఊరగాయ</v>
      </c>
      <c r="C879" s="4" t="str">
        <f>IFERROR(__xludf.DUMMYFUNCTION("GOOGLETRANSLATE(A879, ""en"", ""hi"")"),"श्वेता तेलुगु करेला अचार")</f>
        <v>श्वेता तेलुगु करेला अचार</v>
      </c>
      <c r="D879" s="2" t="s">
        <v>5755</v>
      </c>
      <c r="E879" s="2" t="s">
        <v>996</v>
      </c>
      <c r="F879" s="1">
        <v>2.0</v>
      </c>
      <c r="G879" s="3" t="s">
        <v>5859</v>
      </c>
    </row>
    <row r="880">
      <c r="A880" s="3" t="s">
        <v>5866</v>
      </c>
      <c r="B880" s="4" t="str">
        <f>IFERROR(__xludf.DUMMYFUNCTION("GOOGLETRANSLATE(A880, ""en"", ""te"")"),"తినదగిన కర్పూరం")</f>
        <v>తినదగిన కర్పూరం</v>
      </c>
      <c r="C880" s="4" t="str">
        <f>IFERROR(__xludf.DUMMYFUNCTION("GOOGLETRANSLATE(A880, ""en"", ""hi"")"),"खाद्य कपूर")</f>
        <v>खाद्य कपूर</v>
      </c>
      <c r="D880" s="5"/>
      <c r="E880" s="2" t="s">
        <v>2279</v>
      </c>
      <c r="F880" s="1">
        <v>2.0</v>
      </c>
      <c r="G880" s="3" t="s">
        <v>5989</v>
      </c>
    </row>
    <row r="881">
      <c r="A881" s="3" t="s">
        <v>5991</v>
      </c>
      <c r="B881" s="4" t="str">
        <f>IFERROR(__xludf.DUMMYFUNCTION("GOOGLETRANSLATE(A881, ""en"", ""te"")"),"థ్రెడెడ్ మిశ్రి")</f>
        <v>థ్రెడెడ్ మిశ్రి</v>
      </c>
      <c r="C881" s="4" t="str">
        <f>IFERROR(__xludf.DUMMYFUNCTION("GOOGLETRANSLATE(A881, ""en"", ""hi"")"),"धागे में पिरोई हुई मिश्री")</f>
        <v>धागे में पिरोई हुई मिश्री</v>
      </c>
      <c r="D881" s="5"/>
      <c r="E881" s="2" t="s">
        <v>4407</v>
      </c>
      <c r="F881" s="1">
        <v>2.0</v>
      </c>
      <c r="G881" s="3" t="s">
        <v>5989</v>
      </c>
    </row>
    <row r="882">
      <c r="A882" s="3" t="s">
        <v>5997</v>
      </c>
      <c r="B882" s="4" t="str">
        <f>IFERROR(__xludf.DUMMYFUNCTION("GOOGLETRANSLATE(A882, ""en"", ""te"")"),"రాక్ షుగర్")</f>
        <v>రాక్ షుగర్</v>
      </c>
      <c r="C882" s="4" t="str">
        <f>IFERROR(__xludf.DUMMYFUNCTION("GOOGLETRANSLATE(A882, ""en"", ""hi"")"),"मिश्री")</f>
        <v>मिश्री</v>
      </c>
      <c r="D882" s="2" t="s">
        <v>6000</v>
      </c>
      <c r="E882" s="2" t="s">
        <v>4407</v>
      </c>
      <c r="F882" s="1">
        <v>2.0</v>
      </c>
      <c r="G882" s="3" t="s">
        <v>5989</v>
      </c>
    </row>
    <row r="883">
      <c r="A883" s="3" t="s">
        <v>6002</v>
      </c>
      <c r="B883" s="4" t="str">
        <f>IFERROR(__xludf.DUMMYFUNCTION("GOOGLETRANSLATE(A883, ""en"", ""te"")"),"టుకారి పౌడర్")</f>
        <v>టుకారి పౌడర్</v>
      </c>
      <c r="C883" s="4" t="str">
        <f>IFERROR(__xludf.DUMMYFUNCTION("GOOGLETRANSLATE(A883, ""en"", ""hi"")"),"तुकारी पाउडर")</f>
        <v>तुकारी पाउडर</v>
      </c>
      <c r="D883" s="2" t="s">
        <v>3996</v>
      </c>
      <c r="E883" s="2" t="s">
        <v>442</v>
      </c>
      <c r="F883" s="1">
        <v>2.0</v>
      </c>
      <c r="G883" s="3" t="s">
        <v>5989</v>
      </c>
    </row>
    <row r="884">
      <c r="A884" s="3" t="s">
        <v>6007</v>
      </c>
      <c r="B884" s="4" t="str">
        <f>IFERROR(__xludf.DUMMYFUNCTION("GOOGLETRANSLATE(A884, ""en"", ""te"")"),"కతిరా గమ్")</f>
        <v>కతిరా గమ్</v>
      </c>
      <c r="C884" s="4" t="str">
        <f>IFERROR(__xludf.DUMMYFUNCTION("GOOGLETRANSLATE(A884, ""en"", ""hi"")"),"कटिरा गम")</f>
        <v>कटिरा गम</v>
      </c>
      <c r="D884" s="5"/>
      <c r="E884" s="2" t="s">
        <v>442</v>
      </c>
      <c r="F884" s="1">
        <v>2.0</v>
      </c>
      <c r="G884" s="3" t="s">
        <v>5989</v>
      </c>
    </row>
    <row r="885">
      <c r="A885" s="3" t="s">
        <v>6079</v>
      </c>
      <c r="B885" s="4" t="str">
        <f>IFERROR(__xludf.DUMMYFUNCTION("GOOGLETRANSLATE(A885, ""en"", ""te"")"),"గంథోడా పొడి")</f>
        <v>గంథోడా పొడి</v>
      </c>
      <c r="C885" s="4" t="str">
        <f>IFERROR(__xludf.DUMMYFUNCTION("GOOGLETRANSLATE(A885, ""en"", ""hi"")"),"गंथोडा पाउडर")</f>
        <v>गंथोडा पाउडर</v>
      </c>
      <c r="D885" s="5"/>
      <c r="E885" s="2" t="s">
        <v>442</v>
      </c>
      <c r="F885" s="1">
        <v>2.0</v>
      </c>
      <c r="G885" s="3" t="s">
        <v>5989</v>
      </c>
    </row>
    <row r="886">
      <c r="A886" s="3" t="s">
        <v>6085</v>
      </c>
      <c r="B886" s="4" t="str">
        <f>IFERROR(__xludf.DUMMYFUNCTION("GOOGLETRANSLATE(A886, ""en"", ""te"")"),"ఆరా ఎడిబుల్ గమ్")</f>
        <v>ఆరా ఎడిబుల్ గమ్</v>
      </c>
      <c r="C886" s="4" t="str">
        <f>IFERROR(__xludf.DUMMYFUNCTION("GOOGLETRANSLATE(A886, ""en"", ""hi"")"),"आरा एडिबल गम")</f>
        <v>आरा एडिबल गम</v>
      </c>
      <c r="D886" s="5"/>
      <c r="E886" s="2" t="s">
        <v>442</v>
      </c>
      <c r="F886" s="1">
        <v>2.0</v>
      </c>
      <c r="G886" s="3" t="s">
        <v>5989</v>
      </c>
    </row>
    <row r="887">
      <c r="A887" s="3" t="s">
        <v>5759</v>
      </c>
      <c r="B887" s="4" t="str">
        <f>IFERROR(__xludf.DUMMYFUNCTION("GOOGLETRANSLATE(A887, ""en"", ""te"")"),"షాన్ వెల్లుల్లి ఊరగాయ")</f>
        <v>షాన్ వెల్లుల్లి ఊరగాయ</v>
      </c>
      <c r="C887" s="4" t="str">
        <f>IFERROR(__xludf.DUMMYFUNCTION("GOOGLETRANSLATE(A887, ""en"", ""hi"")"),"शान लहसुन का अचार")</f>
        <v>शान लहसुन का अचार</v>
      </c>
      <c r="D887" s="2" t="s">
        <v>5760</v>
      </c>
      <c r="E887" s="2" t="s">
        <v>996</v>
      </c>
      <c r="F887" s="1">
        <v>2.0</v>
      </c>
      <c r="G887" s="3" t="s">
        <v>5989</v>
      </c>
    </row>
    <row r="888">
      <c r="A888" s="3" t="s">
        <v>6086</v>
      </c>
      <c r="B888" s="4" t="str">
        <f>IFERROR(__xludf.DUMMYFUNCTION("GOOGLETRANSLATE(A888, ""en"", ""te"")"),"డీప్ ఇన్‌స్టంట్ మిక్స్ రవ్వ ఇడ్లీ")</f>
        <v>డీప్ ఇన్‌స్టంట్ మిక్స్ రవ్వ ఇడ్లీ</v>
      </c>
      <c r="C888" s="4" t="str">
        <f>IFERROR(__xludf.DUMMYFUNCTION("GOOGLETRANSLATE(A888, ""en"", ""hi"")"),"डीप इंस्टेंट मिक्स रवा इडली")</f>
        <v>डीप इंस्टेंट मिक्स रवा इडली</v>
      </c>
      <c r="D888" s="2" t="s">
        <v>1356</v>
      </c>
      <c r="E888" s="2" t="s">
        <v>940</v>
      </c>
      <c r="F888" s="1">
        <v>2.0</v>
      </c>
      <c r="G888" s="3" t="s">
        <v>6087</v>
      </c>
    </row>
    <row r="889">
      <c r="A889" s="3" t="s">
        <v>6088</v>
      </c>
      <c r="B889" s="4" t="str">
        <f>IFERROR(__xludf.DUMMYFUNCTION("GOOGLETRANSLATE(A889, ""en"", ""te"")"),"చిటాలే ఫుడ్స్ గులాబ్ జామున్")</f>
        <v>చిటాలే ఫుడ్స్ గులాబ్ జామున్</v>
      </c>
      <c r="C889" s="4" t="str">
        <f>IFERROR(__xludf.DUMMYFUNCTION("GOOGLETRANSLATE(A889, ""en"", ""hi"")"),"चिताले फूड्स गुलाब जामुन")</f>
        <v>चिताले फूड्स गुलाब जामुन</v>
      </c>
      <c r="D889" s="5"/>
      <c r="E889" s="2" t="s">
        <v>3438</v>
      </c>
      <c r="F889" s="1">
        <v>2.0</v>
      </c>
      <c r="G889" s="3" t="s">
        <v>6087</v>
      </c>
    </row>
    <row r="890">
      <c r="A890" s="3" t="s">
        <v>5850</v>
      </c>
      <c r="B890" s="4" t="str">
        <f>IFERROR(__xludf.DUMMYFUNCTION("GOOGLETRANSLATE(A890, ""en"", ""te"")"),"దీప్ ఖట్టా మిఠా పోహా సేవ్")</f>
        <v>దీప్ ఖట్టా మిఠా పోహా సేవ్</v>
      </c>
      <c r="C890" s="4" t="str">
        <f>IFERROR(__xludf.DUMMYFUNCTION("GOOGLETRANSLATE(A890, ""en"", ""hi"")"),"दीप खट्टा मीठा पोहा सेव")</f>
        <v>दीप खट्टा मीठा पोहा सेव</v>
      </c>
      <c r="D890" s="5"/>
      <c r="E890" s="2" t="s">
        <v>2649</v>
      </c>
      <c r="F890" s="1">
        <v>2.0</v>
      </c>
      <c r="G890" s="3" t="s">
        <v>6087</v>
      </c>
    </row>
    <row r="891">
      <c r="A891" s="3" t="s">
        <v>5849</v>
      </c>
      <c r="B891" s="4" t="str">
        <f>IFERROR(__xludf.DUMMYFUNCTION("GOOGLETRANSLATE(A891, ""en"", ""te"")"),"డీప్ వెర్మిసెల్లి ఉప్మా")</f>
        <v>డీప్ వెర్మిసెల్లి ఉప్మా</v>
      </c>
      <c r="C891" s="4" t="str">
        <f>IFERROR(__xludf.DUMMYFUNCTION("GOOGLETRANSLATE(A891, ""en"", ""hi"")"),"डीप वर्मीसेली उपमा")</f>
        <v>डीप वर्मीसेली उपमा</v>
      </c>
      <c r="D891" s="5"/>
      <c r="E891" s="2" t="s">
        <v>2649</v>
      </c>
      <c r="F891" s="1">
        <v>2.0</v>
      </c>
      <c r="G891" s="3" t="s">
        <v>6087</v>
      </c>
    </row>
    <row r="892">
      <c r="A892" s="3" t="s">
        <v>6089</v>
      </c>
      <c r="B892" s="4" t="str">
        <f>IFERROR(__xludf.DUMMYFUNCTION("GOOGLETRANSLATE(A892, ""en"", ""te"")"),"హబానెరో సాస్")</f>
        <v>హబానెరో సాస్</v>
      </c>
      <c r="C892" s="4" t="str">
        <f>IFERROR(__xludf.DUMMYFUNCTION("GOOGLETRANSLATE(A892, ""en"", ""hi"")"),"हबानेरो सॉस")</f>
        <v>हबानेरो सॉस</v>
      </c>
      <c r="D892" s="5"/>
      <c r="E892" s="2" t="s">
        <v>946</v>
      </c>
      <c r="F892" s="1">
        <v>2.0</v>
      </c>
      <c r="G892" s="3" t="s">
        <v>6090</v>
      </c>
    </row>
    <row r="893">
      <c r="A893" s="3" t="s">
        <v>5853</v>
      </c>
      <c r="B893" s="4" t="str">
        <f>IFERROR(__xludf.DUMMYFUNCTION("GOOGLETRANSLATE(A893, ""en"", ""te"")"),"చింగ్స్ సీక్రెట్ షెజ్వాన్ చట్నీ")</f>
        <v>చింగ్స్ సీక్రెట్ షెజ్వాన్ చట్నీ</v>
      </c>
      <c r="C893" s="4" t="str">
        <f>IFERROR(__xludf.DUMMYFUNCTION("GOOGLETRANSLATE(A893, ""en"", ""hi"")"),"चिंग्स सीक्रेट शेज़वान चटनी")</f>
        <v>चिंग्स सीक्रेट शेज़वान चटनी</v>
      </c>
      <c r="D893" s="5"/>
      <c r="E893" s="2" t="s">
        <v>946</v>
      </c>
      <c r="F893" s="1">
        <v>2.0</v>
      </c>
      <c r="G893" s="3" t="s">
        <v>6090</v>
      </c>
    </row>
    <row r="894">
      <c r="A894" s="3" t="s">
        <v>5751</v>
      </c>
      <c r="B894" s="4" t="str">
        <f>IFERROR(__xludf.DUMMYFUNCTION("GOOGLETRANSLATE(A894, ""en"", ""te"")"),"చింగ్ యొక్క రహస్య ఎర్ర మిరప సాస్")</f>
        <v>చింగ్ యొక్క రహస్య ఎర్ర మిరప సాస్</v>
      </c>
      <c r="C894" s="4" t="str">
        <f>IFERROR(__xludf.DUMMYFUNCTION("GOOGLETRANSLATE(A894, ""en"", ""hi"")"),"चिंग की गुप्त लाल मिर्च की चटनी")</f>
        <v>चिंग की गुप्त लाल मिर्च की चटनी</v>
      </c>
      <c r="D894" s="2" t="s">
        <v>1636</v>
      </c>
      <c r="E894" s="2" t="s">
        <v>946</v>
      </c>
      <c r="F894" s="1">
        <v>2.0</v>
      </c>
      <c r="G894" s="3" t="s">
        <v>6090</v>
      </c>
    </row>
    <row r="895">
      <c r="A895" s="3" t="s">
        <v>6091</v>
      </c>
      <c r="B895" s="4" t="str">
        <f>IFERROR(__xludf.DUMMYFUNCTION("GOOGLETRANSLATE(A895, ""en"", ""te"")"),"ప్రియా కొత్తిమీర ఊరగాయ")</f>
        <v>ప్రియా కొత్తిమీర ఊరగాయ</v>
      </c>
      <c r="C895" s="4" t="str">
        <f>IFERROR(__xludf.DUMMYFUNCTION("GOOGLETRANSLATE(A895, ""en"", ""hi"")"),"प्रिया धनिया का अचार")</f>
        <v>प्रिया धनिया का अचार</v>
      </c>
      <c r="D895" s="2" t="s">
        <v>1609</v>
      </c>
      <c r="E895" s="2" t="s">
        <v>996</v>
      </c>
      <c r="F895" s="1">
        <v>2.0</v>
      </c>
      <c r="G895" s="3" t="s">
        <v>5854</v>
      </c>
    </row>
    <row r="896">
      <c r="A896" s="3" t="s">
        <v>6092</v>
      </c>
      <c r="B896" s="4" t="str">
        <f>IFERROR(__xludf.DUMMYFUNCTION("GOOGLETRANSLATE(A896, ""en"", ""te"")"),"డీప్ అచార్ చుండో పచ్చడి")</f>
        <v>డీప్ అచార్ చుండో పచ్చడి</v>
      </c>
      <c r="C896" s="4" t="str">
        <f>IFERROR(__xludf.DUMMYFUNCTION("GOOGLETRANSLATE(A896, ""en"", ""hi"")"),"दीप अचार चुंडो अचार")</f>
        <v>दीप अचार चुंडो अचार</v>
      </c>
      <c r="D896" s="5"/>
      <c r="E896" s="2" t="s">
        <v>996</v>
      </c>
      <c r="F896" s="1">
        <v>2.0</v>
      </c>
      <c r="G896" s="3" t="s">
        <v>5854</v>
      </c>
    </row>
    <row r="897">
      <c r="A897" s="3" t="s">
        <v>6271</v>
      </c>
      <c r="B897" s="4" t="str">
        <f>IFERROR(__xludf.DUMMYFUNCTION("GOOGLETRANSLATE(A897, ""en"", ""te"")"),"డీప్ అచార్ గార్లిక్ పికిల్")</f>
        <v>డీప్ అచార్ గార్లిక్ పికిల్</v>
      </c>
      <c r="C897" s="4" t="str">
        <f>IFERROR(__xludf.DUMMYFUNCTION("GOOGLETRANSLATE(A897, ""en"", ""hi"")"),"दीप अचार लहसुन का अचार")</f>
        <v>दीप अचार लहसुन का अचार</v>
      </c>
      <c r="D897" s="2" t="s">
        <v>2604</v>
      </c>
      <c r="E897" s="2" t="s">
        <v>996</v>
      </c>
      <c r="F897" s="1">
        <v>2.0</v>
      </c>
      <c r="G897" s="3" t="s">
        <v>5854</v>
      </c>
    </row>
    <row r="898">
      <c r="A898" s="3" t="s">
        <v>6292</v>
      </c>
      <c r="B898" s="4" t="str">
        <f>IFERROR(__xludf.DUMMYFUNCTION("GOOGLETRANSLATE(A898, ""en"", ""te"")"),"స్వాద్ స్వీట్ మఖానా")</f>
        <v>స్వాద్ స్వీట్ మఖానా</v>
      </c>
      <c r="C898" s="4" t="str">
        <f>IFERROR(__xludf.DUMMYFUNCTION("GOOGLETRANSLATE(A898, ""en"", ""hi"")"),"स्वाद स्वीट मखाना")</f>
        <v>स्वाद स्वीट मखाना</v>
      </c>
      <c r="D898" s="5"/>
      <c r="E898" s="2" t="s">
        <v>2700</v>
      </c>
      <c r="F898" s="1">
        <v>2.0</v>
      </c>
      <c r="G898" s="3" t="s">
        <v>5989</v>
      </c>
    </row>
    <row r="899">
      <c r="A899" s="3" t="s">
        <v>6293</v>
      </c>
      <c r="B899" s="4" t="str">
        <f>IFERROR(__xludf.DUMMYFUNCTION("GOOGLETRANSLATE(A899, ""en"", ""te"")"),"జైకా థ్రెడెడ్ మిశ్రి")</f>
        <v>జైకా థ్రెడెడ్ మిశ్రి</v>
      </c>
      <c r="C899" s="4" t="str">
        <f>IFERROR(__xludf.DUMMYFUNCTION("GOOGLETRANSLATE(A899, ""en"", ""hi"")"),"ज़ाइका थ्रेडेड मिश्री")</f>
        <v>ज़ाइका थ्रेडेड मिश्री</v>
      </c>
      <c r="D899" s="5"/>
      <c r="E899" s="2" t="s">
        <v>4407</v>
      </c>
      <c r="F899" s="1">
        <v>2.0</v>
      </c>
      <c r="G899" s="3" t="s">
        <v>5859</v>
      </c>
    </row>
    <row r="900">
      <c r="A900" s="3" t="s">
        <v>6294</v>
      </c>
      <c r="B900" s="4" t="str">
        <f>IFERROR(__xludf.DUMMYFUNCTION("GOOGLETRANSLATE(A900, ""en"", ""te"")"),"రాఘవ్ రాక్ షుగర్")</f>
        <v>రాఘవ్ రాక్ షుగర్</v>
      </c>
      <c r="C900" s="4" t="str">
        <f>IFERROR(__xludf.DUMMYFUNCTION("GOOGLETRANSLATE(A900, ""en"", ""hi"")"),"राघव रॉक शुगर")</f>
        <v>राघव रॉक शुगर</v>
      </c>
      <c r="D900" s="5"/>
      <c r="E900" s="2" t="s">
        <v>4407</v>
      </c>
      <c r="F900" s="1">
        <v>2.0</v>
      </c>
      <c r="G900" s="3" t="s">
        <v>5859</v>
      </c>
    </row>
    <row r="901">
      <c r="A901" s="3" t="s">
        <v>6295</v>
      </c>
      <c r="B901" s="4" t="str">
        <f>IFERROR(__xludf.DUMMYFUNCTION("GOOGLETRANSLATE(A901, ""en"", ""te"")"),"భక్తి తినదగిన కర్పూరం")</f>
        <v>భక్తి తినదగిన కర్పూరం</v>
      </c>
      <c r="C901" s="4" t="str">
        <f>IFERROR(__xludf.DUMMYFUNCTION("GOOGLETRANSLATE(A901, ""en"", ""hi"")"),"भक्ति खाद्य कपूर")</f>
        <v>भक्ति खाद्य कपूर</v>
      </c>
      <c r="D901" s="5"/>
      <c r="E901" s="2" t="s">
        <v>48</v>
      </c>
      <c r="F901" s="1">
        <v>2.0</v>
      </c>
      <c r="G901" s="3" t="s">
        <v>5989</v>
      </c>
    </row>
    <row r="902">
      <c r="A902" s="3" t="s">
        <v>6296</v>
      </c>
      <c r="B902" s="4" t="str">
        <f>IFERROR(__xludf.DUMMYFUNCTION("GOOGLETRANSLATE(A902, ""en"", ""te"")"),"ఉత్తమ్ ఖమన్ ఇన్‌స్టంట్ మిక్స్")</f>
        <v>ఉత్తమ్ ఖమన్ ఇన్‌స్టంట్ మిక్స్</v>
      </c>
      <c r="C902" s="4" t="str">
        <f>IFERROR(__xludf.DUMMYFUNCTION("GOOGLETRANSLATE(A902, ""en"", ""hi"")"),"उत्तम खमन इंस्टेंट मिक्स")</f>
        <v>उत्तम खमन इंस्टेंट मिक्स</v>
      </c>
      <c r="D902" s="5"/>
      <c r="E902" s="2" t="s">
        <v>940</v>
      </c>
      <c r="F902" s="1">
        <v>2.0</v>
      </c>
      <c r="G902" s="3" t="s">
        <v>479</v>
      </c>
    </row>
    <row r="903">
      <c r="A903" s="3" t="s">
        <v>6297</v>
      </c>
      <c r="B903" s="4" t="str">
        <f>IFERROR(__xludf.DUMMYFUNCTION("GOOGLETRANSLATE(A903, ""en"", ""te"")"),"డీప్ ధోక్లా ఇన్‌స్టంట్ మిక్స్")</f>
        <v>డీప్ ధోక్లా ఇన్‌స్టంట్ మిక్స్</v>
      </c>
      <c r="C903" s="4" t="str">
        <f>IFERROR(__xludf.DUMMYFUNCTION("GOOGLETRANSLATE(A903, ""en"", ""hi"")"),"दीप ढोकला इंस्टेंट मिक्स")</f>
        <v>दीप ढोकला इंस्टेंट मिक्स</v>
      </c>
      <c r="D903" s="5"/>
      <c r="E903" s="2" t="s">
        <v>940</v>
      </c>
      <c r="F903" s="1">
        <v>2.0</v>
      </c>
      <c r="G903" s="3" t="s">
        <v>479</v>
      </c>
    </row>
    <row r="904">
      <c r="A904" s="3" t="s">
        <v>6298</v>
      </c>
      <c r="B904" s="4" t="str">
        <f>IFERROR(__xludf.DUMMYFUNCTION("GOOGLETRANSLATE(A904, ""en"", ""te"")"),"దీప్ ఖమన్ ఇన్‌స్టంట్ మిక్స్")</f>
        <v>దీప్ ఖమన్ ఇన్‌స్టంట్ మిక్స్</v>
      </c>
      <c r="C904" s="4" t="str">
        <f>IFERROR(__xludf.DUMMYFUNCTION("GOOGLETRANSLATE(A904, ""en"", ""hi"")"),"दीप खमन इंस्टेंट मिक्स")</f>
        <v>दीप खमन इंस्टेंट मिक्स</v>
      </c>
      <c r="D904" s="2" t="s">
        <v>6299</v>
      </c>
      <c r="E904" s="2" t="s">
        <v>1294</v>
      </c>
      <c r="F904" s="1">
        <v>2.0</v>
      </c>
      <c r="G904" s="3" t="s">
        <v>479</v>
      </c>
    </row>
    <row r="905">
      <c r="A905" s="3" t="s">
        <v>6300</v>
      </c>
      <c r="B905" s="4" t="str">
        <f>IFERROR(__xludf.DUMMYFUNCTION("GOOGLETRANSLATE(A905, ""en"", ""te"")"),"దీప్ రవ్వ ఇడ్లీ ఇన్‌స్టంట్ మిక్స్")</f>
        <v>దీప్ రవ్వ ఇడ్లీ ఇన్‌స్టంట్ మిక్స్</v>
      </c>
      <c r="C905" s="4" t="str">
        <f>IFERROR(__xludf.DUMMYFUNCTION("GOOGLETRANSLATE(A905, ""en"", ""hi"")"),"दीप रवा इडली इंस्टेंट मिक्स")</f>
        <v>दीप रवा इडली इंस्टेंट मिक्स</v>
      </c>
      <c r="D905" s="2" t="s">
        <v>6302</v>
      </c>
      <c r="E905" s="2" t="s">
        <v>2649</v>
      </c>
      <c r="F905" s="1">
        <v>2.0</v>
      </c>
      <c r="G905" s="3" t="s">
        <v>479</v>
      </c>
    </row>
    <row r="906">
      <c r="A906" s="3" t="s">
        <v>6303</v>
      </c>
      <c r="B906" s="4" t="str">
        <f>IFERROR(__xludf.DUMMYFUNCTION("GOOGLETRANSLATE(A906, ""en"", ""te"")"),"స్వాద్ హాట్ &amp; స్వీట్ చట్నీ")</f>
        <v>స్వాద్ హాట్ &amp; స్వీట్ చట్నీ</v>
      </c>
      <c r="C906" s="4" t="str">
        <f>IFERROR(__xludf.DUMMYFUNCTION("GOOGLETRANSLATE(A906, ""en"", ""hi"")"),"स्वाद हॉट एंड स्वीट चटनी")</f>
        <v>स्वाद हॉट एंड स्वीट चटनी</v>
      </c>
      <c r="D906" s="2" t="s">
        <v>6306</v>
      </c>
      <c r="E906" s="2" t="s">
        <v>996</v>
      </c>
      <c r="F906" s="1">
        <v>2.0</v>
      </c>
      <c r="G906" s="3" t="s">
        <v>478</v>
      </c>
    </row>
    <row r="907">
      <c r="A907" s="3" t="s">
        <v>6308</v>
      </c>
      <c r="B907" s="4" t="str">
        <f>IFERROR(__xludf.DUMMYFUNCTION("GOOGLETRANSLATE(A907, ""en"", ""te"")"),"స్వాద్ పానీ పూరీ కాన్సంట్రేట్")</f>
        <v>స్వాద్ పానీ పూరీ కాన్సంట్రేట్</v>
      </c>
      <c r="C907" s="4" t="str">
        <f>IFERROR(__xludf.DUMMYFUNCTION("GOOGLETRANSLATE(A907, ""en"", ""hi"")"),"स्वाद पानी पूरी कॉन्सेंट्रेट")</f>
        <v>स्वाद पानी पूरी कॉन्सेंट्रेट</v>
      </c>
      <c r="D907" s="2" t="s">
        <v>1304</v>
      </c>
      <c r="E907" s="2" t="s">
        <v>946</v>
      </c>
      <c r="F907" s="1">
        <v>2.0</v>
      </c>
      <c r="G907" s="3" t="s">
        <v>478</v>
      </c>
    </row>
    <row r="908">
      <c r="A908" s="3" t="s">
        <v>6313</v>
      </c>
      <c r="B908" s="4" t="str">
        <f>IFERROR(__xludf.DUMMYFUNCTION("GOOGLETRANSLATE(A908, ""en"", ""te"")"),"ఫైర్ హబానెరో గ్రీన్ హబానెరో")</f>
        <v>ఫైర్ హబానెరో గ్రీన్ హబానెరో</v>
      </c>
      <c r="C908" s="4" t="str">
        <f>IFERROR(__xludf.DUMMYFUNCTION("GOOGLETRANSLATE(A908, ""en"", ""hi"")"),"फायर हबानेरो ग्रीन हबानेरो")</f>
        <v>फायर हबानेरो ग्रीन हबानेरो</v>
      </c>
      <c r="D908" s="5"/>
      <c r="E908" s="2" t="s">
        <v>442</v>
      </c>
      <c r="F908" s="1">
        <v>2.0</v>
      </c>
      <c r="G908" s="3" t="s">
        <v>478</v>
      </c>
    </row>
    <row r="909">
      <c r="A909" s="3" t="s">
        <v>6319</v>
      </c>
      <c r="B909" s="4" t="str">
        <f>IFERROR(__xludf.DUMMYFUNCTION("GOOGLETRANSLATE(A909, ""en"", ""te"")"),"ఫైర్ హబానెరో స్పైస్")</f>
        <v>ఫైర్ హబానెరో స్పైస్</v>
      </c>
      <c r="C909" s="4" t="str">
        <f>IFERROR(__xludf.DUMMYFUNCTION("GOOGLETRANSLATE(A909, ""en"", ""hi"")"),"फायर हबानेरो स्पाइस")</f>
        <v>फायर हबानेरो स्पाइस</v>
      </c>
      <c r="D909" s="2" t="s">
        <v>6332</v>
      </c>
      <c r="E909" s="2" t="s">
        <v>442</v>
      </c>
      <c r="F909" s="1">
        <v>2.0</v>
      </c>
      <c r="G909" s="3" t="s">
        <v>478</v>
      </c>
    </row>
    <row r="910">
      <c r="A910" s="3" t="s">
        <v>6334</v>
      </c>
      <c r="B910" s="4" t="str">
        <f>IFERROR(__xludf.DUMMYFUNCTION("GOOGLETRANSLATE(A910, ""en"", ""te"")"),"హుయ్ ఫోంగ్ చిల్లీ గార్లిక్ సాస్")</f>
        <v>హుయ్ ఫోంగ్ చిల్లీ గార్లిక్ సాస్</v>
      </c>
      <c r="C910" s="4" t="str">
        <f>IFERROR(__xludf.DUMMYFUNCTION("GOOGLETRANSLATE(A910, ""en"", ""hi"")"),"हुय फोंग चिली गार्लिक सॉस")</f>
        <v>हुय फोंग चिली गार्लिक सॉस</v>
      </c>
      <c r="D910" s="2" t="s">
        <v>6339</v>
      </c>
      <c r="E910" s="2" t="s">
        <v>946</v>
      </c>
      <c r="F910" s="1">
        <v>2.0</v>
      </c>
      <c r="G910" s="3" t="s">
        <v>478</v>
      </c>
    </row>
    <row r="911">
      <c r="A911" s="3" t="s">
        <v>6341</v>
      </c>
      <c r="B911" s="4" t="str">
        <f>IFERROR(__xludf.DUMMYFUNCTION("GOOGLETRANSLATE(A911, ""en"", ""te"")"),"షెజ్వాన్ చట్నీ")</f>
        <v>షెజ్వాన్ చట్నీ</v>
      </c>
      <c r="C911" s="4" t="str">
        <f>IFERROR(__xludf.DUMMYFUNCTION("GOOGLETRANSLATE(A911, ""en"", ""hi"")"),"शेज़वान चटनी")</f>
        <v>शेज़वान चटनी</v>
      </c>
      <c r="D911" s="5"/>
      <c r="E911" s="2" t="s">
        <v>946</v>
      </c>
      <c r="F911" s="1">
        <v>2.0</v>
      </c>
      <c r="G911" s="3" t="s">
        <v>478</v>
      </c>
    </row>
    <row r="912">
      <c r="A912" s="3" t="s">
        <v>6345</v>
      </c>
      <c r="B912" s="4" t="str">
        <f>IFERROR(__xludf.DUMMYFUNCTION("GOOGLETRANSLATE(A912, ""en"", ""te"")"),"ప్రియా కరివేపాకు పొడి")</f>
        <v>ప్రియా కరివేపాకు పొడి</v>
      </c>
      <c r="C912" s="4" t="str">
        <f>IFERROR(__xludf.DUMMYFUNCTION("GOOGLETRANSLATE(A912, ""en"", ""hi"")"),"प्रिया करी पत्ता पाउडर")</f>
        <v>प्रिया करी पत्ता पाउडर</v>
      </c>
      <c r="D912" s="2" t="s">
        <v>6349</v>
      </c>
      <c r="E912" s="2" t="s">
        <v>442</v>
      </c>
      <c r="F912" s="1">
        <v>2.0</v>
      </c>
      <c r="G912" s="3" t="s">
        <v>477</v>
      </c>
    </row>
    <row r="913">
      <c r="A913" s="3" t="s">
        <v>6352</v>
      </c>
      <c r="B913" s="4" t="str">
        <f>IFERROR(__xludf.DUMMYFUNCTION("GOOGLETRANSLATE(A913, ""en"", ""te"")"),"ప్రియా తీపి అల్లం ఊరగాయ")</f>
        <v>ప్రియా తీపి అల్లం ఊరగాయ</v>
      </c>
      <c r="C913" s="4" t="str">
        <f>IFERROR(__xludf.DUMMYFUNCTION("GOOGLETRANSLATE(A913, ""en"", ""hi"")"),"प्रिया मीठा अदरक का अचार")</f>
        <v>प्रिया मीठा अदरक का अचार</v>
      </c>
      <c r="D913" s="2" t="s">
        <v>6356</v>
      </c>
      <c r="E913" s="2" t="s">
        <v>996</v>
      </c>
      <c r="F913" s="1">
        <v>2.0</v>
      </c>
      <c r="G913" s="3" t="s">
        <v>477</v>
      </c>
    </row>
    <row r="914">
      <c r="A914" s="3" t="s">
        <v>6358</v>
      </c>
      <c r="B914" s="4" t="str">
        <f>IFERROR(__xludf.DUMMYFUNCTION("GOOGLETRANSLATE(A914, ""en"", ""te"")"),"ప్రియా అల్లం ఊరగాయ")</f>
        <v>ప్రియా అల్లం ఊరగాయ</v>
      </c>
      <c r="C914" s="4" t="str">
        <f>IFERROR(__xludf.DUMMYFUNCTION("GOOGLETRANSLATE(A914, ""en"", ""hi"")"),"प्रिया अदरक का अचार")</f>
        <v>प्रिया अदरक का अचार</v>
      </c>
      <c r="D914" s="2" t="s">
        <v>6356</v>
      </c>
      <c r="E914" s="2" t="s">
        <v>996</v>
      </c>
      <c r="F914" s="1">
        <v>2.0</v>
      </c>
      <c r="G914" s="3" t="s">
        <v>477</v>
      </c>
    </row>
    <row r="915">
      <c r="A915" s="3" t="s">
        <v>6429</v>
      </c>
      <c r="B915" s="4" t="str">
        <f>IFERROR(__xludf.DUMMYFUNCTION("GOOGLETRANSLATE(A915, ""en"", ""te"")"),"స్వాద్ ఆల్‌స్పైస్ హోల్")</f>
        <v>స్వాద్ ఆల్‌స్పైస్ హోల్</v>
      </c>
      <c r="C915" s="4" t="str">
        <f>IFERROR(__xludf.DUMMYFUNCTION("GOOGLETRANSLATE(A915, ""en"", ""hi"")"),"स्वाद ऑलस्पाइस साबुत")</f>
        <v>स्वाद ऑलस्पाइस साबुत</v>
      </c>
      <c r="D915" s="5"/>
      <c r="E915" s="2" t="s">
        <v>442</v>
      </c>
      <c r="F915" s="1">
        <v>2.0</v>
      </c>
      <c r="G915" s="3" t="s">
        <v>460</v>
      </c>
    </row>
    <row r="916">
      <c r="A916" s="3" t="s">
        <v>6435</v>
      </c>
      <c r="B916" s="4" t="str">
        <f>IFERROR(__xludf.DUMMYFUNCTION("GOOGLETRANSLATE(A916, ""en"", ""te"")"),"ఖీల్ పటాషా")</f>
        <v>ఖీల్ పటాషా</v>
      </c>
      <c r="C916" s="4" t="str">
        <f>IFERROR(__xludf.DUMMYFUNCTION("GOOGLETRANSLATE(A916, ""en"", ""hi"")"),"कील पताशा")</f>
        <v>कील पताशा</v>
      </c>
      <c r="D916" s="5"/>
      <c r="E916" s="2" t="s">
        <v>1038</v>
      </c>
      <c r="F916" s="1">
        <v>2.0</v>
      </c>
      <c r="G916" s="3" t="s">
        <v>460</v>
      </c>
    </row>
    <row r="917">
      <c r="A917" s="3" t="s">
        <v>6292</v>
      </c>
      <c r="B917" s="4" t="str">
        <f>IFERROR(__xludf.DUMMYFUNCTION("GOOGLETRANSLATE(A917, ""en"", ""te"")"),"స్వాద్ స్వీట్ మఖానా")</f>
        <v>స్వాద్ స్వీట్ మఖానా</v>
      </c>
      <c r="C917" s="4" t="str">
        <f>IFERROR(__xludf.DUMMYFUNCTION("GOOGLETRANSLATE(A917, ""en"", ""hi"")"),"स्वाद स्वीट मखाना")</f>
        <v>स्वाद स्वीट मखाना</v>
      </c>
      <c r="D917" s="5"/>
      <c r="E917" s="2" t="s">
        <v>2700</v>
      </c>
      <c r="F917" s="1">
        <v>2.0</v>
      </c>
      <c r="G917" s="3" t="s">
        <v>460</v>
      </c>
    </row>
    <row r="918">
      <c r="A918" s="3" t="s">
        <v>6295</v>
      </c>
      <c r="B918" s="4" t="str">
        <f>IFERROR(__xludf.DUMMYFUNCTION("GOOGLETRANSLATE(A918, ""en"", ""te"")"),"భక్తి తినదగిన కర్పూరం")</f>
        <v>భక్తి తినదగిన కర్పూరం</v>
      </c>
      <c r="C918" s="4" t="str">
        <f>IFERROR(__xludf.DUMMYFUNCTION("GOOGLETRANSLATE(A918, ""en"", ""hi"")"),"भक्ति खाद्य कपूर")</f>
        <v>भक्ति खाद्य कपूर</v>
      </c>
      <c r="D918" s="5"/>
      <c r="E918" s="2" t="s">
        <v>48</v>
      </c>
      <c r="F918" s="1">
        <v>2.0</v>
      </c>
      <c r="G918" s="3" t="s">
        <v>460</v>
      </c>
    </row>
    <row r="919">
      <c r="A919" s="3" t="s">
        <v>3279</v>
      </c>
      <c r="B919" s="4" t="str">
        <f>IFERROR(__xludf.DUMMYFUNCTION("GOOGLETRANSLATE(A919, ""en"", ""te"")"),"గిట్స్ రవ్వ ఇడ్లీ మిక్స్")</f>
        <v>గిట్స్ రవ్వ ఇడ్లీ మిక్స్</v>
      </c>
      <c r="C919" s="4" t="str">
        <f>IFERROR(__xludf.DUMMYFUNCTION("GOOGLETRANSLATE(A919, ""en"", ""hi"")"),"गिट्स रवा इडली मिक्स")</f>
        <v>गिट्स रवा इडली मिक्स</v>
      </c>
      <c r="D919" s="2" t="s">
        <v>1356</v>
      </c>
      <c r="E919" s="2" t="s">
        <v>940</v>
      </c>
      <c r="F919" s="1">
        <v>2.0</v>
      </c>
      <c r="G919" s="3" t="s">
        <v>6452</v>
      </c>
    </row>
    <row r="920">
      <c r="A920" s="3" t="s">
        <v>6454</v>
      </c>
      <c r="B920" s="4" t="str">
        <f>IFERROR(__xludf.DUMMYFUNCTION("GOOGLETRANSLATE(A920, ""en"", ""te"")"),"గిట్స్ రైస్ ఇడ్లీ మిక్స్")</f>
        <v>గిట్స్ రైస్ ఇడ్లీ మిక్స్</v>
      </c>
      <c r="C920" s="4" t="str">
        <f>IFERROR(__xludf.DUMMYFUNCTION("GOOGLETRANSLATE(A920, ""en"", ""hi"")"),"गिट्स राइस इडली मिक्स")</f>
        <v>गिट्स राइस इडली मिक्स</v>
      </c>
      <c r="D920" s="2" t="s">
        <v>18</v>
      </c>
      <c r="E920" s="2" t="s">
        <v>940</v>
      </c>
      <c r="F920" s="1">
        <v>2.0</v>
      </c>
      <c r="G920" s="3" t="s">
        <v>6452</v>
      </c>
    </row>
    <row r="921">
      <c r="A921" s="3" t="s">
        <v>6459</v>
      </c>
      <c r="B921" s="4" t="str">
        <f>IFERROR(__xludf.DUMMYFUNCTION("GOOGLETRANSLATE(A921, ""en"", ""te"")"),"గిట్స్ దోస మిక్స్")</f>
        <v>గిట్స్ దోస మిక్స్</v>
      </c>
      <c r="C921" s="4" t="str">
        <f>IFERROR(__xludf.DUMMYFUNCTION("GOOGLETRANSLATE(A921, ""en"", ""hi"")"),"गिट्स डोसा मिक्स")</f>
        <v>गिट्स डोसा मिक्स</v>
      </c>
      <c r="D921" s="2" t="s">
        <v>6463</v>
      </c>
      <c r="E921" s="2" t="s">
        <v>940</v>
      </c>
      <c r="F921" s="1">
        <v>2.0</v>
      </c>
      <c r="G921" s="3" t="s">
        <v>6452</v>
      </c>
    </row>
    <row r="922">
      <c r="A922" s="3" t="s">
        <v>6465</v>
      </c>
      <c r="B922" s="4" t="str">
        <f>IFERROR(__xludf.DUMMYFUNCTION("GOOGLETRANSLATE(A922, ""en"", ""te"")"),"గిట్స్ హ్యాండ్వో స్నాక్ మిక్స్")</f>
        <v>గిట్స్ హ్యాండ్వో స్నాక్ మిక్స్</v>
      </c>
      <c r="C922" s="4" t="str">
        <f>IFERROR(__xludf.DUMMYFUNCTION("GOOGLETRANSLATE(A922, ""en"", ""hi"")"),"गिट्स हैंडवो स्नैक मिक्स")</f>
        <v>गिट्स हैंडवो स्नैक मिक्स</v>
      </c>
      <c r="D922" s="2" t="s">
        <v>6469</v>
      </c>
      <c r="E922" s="2" t="s">
        <v>1294</v>
      </c>
      <c r="F922" s="1">
        <v>2.0</v>
      </c>
      <c r="G922" s="3" t="s">
        <v>6452</v>
      </c>
    </row>
    <row r="923">
      <c r="A923" s="3" t="s">
        <v>6471</v>
      </c>
      <c r="B923" s="4" t="str">
        <f>IFERROR(__xludf.DUMMYFUNCTION("GOOGLETRANSLATE(A923, ""en"", ""te"")"),"గిట్స్ ఖమన్ ధోక్లా స్నాక్ మిక్స్")</f>
        <v>గిట్స్ ఖమన్ ధోక్లా స్నాక్ మిక్స్</v>
      </c>
      <c r="C923" s="4" t="str">
        <f>IFERROR(__xludf.DUMMYFUNCTION("GOOGLETRANSLATE(A923, ""en"", ""hi"")"),"गिट्स खमन ढोकला स्नैक मिक्स")</f>
        <v>गिट्स खमन ढोकला स्नैक मिक्स</v>
      </c>
      <c r="D923" s="5"/>
      <c r="E923" s="2" t="s">
        <v>1294</v>
      </c>
      <c r="F923" s="1">
        <v>2.0</v>
      </c>
      <c r="G923" s="3" t="s">
        <v>6452</v>
      </c>
    </row>
    <row r="924">
      <c r="A924" s="3" t="s">
        <v>6296</v>
      </c>
      <c r="B924" s="4" t="str">
        <f>IFERROR(__xludf.DUMMYFUNCTION("GOOGLETRANSLATE(A924, ""en"", ""te"")"),"ఉత్తమ్ ఖమన్ ఇన్‌స్టంట్ మిక్స్")</f>
        <v>ఉత్తమ్ ఖమన్ ఇన్‌స్టంట్ మిక్స్</v>
      </c>
      <c r="C924" s="4" t="str">
        <f>IFERROR(__xludf.DUMMYFUNCTION("GOOGLETRANSLATE(A924, ""en"", ""hi"")"),"उत्तम खमन इंस्टेंट मिक्स")</f>
        <v>उत्तम खमन इंस्टेंट मिक्स</v>
      </c>
      <c r="D924" s="5"/>
      <c r="E924" s="2" t="s">
        <v>940</v>
      </c>
      <c r="F924" s="1">
        <v>2.0</v>
      </c>
      <c r="G924" s="3" t="s">
        <v>6452</v>
      </c>
    </row>
    <row r="925">
      <c r="A925" s="3" t="s">
        <v>6297</v>
      </c>
      <c r="B925" s="4" t="str">
        <f>IFERROR(__xludf.DUMMYFUNCTION("GOOGLETRANSLATE(A925, ""en"", ""te"")"),"డీప్ ధోక్లా ఇన్‌స్టంట్ మిక్స్")</f>
        <v>డీప్ ధోక్లా ఇన్‌స్టంట్ మిక్స్</v>
      </c>
      <c r="C925" s="4" t="str">
        <f>IFERROR(__xludf.DUMMYFUNCTION("GOOGLETRANSLATE(A925, ""en"", ""hi"")"),"दीप ढोकला इंस्टेंट मिक्स")</f>
        <v>दीप ढोकला इंस्टेंट मिक्स</v>
      </c>
      <c r="D925" s="5"/>
      <c r="E925" s="2" t="s">
        <v>940</v>
      </c>
      <c r="F925" s="1">
        <v>2.0</v>
      </c>
      <c r="G925" s="3" t="s">
        <v>6452</v>
      </c>
    </row>
    <row r="926">
      <c r="A926" s="3" t="s">
        <v>6298</v>
      </c>
      <c r="B926" s="4" t="str">
        <f>IFERROR(__xludf.DUMMYFUNCTION("GOOGLETRANSLATE(A926, ""en"", ""te"")"),"దీప్ ఖమన్ ఇన్‌స్టంట్ మిక్స్")</f>
        <v>దీప్ ఖమన్ ఇన్‌స్టంట్ మిక్స్</v>
      </c>
      <c r="C926" s="4" t="str">
        <f>IFERROR(__xludf.DUMMYFUNCTION("GOOGLETRANSLATE(A926, ""en"", ""hi"")"),"दीप खमन इंस्टेंट मिक्स")</f>
        <v>दीप खमन इंस्टेंट मिक्स</v>
      </c>
      <c r="D926" s="2" t="s">
        <v>6299</v>
      </c>
      <c r="E926" s="2" t="s">
        <v>1294</v>
      </c>
      <c r="F926" s="1">
        <v>2.0</v>
      </c>
      <c r="G926" s="3" t="s">
        <v>6452</v>
      </c>
    </row>
    <row r="927">
      <c r="A927" s="3" t="s">
        <v>6300</v>
      </c>
      <c r="B927" s="4" t="str">
        <f>IFERROR(__xludf.DUMMYFUNCTION("GOOGLETRANSLATE(A927, ""en"", ""te"")"),"దీప్ రవ్వ ఇడ్లీ ఇన్‌స్టంట్ మిక్స్")</f>
        <v>దీప్ రవ్వ ఇడ్లీ ఇన్‌స్టంట్ మిక్స్</v>
      </c>
      <c r="C927" s="4" t="str">
        <f>IFERROR(__xludf.DUMMYFUNCTION("GOOGLETRANSLATE(A927, ""en"", ""hi"")"),"दीप रवा इडली इंस्टेंट मिक्स")</f>
        <v>दीप रवा इडली इंस्टेंट मिक्स</v>
      </c>
      <c r="D927" s="2" t="s">
        <v>6302</v>
      </c>
      <c r="E927" s="2" t="s">
        <v>2649</v>
      </c>
      <c r="F927" s="1">
        <v>2.0</v>
      </c>
      <c r="G927" s="3" t="s">
        <v>6452</v>
      </c>
    </row>
    <row r="928">
      <c r="A928" s="3" t="s">
        <v>2603</v>
      </c>
      <c r="B928" s="4" t="str">
        <f>IFERROR(__xludf.DUMMYFUNCTION("GOOGLETRANSLATE(A928, ""en"", ""te"")"),"డీప్ మింట్ చట్నీ")</f>
        <v>డీప్ మింట్ చట్నీ</v>
      </c>
      <c r="C928" s="4" t="str">
        <f>IFERROR(__xludf.DUMMYFUNCTION("GOOGLETRANSLATE(A928, ""en"", ""hi"")"),"डीप मिंट चटनी")</f>
        <v>डीप मिंट चटनी</v>
      </c>
      <c r="D928" s="5"/>
      <c r="E928" s="2" t="s">
        <v>946</v>
      </c>
      <c r="F928" s="1">
        <v>2.0</v>
      </c>
      <c r="G928" s="3" t="s">
        <v>6556</v>
      </c>
    </row>
    <row r="929">
      <c r="A929" s="3" t="s">
        <v>6557</v>
      </c>
      <c r="B929" s="4" t="str">
        <f>IFERROR(__xludf.DUMMYFUNCTION("GOOGLETRANSLATE(A929, ""en"", ""te"")"),"స్వాద్ పచ్చి మిరపకాయ చట్నీ")</f>
        <v>స్వాద్ పచ్చి మిరపకాయ చట్నీ</v>
      </c>
      <c r="C929" s="4" t="str">
        <f>IFERROR(__xludf.DUMMYFUNCTION("GOOGLETRANSLATE(A929, ""en"", ""hi"")"),"स्वाद हरी मिर्च की चटनी")</f>
        <v>स्वाद हरी मिर्च की चटनी</v>
      </c>
      <c r="D929" s="5"/>
      <c r="E929" s="2" t="s">
        <v>946</v>
      </c>
      <c r="F929" s="1">
        <v>2.0</v>
      </c>
      <c r="G929" s="3" t="s">
        <v>6556</v>
      </c>
    </row>
    <row r="930">
      <c r="A930" s="3" t="s">
        <v>6562</v>
      </c>
      <c r="B930" s="4" t="str">
        <f>IFERROR(__xludf.DUMMYFUNCTION("GOOGLETRANSLATE(A930, ""en"", ""te"")"),"స్వాద్ కొబ్బరి చట్నీ")</f>
        <v>స్వాద్ కొబ్బరి చట్నీ</v>
      </c>
      <c r="C930" s="4" t="str">
        <f>IFERROR(__xludf.DUMMYFUNCTION("GOOGLETRANSLATE(A930, ""en"", ""hi"")"),"स्वाद नारियल चटनी")</f>
        <v>स्वाद नारियल चटनी</v>
      </c>
      <c r="D930" s="2" t="s">
        <v>6566</v>
      </c>
      <c r="E930" s="2" t="s">
        <v>996</v>
      </c>
      <c r="F930" s="1">
        <v>2.0</v>
      </c>
      <c r="G930" s="3" t="s">
        <v>6556</v>
      </c>
    </row>
    <row r="931">
      <c r="A931" s="3" t="s">
        <v>6281</v>
      </c>
      <c r="B931" s="4" t="str">
        <f>IFERROR(__xludf.DUMMYFUNCTION("GOOGLETRANSLATE(A931, ""en"", ""te"")"),"స్వాద్ కొత్తిమీర చట్నీ")</f>
        <v>స్వాద్ కొత్తిమీర చట్నీ</v>
      </c>
      <c r="C931" s="4" t="str">
        <f>IFERROR(__xludf.DUMMYFUNCTION("GOOGLETRANSLATE(A931, ""en"", ""hi"")"),"स्वाद धनिया चटनी")</f>
        <v>स्वाद धनिया चटनी</v>
      </c>
      <c r="D931" s="2" t="s">
        <v>6572</v>
      </c>
      <c r="E931" s="2" t="s">
        <v>996</v>
      </c>
      <c r="F931" s="1">
        <v>2.0</v>
      </c>
      <c r="G931" s="3" t="s">
        <v>6556</v>
      </c>
    </row>
    <row r="932">
      <c r="A932" s="3" t="s">
        <v>6348</v>
      </c>
      <c r="B932" s="4" t="str">
        <f>IFERROR(__xludf.DUMMYFUNCTION("GOOGLETRANSLATE(A932, ""en"", ""te"")"),"స్వాద్ పుదీనా చట్నీ")</f>
        <v>స్వాద్ పుదీనా చట్నీ</v>
      </c>
      <c r="C932" s="4" t="str">
        <f>IFERROR(__xludf.DUMMYFUNCTION("GOOGLETRANSLATE(A932, ""en"", ""hi"")"),"स्वाद पुदीना चटनी")</f>
        <v>स्वाद पुदीना चटनी</v>
      </c>
      <c r="D932" s="5"/>
      <c r="E932" s="2" t="s">
        <v>996</v>
      </c>
      <c r="F932" s="1">
        <v>2.0</v>
      </c>
      <c r="G932" s="3" t="s">
        <v>6556</v>
      </c>
    </row>
    <row r="933">
      <c r="A933" s="3" t="s">
        <v>6578</v>
      </c>
      <c r="B933" s="4" t="str">
        <f>IFERROR(__xludf.DUMMYFUNCTION("GOOGLETRANSLATE(A933, ""en"", ""te"")"),"స్వాద్ చింతపండు &amp; ఖర్జూర చట్నీ")</f>
        <v>స్వాద్ చింతపండు &amp; ఖర్జూర చట్నీ</v>
      </c>
      <c r="C933" s="4" t="str">
        <f>IFERROR(__xludf.DUMMYFUNCTION("GOOGLETRANSLATE(A933, ""en"", ""hi"")"),"स्वाद इमली और खजूर की चटनी")</f>
        <v>स्वाद इमली और खजूर की चटनी</v>
      </c>
      <c r="D933" s="5"/>
      <c r="E933" s="2" t="s">
        <v>996</v>
      </c>
      <c r="F933" s="1">
        <v>2.0</v>
      </c>
      <c r="G933" s="3" t="s">
        <v>6556</v>
      </c>
    </row>
    <row r="934">
      <c r="A934" s="3" t="s">
        <v>6584</v>
      </c>
      <c r="B934" s="4" t="str">
        <f>IFERROR(__xludf.DUMMYFUNCTION("GOOGLETRANSLATE(A934, ""en"", ""te"")"),"స్వాద్ ఖర్జూర చట్నీ")</f>
        <v>స్వాద్ ఖర్జూర చట్నీ</v>
      </c>
      <c r="C934" s="4" t="str">
        <f>IFERROR(__xludf.DUMMYFUNCTION("GOOGLETRANSLATE(A934, ""en"", ""hi"")"),"स्वाद खजूर की चटनी")</f>
        <v>स्वाद खजूर की चटनी</v>
      </c>
      <c r="D934" s="5"/>
      <c r="E934" s="2" t="s">
        <v>996</v>
      </c>
      <c r="F934" s="1">
        <v>2.0</v>
      </c>
      <c r="G934" s="3" t="s">
        <v>6556</v>
      </c>
    </row>
    <row r="935">
      <c r="A935" s="3" t="s">
        <v>6303</v>
      </c>
      <c r="B935" s="4" t="str">
        <f>IFERROR(__xludf.DUMMYFUNCTION("GOOGLETRANSLATE(A935, ""en"", ""te"")"),"స్వాద్ హాట్ &amp; స్వీట్ చట్నీ")</f>
        <v>స్వాద్ హాట్ &amp; స్వీట్ చట్నీ</v>
      </c>
      <c r="C935" s="4" t="str">
        <f>IFERROR(__xludf.DUMMYFUNCTION("GOOGLETRANSLATE(A935, ""en"", ""hi"")"),"स्वाद हॉट एंड स्वीट चटनी")</f>
        <v>स्वाद हॉट एंड स्वीट चटनी</v>
      </c>
      <c r="D935" s="2" t="s">
        <v>6306</v>
      </c>
      <c r="E935" s="2" t="s">
        <v>996</v>
      </c>
      <c r="F935" s="1">
        <v>2.0</v>
      </c>
      <c r="G935" s="3" t="s">
        <v>6556</v>
      </c>
    </row>
    <row r="936">
      <c r="A936" s="3" t="s">
        <v>6308</v>
      </c>
      <c r="B936" s="4" t="str">
        <f>IFERROR(__xludf.DUMMYFUNCTION("GOOGLETRANSLATE(A936, ""en"", ""te"")"),"స్వాద్ పానీ పూరీ కాన్సంట్రేట్")</f>
        <v>స్వాద్ పానీ పూరీ కాన్సంట్రేట్</v>
      </c>
      <c r="C936" s="4" t="str">
        <f>IFERROR(__xludf.DUMMYFUNCTION("GOOGLETRANSLATE(A936, ""en"", ""hi"")"),"स्वाद पानी पूरी कॉन्सेंट्रेट")</f>
        <v>स्वाद पानी पूरी कॉन्सेंट्रेट</v>
      </c>
      <c r="D936" s="2" t="s">
        <v>1304</v>
      </c>
      <c r="E936" s="2" t="s">
        <v>946</v>
      </c>
      <c r="F936" s="1">
        <v>2.0</v>
      </c>
      <c r="G936" s="3" t="s">
        <v>6556</v>
      </c>
    </row>
    <row r="937">
      <c r="A937" s="3" t="s">
        <v>6600</v>
      </c>
      <c r="B937" s="4" t="str">
        <f>IFERROR(__xludf.DUMMYFUNCTION("GOOGLETRANSLATE(A937, ""en"", ""te"")"),"ఆచీ ఊరగాయ")</f>
        <v>ఆచీ ఊరగాయ</v>
      </c>
      <c r="C937" s="4" t="str">
        <f>IFERROR(__xludf.DUMMYFUNCTION("GOOGLETRANSLATE(A937, ""en"", ""hi"")"),"आची अचार")</f>
        <v>आची अचार</v>
      </c>
      <c r="D937" s="2" t="s">
        <v>6604</v>
      </c>
      <c r="E937" s="2" t="s">
        <v>996</v>
      </c>
      <c r="F937" s="1">
        <v>2.0</v>
      </c>
      <c r="G937" s="3" t="s">
        <v>6605</v>
      </c>
    </row>
    <row r="938">
      <c r="A938" s="3" t="s">
        <v>6607</v>
      </c>
      <c r="B938" s="4" t="str">
        <f>IFERROR(__xludf.DUMMYFUNCTION("GOOGLETRANSLATE(A938, ""en"", ""te"")"),"నూనెలో ప్రియా వెల్లుల్లి ఊరగాయ")</f>
        <v>నూనెలో ప్రియా వెల్లుల్లి ఊరగాయ</v>
      </c>
      <c r="C938" s="4" t="str">
        <f>IFERROR(__xludf.DUMMYFUNCTION("GOOGLETRANSLATE(A938, ""en"", ""hi"")"),"प्रिया लहसुन का अचार तेल में")</f>
        <v>प्रिया लहसुन का अचार तेल में</v>
      </c>
      <c r="D938" s="2" t="s">
        <v>2604</v>
      </c>
      <c r="E938" s="2" t="s">
        <v>996</v>
      </c>
      <c r="F938" s="1">
        <v>2.0</v>
      </c>
      <c r="G938" s="3" t="s">
        <v>6605</v>
      </c>
    </row>
    <row r="939">
      <c r="A939" s="3" t="s">
        <v>6615</v>
      </c>
      <c r="B939" s="4" t="str">
        <f>IFERROR(__xludf.DUMMYFUNCTION("GOOGLETRANSLATE(A939, ""en"", ""te"")"),"ప్రియా రోసెల్ ఆకుల ఊరగాయ")</f>
        <v>ప్రియా రోసెల్ ఆకుల ఊరగాయ</v>
      </c>
      <c r="C939" s="4" t="str">
        <f>IFERROR(__xludf.DUMMYFUNCTION("GOOGLETRANSLATE(A939, ""en"", ""hi"")"),"प्रिया रोसेल पत्तों का अचार")</f>
        <v>प्रिया रोसेल पत्तों का अचार</v>
      </c>
      <c r="D939" s="5"/>
      <c r="E939" s="2" t="s">
        <v>996</v>
      </c>
      <c r="F939" s="1">
        <v>2.0</v>
      </c>
      <c r="G939" s="3" t="s">
        <v>6605</v>
      </c>
    </row>
    <row r="940">
      <c r="A940" s="3" t="s">
        <v>6352</v>
      </c>
      <c r="B940" s="4" t="str">
        <f>IFERROR(__xludf.DUMMYFUNCTION("GOOGLETRANSLATE(A940, ""en"", ""te"")"),"ప్రియా తీపి అల్లం ఊరగాయ")</f>
        <v>ప్రియా తీపి అల్లం ఊరగాయ</v>
      </c>
      <c r="C940" s="4" t="str">
        <f>IFERROR(__xludf.DUMMYFUNCTION("GOOGLETRANSLATE(A940, ""en"", ""hi"")"),"प्रिया मीठा अदरक का अचार")</f>
        <v>प्रिया मीठा अदरक का अचार</v>
      </c>
      <c r="D940" s="2" t="s">
        <v>6356</v>
      </c>
      <c r="E940" s="2" t="s">
        <v>996</v>
      </c>
      <c r="F940" s="1">
        <v>2.0</v>
      </c>
      <c r="G940" s="3" t="s">
        <v>6605</v>
      </c>
    </row>
    <row r="941">
      <c r="A941" s="3" t="s">
        <v>6623</v>
      </c>
      <c r="B941" s="4" t="str">
        <f>IFERROR(__xludf.DUMMYFUNCTION("GOOGLETRANSLATE(A941, ""en"", ""te"")"),"త్రివేణి వాతలు ఎండు మిరపకాయలు")</f>
        <v>త్రివేణి వాతలు ఎండు మిరపకాయలు</v>
      </c>
      <c r="C941" s="4" t="str">
        <f>IFERROR(__xludf.DUMMYFUNCTION("GOOGLETRANSLATE(A941, ""en"", ""hi"")"),"त्रिवेणी वाथल्स सूखी मिर्च")</f>
        <v>त्रिवेणी वाथल्स सूखी मिर्च</v>
      </c>
      <c r="D941" s="2" t="s">
        <v>3872</v>
      </c>
      <c r="E941" s="2" t="s">
        <v>442</v>
      </c>
      <c r="F941" s="1">
        <v>2.0</v>
      </c>
      <c r="G941" s="3" t="s">
        <v>6628</v>
      </c>
    </row>
    <row r="942">
      <c r="A942" s="3" t="s">
        <v>6429</v>
      </c>
      <c r="B942" s="4" t="str">
        <f>IFERROR(__xludf.DUMMYFUNCTION("GOOGLETRANSLATE(A942, ""en"", ""te"")"),"స్వాద్ ఆల్‌స్పైస్ హోల్")</f>
        <v>స్వాద్ ఆల్‌స్పైస్ హోల్</v>
      </c>
      <c r="C942" s="4" t="str">
        <f>IFERROR(__xludf.DUMMYFUNCTION("GOOGLETRANSLATE(A942, ""en"", ""hi"")"),"स्वाद ऑलस्पाइस साबुत")</f>
        <v>स्वाद ऑलस्पाइस साबुत</v>
      </c>
      <c r="D942" s="5"/>
      <c r="E942" s="2" t="s">
        <v>442</v>
      </c>
      <c r="F942" s="1">
        <v>2.0</v>
      </c>
      <c r="G942" s="3" t="s">
        <v>6628</v>
      </c>
    </row>
    <row r="943">
      <c r="A943" s="3" t="s">
        <v>6633</v>
      </c>
      <c r="B943" s="4" t="str">
        <f>IFERROR(__xludf.DUMMYFUNCTION("GOOGLETRANSLATE(A943, ""en"", ""te"")"),"డీప్ బ్లాక్ కోకుమ్")</f>
        <v>డీప్ బ్లాక్ కోకుమ్</v>
      </c>
      <c r="C943" s="4" t="str">
        <f>IFERROR(__xludf.DUMMYFUNCTION("GOOGLETRANSLATE(A943, ""en"", ""hi"")"),"डीप ब्लैक कोकुम")</f>
        <v>डीप ब्लैक कोकुम</v>
      </c>
      <c r="D943" s="5"/>
      <c r="E943" s="2" t="s">
        <v>2700</v>
      </c>
      <c r="F943" s="1">
        <v>2.0</v>
      </c>
      <c r="G943" s="3" t="s">
        <v>6628</v>
      </c>
    </row>
    <row r="944">
      <c r="A944" s="3" t="s">
        <v>6435</v>
      </c>
      <c r="B944" s="4" t="str">
        <f>IFERROR(__xludf.DUMMYFUNCTION("GOOGLETRANSLATE(A944, ""en"", ""te"")"),"ఖీల్ పటాషా")</f>
        <v>ఖీల్ పటాషా</v>
      </c>
      <c r="C944" s="4" t="str">
        <f>IFERROR(__xludf.DUMMYFUNCTION("GOOGLETRANSLATE(A944, ""en"", ""hi"")"),"कील पताशा")</f>
        <v>कील पताशा</v>
      </c>
      <c r="D944" s="5"/>
      <c r="E944" s="2" t="s">
        <v>1038</v>
      </c>
      <c r="F944" s="1">
        <v>2.0</v>
      </c>
      <c r="G944" s="3" t="s">
        <v>6628</v>
      </c>
    </row>
    <row r="945">
      <c r="A945" s="3" t="s">
        <v>6292</v>
      </c>
      <c r="B945" s="4" t="str">
        <f>IFERROR(__xludf.DUMMYFUNCTION("GOOGLETRANSLATE(A945, ""en"", ""te"")"),"స్వాద్ స్వీట్ మఖానా")</f>
        <v>స్వాద్ స్వీట్ మఖానా</v>
      </c>
      <c r="C945" s="4" t="str">
        <f>IFERROR(__xludf.DUMMYFUNCTION("GOOGLETRANSLATE(A945, ""en"", ""hi"")"),"स्वाद स्वीट मखाना")</f>
        <v>स्वाद स्वीट मखाना</v>
      </c>
      <c r="D945" s="5"/>
      <c r="E945" s="2" t="s">
        <v>2700</v>
      </c>
      <c r="F945" s="1">
        <v>2.0</v>
      </c>
      <c r="G945" s="3" t="s">
        <v>6628</v>
      </c>
    </row>
    <row r="946">
      <c r="A946" s="3" t="s">
        <v>6645</v>
      </c>
      <c r="B946" s="4" t="str">
        <f>IFERROR(__xludf.DUMMYFUNCTION("GOOGLETRANSLATE(A946, ""en"", ""te"")"),"త్రివేణి సుగంధి సుపారి")</f>
        <v>త్రివేణి సుగంధి సుపారి</v>
      </c>
      <c r="C946" s="4" t="str">
        <f>IFERROR(__xludf.DUMMYFUNCTION("GOOGLETRANSLATE(A946, ""en"", ""hi"")"),"त्रिवेनी सुगंधि सुपारी")</f>
        <v>त्रिवेनी सुगंधि सुपारी</v>
      </c>
      <c r="D946" s="2" t="s">
        <v>6649</v>
      </c>
      <c r="E946" s="2" t="s">
        <v>1294</v>
      </c>
      <c r="F946" s="1">
        <v>2.0</v>
      </c>
      <c r="G946" s="3" t="s">
        <v>6651</v>
      </c>
    </row>
    <row r="947">
      <c r="A947" s="3" t="s">
        <v>6652</v>
      </c>
      <c r="B947" s="4" t="str">
        <f>IFERROR(__xludf.DUMMYFUNCTION("GOOGLETRANSLATE(A947, ""en"", ""te"")"),"మంత్ర ఆర్గానిక్ పసుపు పొడి")</f>
        <v>మంత్ర ఆర్గానిక్ పసుపు పొడి</v>
      </c>
      <c r="C947" s="4" t="str">
        <f>IFERROR(__xludf.DUMMYFUNCTION("GOOGLETRANSLATE(A947, ""en"", ""hi"")"),"मंत्रा ऑर्गेनिक हल्दी पाउडर")</f>
        <v>मंत्रा ऑर्गेनिक हल्दी पाउडर</v>
      </c>
      <c r="D947" s="2" t="s">
        <v>708</v>
      </c>
      <c r="E947" s="2" t="s">
        <v>442</v>
      </c>
      <c r="F947" s="1">
        <v>2.0</v>
      </c>
      <c r="G947" s="3" t="s">
        <v>6651</v>
      </c>
    </row>
    <row r="948">
      <c r="A948" s="3" t="s">
        <v>6657</v>
      </c>
      <c r="B948" s="4" t="str">
        <f>IFERROR(__xludf.DUMMYFUNCTION("GOOGLETRANSLATE(A948, ""en"", ""te"")"),"గిట్స్ ఉప్మా")</f>
        <v>గిట్స్ ఉప్మా</v>
      </c>
      <c r="C948" s="4" t="str">
        <f>IFERROR(__xludf.DUMMYFUNCTION("GOOGLETRANSLATE(A948, ""en"", ""hi"")"),"गिट्स उपमा")</f>
        <v>गिट्स उपमा</v>
      </c>
      <c r="D948" s="5"/>
      <c r="E948" s="2" t="s">
        <v>940</v>
      </c>
      <c r="F948" s="1">
        <v>2.0</v>
      </c>
      <c r="G948" s="3" t="s">
        <v>6556</v>
      </c>
    </row>
    <row r="949">
      <c r="A949" s="3" t="s">
        <v>6660</v>
      </c>
      <c r="B949" s="4" t="str">
        <f>IFERROR(__xludf.DUMMYFUNCTION("GOOGLETRANSLATE(A949, ""en"", ""te"")"),"గిట్స్ సాంబార్")</f>
        <v>గిట్స్ సాంబార్</v>
      </c>
      <c r="C949" s="4" t="str">
        <f>IFERROR(__xludf.DUMMYFUNCTION("GOOGLETRANSLATE(A949, ""en"", ""hi"")"),"गिट्स सांबार")</f>
        <v>गिट्स सांबार</v>
      </c>
      <c r="D949" s="5"/>
      <c r="E949" s="2" t="s">
        <v>940</v>
      </c>
      <c r="F949" s="1">
        <v>2.0</v>
      </c>
      <c r="G949" s="3" t="s">
        <v>6556</v>
      </c>
    </row>
    <row r="950">
      <c r="A950" s="3" t="s">
        <v>6661</v>
      </c>
      <c r="B950" s="4" t="str">
        <f>IFERROR(__xludf.DUMMYFUNCTION("GOOGLETRANSLATE(A950, ""en"", ""te"")"),"గిట్స్ రవ్వ దోస")</f>
        <v>గిట్స్ రవ్వ దోస</v>
      </c>
      <c r="C950" s="4" t="str">
        <f>IFERROR(__xludf.DUMMYFUNCTION("GOOGLETRANSLATE(A950, ""en"", ""hi"")"),"गिट्स रवा डोसा")</f>
        <v>गिट्स रवा डोसा</v>
      </c>
      <c r="D950" s="5"/>
      <c r="E950" s="2" t="s">
        <v>940</v>
      </c>
      <c r="F950" s="1">
        <v>2.0</v>
      </c>
      <c r="G950" s="3" t="s">
        <v>6556</v>
      </c>
    </row>
    <row r="951">
      <c r="A951" s="3" t="s">
        <v>6662</v>
      </c>
      <c r="B951" s="4" t="str">
        <f>IFERROR(__xludf.DUMMYFUNCTION("GOOGLETRANSLATE(A951, ""en"", ""te"")"),"గిట్స్ రవ్వ ఇడ్లీ")</f>
        <v>గిట్స్ రవ్వ ఇడ్లీ</v>
      </c>
      <c r="C951" s="4" t="str">
        <f>IFERROR(__xludf.DUMMYFUNCTION("GOOGLETRANSLATE(A951, ""en"", ""hi"")"),"गिट्स रवा इडली")</f>
        <v>गिट्स रवा इडली</v>
      </c>
      <c r="D951" s="2" t="s">
        <v>6663</v>
      </c>
      <c r="E951" s="2" t="s">
        <v>940</v>
      </c>
      <c r="F951" s="1">
        <v>2.0</v>
      </c>
      <c r="G951" s="3" t="s">
        <v>6556</v>
      </c>
    </row>
    <row r="952">
      <c r="A952" s="3" t="s">
        <v>6664</v>
      </c>
      <c r="B952" s="4" t="str">
        <f>IFERROR(__xludf.DUMMYFUNCTION("GOOGLETRANSLATE(A952, ""en"", ""te"")"),"గిట్స్ రైస్ ఇడ్లీ")</f>
        <v>గిట్స్ రైస్ ఇడ్లీ</v>
      </c>
      <c r="C952" s="4" t="str">
        <f>IFERROR(__xludf.DUMMYFUNCTION("GOOGLETRANSLATE(A952, ""en"", ""hi"")"),"गिट्स राइस इडली")</f>
        <v>गिट्स राइस इडली</v>
      </c>
      <c r="D952" s="2" t="s">
        <v>6665</v>
      </c>
      <c r="E952" s="2" t="s">
        <v>940</v>
      </c>
      <c r="F952" s="1">
        <v>2.0</v>
      </c>
      <c r="G952" s="3" t="s">
        <v>6556</v>
      </c>
    </row>
    <row r="953">
      <c r="A953" s="3" t="s">
        <v>6666</v>
      </c>
      <c r="B953" s="4" t="str">
        <f>IFERROR(__xludf.DUMMYFUNCTION("GOOGLETRANSLATE(A953, ""en"", ""te"")"),"గిట్స్ దోస")</f>
        <v>గిట్స్ దోస</v>
      </c>
      <c r="C953" s="4" t="str">
        <f>IFERROR(__xludf.DUMMYFUNCTION("GOOGLETRANSLATE(A953, ""en"", ""hi"")"),"गिट्स डोसा")</f>
        <v>गिट्स डोसा</v>
      </c>
      <c r="D953" s="2" t="s">
        <v>6667</v>
      </c>
      <c r="E953" s="2" t="s">
        <v>940</v>
      </c>
      <c r="F953" s="1">
        <v>2.0</v>
      </c>
      <c r="G953" s="3" t="s">
        <v>6556</v>
      </c>
    </row>
    <row r="954">
      <c r="A954" s="3" t="s">
        <v>6668</v>
      </c>
      <c r="B954" s="4" t="str">
        <f>IFERROR(__xludf.DUMMYFUNCTION("GOOGLETRANSLATE(A954, ""en"", ""te"")"),"గిట్స్ హ్యాండ్వో")</f>
        <v>గిట్స్ హ్యాండ్వో</v>
      </c>
      <c r="C954" s="4" t="str">
        <f>IFERROR(__xludf.DUMMYFUNCTION("GOOGLETRANSLATE(A954, ""en"", ""hi"")"),"गिट्स हैंडवो")</f>
        <v>गिट्स हैंडवो</v>
      </c>
      <c r="D954" s="5"/>
      <c r="E954" s="2" t="s">
        <v>940</v>
      </c>
      <c r="F954" s="1">
        <v>2.0</v>
      </c>
      <c r="G954" s="3" t="s">
        <v>6556</v>
      </c>
    </row>
    <row r="955">
      <c r="A955" s="3" t="s">
        <v>6722</v>
      </c>
      <c r="B955" s="4" t="str">
        <f>IFERROR(__xludf.DUMMYFUNCTION("GOOGLETRANSLATE(A955, ""en"", ""te"")"),"గిట్స్ ఖమన్ ధోక్లా")</f>
        <v>గిట్స్ ఖమన్ ధోక్లా</v>
      </c>
      <c r="C955" s="4" t="str">
        <f>IFERROR(__xludf.DUMMYFUNCTION("GOOGLETRANSLATE(A955, ""en"", ""hi"")"),"गिट्स खमन धोकला")</f>
        <v>गिट्स खमन धोकला</v>
      </c>
      <c r="D955" s="2" t="s">
        <v>6727</v>
      </c>
      <c r="E955" s="2" t="s">
        <v>940</v>
      </c>
      <c r="F955" s="1">
        <v>2.0</v>
      </c>
      <c r="G955" s="3" t="s">
        <v>6556</v>
      </c>
    </row>
    <row r="956">
      <c r="A956" s="3" t="s">
        <v>6729</v>
      </c>
      <c r="B956" s="4" t="str">
        <f>IFERROR(__xludf.DUMMYFUNCTION("GOOGLETRANSLATE(A956, ""en"", ""te"")"),"డీప్ చట్నీ")</f>
        <v>డీప్ చట్నీ</v>
      </c>
      <c r="C956" s="4" t="str">
        <f>IFERROR(__xludf.DUMMYFUNCTION("GOOGLETRANSLATE(A956, ""en"", ""hi"")"),"डीप चटनी")</f>
        <v>डीप चटनी</v>
      </c>
      <c r="D956" s="2" t="s">
        <v>6306</v>
      </c>
      <c r="E956" s="2" t="s">
        <v>996</v>
      </c>
      <c r="F956" s="1">
        <v>2.0</v>
      </c>
      <c r="G956" s="3" t="s">
        <v>6605</v>
      </c>
    </row>
    <row r="957">
      <c r="A957" s="3" t="s">
        <v>6557</v>
      </c>
      <c r="B957" s="4" t="str">
        <f>IFERROR(__xludf.DUMMYFUNCTION("GOOGLETRANSLATE(A957, ""en"", ""te"")"),"స్వాద్ పచ్చి మిరపకాయ చట్నీ")</f>
        <v>స్వాద్ పచ్చి మిరపకాయ చట్నీ</v>
      </c>
      <c r="C957" s="4" t="str">
        <f>IFERROR(__xludf.DUMMYFUNCTION("GOOGLETRANSLATE(A957, ""en"", ""hi"")"),"स्वाद हरी मिर्च की चटनी")</f>
        <v>स्वाद हरी मिर्च की चटनी</v>
      </c>
      <c r="D957" s="5"/>
      <c r="E957" s="2" t="s">
        <v>946</v>
      </c>
      <c r="F957" s="1">
        <v>2.0</v>
      </c>
      <c r="G957" s="3" t="s">
        <v>6605</v>
      </c>
    </row>
    <row r="958">
      <c r="A958" s="3" t="s">
        <v>6562</v>
      </c>
      <c r="B958" s="4" t="str">
        <f>IFERROR(__xludf.DUMMYFUNCTION("GOOGLETRANSLATE(A958, ""en"", ""te"")"),"స్వాద్ కొబ్బరి చట్నీ")</f>
        <v>స్వాద్ కొబ్బరి చట్నీ</v>
      </c>
      <c r="C958" s="4" t="str">
        <f>IFERROR(__xludf.DUMMYFUNCTION("GOOGLETRANSLATE(A958, ""en"", ""hi"")"),"स्वाद नारियल चटनी")</f>
        <v>स्वाद नारियल चटनी</v>
      </c>
      <c r="D958" s="2" t="s">
        <v>6566</v>
      </c>
      <c r="E958" s="2" t="s">
        <v>996</v>
      </c>
      <c r="F958" s="1">
        <v>2.0</v>
      </c>
      <c r="G958" s="3" t="s">
        <v>6605</v>
      </c>
    </row>
    <row r="959">
      <c r="A959" s="3" t="s">
        <v>6281</v>
      </c>
      <c r="B959" s="4" t="str">
        <f>IFERROR(__xludf.DUMMYFUNCTION("GOOGLETRANSLATE(A959, ""en"", ""te"")"),"స్వాద్ కొత్తిమీర చట్నీ")</f>
        <v>స్వాద్ కొత్తిమీర చట్నీ</v>
      </c>
      <c r="C959" s="4" t="str">
        <f>IFERROR(__xludf.DUMMYFUNCTION("GOOGLETRANSLATE(A959, ""en"", ""hi"")"),"स्वाद धनिया चटनी")</f>
        <v>स्वाद धनिया चटनी</v>
      </c>
      <c r="D959" s="2" t="s">
        <v>6572</v>
      </c>
      <c r="E959" s="2" t="s">
        <v>996</v>
      </c>
      <c r="F959" s="1">
        <v>2.0</v>
      </c>
      <c r="G959" s="3" t="s">
        <v>6605</v>
      </c>
    </row>
    <row r="960">
      <c r="A960" s="3" t="s">
        <v>6348</v>
      </c>
      <c r="B960" s="4" t="str">
        <f>IFERROR(__xludf.DUMMYFUNCTION("GOOGLETRANSLATE(A960, ""en"", ""te"")"),"స్వాద్ పుదీనా చట్నీ")</f>
        <v>స్వాద్ పుదీనా చట్నీ</v>
      </c>
      <c r="C960" s="4" t="str">
        <f>IFERROR(__xludf.DUMMYFUNCTION("GOOGLETRANSLATE(A960, ""en"", ""hi"")"),"स्वाद पुदीना चटनी")</f>
        <v>स्वाद पुदीना चटनी</v>
      </c>
      <c r="D960" s="5"/>
      <c r="E960" s="2" t="s">
        <v>996</v>
      </c>
      <c r="F960" s="1">
        <v>2.0</v>
      </c>
      <c r="G960" s="3" t="s">
        <v>6605</v>
      </c>
    </row>
    <row r="961">
      <c r="A961" s="3" t="s">
        <v>6821</v>
      </c>
      <c r="B961" s="4" t="str">
        <f>IFERROR(__xludf.DUMMYFUNCTION("GOOGLETRANSLATE(A961, ""en"", ""te"")"),"స్వాద్ చింతపండు &amp; ఖర్జూర చట్నీ")</f>
        <v>స్వాద్ చింతపండు &amp; ఖర్జూర చట్నీ</v>
      </c>
      <c r="C961" s="4" t="str">
        <f>IFERROR(__xludf.DUMMYFUNCTION("GOOGLETRANSLATE(A961, ""en"", ""hi"")"),"स्वाद इमली और खजूर की चटनी")</f>
        <v>स्वाद इमली और खजूर की चटनी</v>
      </c>
      <c r="D961" s="5"/>
      <c r="E961" s="2" t="s">
        <v>996</v>
      </c>
      <c r="F961" s="1">
        <v>2.0</v>
      </c>
      <c r="G961" s="3" t="s">
        <v>6605</v>
      </c>
    </row>
    <row r="962">
      <c r="A962" s="3" t="s">
        <v>6822</v>
      </c>
      <c r="B962" s="4" t="str">
        <f>IFERROR(__xludf.DUMMYFUNCTION("GOOGLETRANSLATE(A962, ""en"", ""te"")"),"ఆచీ మామిడి ఊరగాయ")</f>
        <v>ఆచీ మామిడి ఊరగాయ</v>
      </c>
      <c r="C962" s="4" t="str">
        <f>IFERROR(__xludf.DUMMYFUNCTION("GOOGLETRANSLATE(A962, ""en"", ""hi"")"),"आची आम का अचार")</f>
        <v>आची आम का अचार</v>
      </c>
      <c r="D962" s="5"/>
      <c r="E962" s="2" t="s">
        <v>996</v>
      </c>
      <c r="F962" s="1">
        <v>2.0</v>
      </c>
      <c r="G962" s="3" t="s">
        <v>6628</v>
      </c>
    </row>
    <row r="963">
      <c r="A963" s="3" t="s">
        <v>6823</v>
      </c>
      <c r="B963" s="4" t="str">
        <f>IFERROR(__xludf.DUMMYFUNCTION("GOOGLETRANSLATE(A963, ""en"", ""te"")"),"ఆచీ పచ్చి మిరపకాయల ఊరగాయ")</f>
        <v>ఆచీ పచ్చి మిరపకాయల ఊరగాయ</v>
      </c>
      <c r="C963" s="4" t="str">
        <f>IFERROR(__xludf.DUMMYFUNCTION("GOOGLETRANSLATE(A963, ""en"", ""hi"")"),"आची हरी मिर्च का अचार")</f>
        <v>आची हरी मिर्च का अचार</v>
      </c>
      <c r="D963" s="2" t="s">
        <v>2253</v>
      </c>
      <c r="E963" s="2" t="s">
        <v>996</v>
      </c>
      <c r="F963" s="1">
        <v>2.0</v>
      </c>
      <c r="G963" s="3" t="s">
        <v>6628</v>
      </c>
    </row>
    <row r="964">
      <c r="A964" s="3" t="s">
        <v>6824</v>
      </c>
      <c r="B964" s="4" t="str">
        <f>IFERROR(__xludf.DUMMYFUNCTION("GOOGLETRANSLATE(A964, ""en"", ""te"")"),"ఆచీ నిమ్మకాయ ఊరగాయ")</f>
        <v>ఆచీ నిమ్మకాయ ఊరగాయ</v>
      </c>
      <c r="C964" s="4" t="str">
        <f>IFERROR(__xludf.DUMMYFUNCTION("GOOGLETRANSLATE(A964, ""en"", ""hi"")"),"आची नींबू का अचार")</f>
        <v>आची नींबू का अचार</v>
      </c>
      <c r="D964" s="5"/>
      <c r="E964" s="2" t="s">
        <v>996</v>
      </c>
      <c r="F964" s="1">
        <v>2.0</v>
      </c>
      <c r="G964" s="3" t="s">
        <v>6628</v>
      </c>
    </row>
    <row r="965">
      <c r="A965" s="3" t="s">
        <v>145</v>
      </c>
      <c r="B965" s="4" t="str">
        <f>IFERROR(__xludf.DUMMYFUNCTION("GOOGLETRANSLATE(A965, ""en"", ""te"")"),"ఆచీ వెల్లుల్లి ఊరగాయ")</f>
        <v>ఆచీ వెల్లుల్లి ఊరగాయ</v>
      </c>
      <c r="C965" s="4" t="str">
        <f>IFERROR(__xludf.DUMMYFUNCTION("GOOGLETRANSLATE(A965, ""en"", ""hi"")"),"आची लहसुन का अचार")</f>
        <v>आची लहसुन का अचार</v>
      </c>
      <c r="D965" s="2" t="s">
        <v>6825</v>
      </c>
      <c r="E965" s="2" t="s">
        <v>996</v>
      </c>
      <c r="F965" s="1">
        <v>2.0</v>
      </c>
      <c r="G965" s="3" t="s">
        <v>6628</v>
      </c>
    </row>
    <row r="966">
      <c r="A966" s="3" t="s">
        <v>5439</v>
      </c>
      <c r="B966" s="4" t="str">
        <f>IFERROR(__xludf.DUMMYFUNCTION("GOOGLETRANSLATE(A966, ""en"", ""te"")"),"ప్రియా వెల్లుల్లి ఊరగాయ")</f>
        <v>ప్రియా వెల్లుల్లి ఊరగాయ</v>
      </c>
      <c r="C966" s="4" t="str">
        <f>IFERROR(__xludf.DUMMYFUNCTION("GOOGLETRANSLATE(A966, ""en"", ""hi"")"),"प्रिया लहसुन का अचार")</f>
        <v>प्रिया लहसुन का अचार</v>
      </c>
      <c r="D966" s="2" t="s">
        <v>6604</v>
      </c>
      <c r="E966" s="2" t="s">
        <v>996</v>
      </c>
      <c r="F966" s="1">
        <v>2.0</v>
      </c>
      <c r="G966" s="3" t="s">
        <v>6628</v>
      </c>
    </row>
    <row r="967">
      <c r="A967" s="3" t="s">
        <v>6826</v>
      </c>
      <c r="B967" s="4" t="str">
        <f>IFERROR(__xludf.DUMMYFUNCTION("GOOGLETRANSLATE(A967, ""en"", ""te"")"),"జియా యొక్క అజినోమోటో")</f>
        <v>జియా యొక్క అజినోమోటో</v>
      </c>
      <c r="C967" s="4" t="str">
        <f>IFERROR(__xludf.DUMMYFUNCTION("GOOGLETRANSLATE(A967, ""en"", ""hi"")"),"जिया का अजीनोमोटो")</f>
        <v>जिया का अजीनोमोटो</v>
      </c>
      <c r="D967" s="5"/>
      <c r="E967" s="2" t="s">
        <v>946</v>
      </c>
      <c r="F967" s="1">
        <v>2.0</v>
      </c>
      <c r="G967" s="3" t="s">
        <v>6651</v>
      </c>
    </row>
    <row r="968">
      <c r="A968" s="3" t="s">
        <v>6827</v>
      </c>
      <c r="B968" s="4" t="str">
        <f>IFERROR(__xludf.DUMMYFUNCTION("GOOGLETRANSLATE(A968, ""en"", ""te"")"),"రాఘవ్ అజినోమోటో")</f>
        <v>రాఘవ్ అజినోమోటో</v>
      </c>
      <c r="C968" s="4" t="str">
        <f>IFERROR(__xludf.DUMMYFUNCTION("GOOGLETRANSLATE(A968, ""en"", ""hi"")"),"राघव अजिनोमोटो")</f>
        <v>राघव अजिनोमोटो</v>
      </c>
      <c r="D968" s="5"/>
      <c r="E968" s="2" t="s">
        <v>946</v>
      </c>
      <c r="F968" s="1">
        <v>2.0</v>
      </c>
      <c r="G968" s="3" t="s">
        <v>6651</v>
      </c>
    </row>
    <row r="969">
      <c r="A969" s="3" t="s">
        <v>6828</v>
      </c>
      <c r="B969" s="4" t="str">
        <f>IFERROR(__xludf.DUMMYFUNCTION("GOOGLETRANSLATE(A969, ""en"", ""te"")"),"స్వాద్ బ్లాక్ సాల్ట్ రాక్")</f>
        <v>స్వాద్ బ్లాక్ సాల్ట్ రాక్</v>
      </c>
      <c r="C969" s="4" t="str">
        <f>IFERROR(__xludf.DUMMYFUNCTION("GOOGLETRANSLATE(A969, ""en"", ""hi"")"),"स्वाद काला नमक चट्टान")</f>
        <v>स्वाद काला नमक चट्टान</v>
      </c>
      <c r="D969" s="2" t="s">
        <v>6829</v>
      </c>
      <c r="E969" s="2" t="s">
        <v>4407</v>
      </c>
      <c r="F969" s="1">
        <v>2.0</v>
      </c>
      <c r="G969" s="3" t="s">
        <v>6651</v>
      </c>
    </row>
    <row r="970">
      <c r="A970" s="3" t="s">
        <v>6830</v>
      </c>
      <c r="B970" s="4" t="str">
        <f>IFERROR(__xludf.DUMMYFUNCTION("GOOGLETRANSLATE(A970, ""en"", ""te"")"),"జియా అల్లం ముక్క")</f>
        <v>జియా అల్లం ముక్క</v>
      </c>
      <c r="C970" s="4" t="str">
        <f>IFERROR(__xludf.DUMMYFUNCTION("GOOGLETRANSLATE(A970, ""en"", ""hi"")"),"जिया का अदरक का टुकड़ा")</f>
        <v>जिया का अदरक का टुकड़ा</v>
      </c>
      <c r="D970" s="2" t="s">
        <v>2695</v>
      </c>
      <c r="E970" s="2" t="s">
        <v>2700</v>
      </c>
      <c r="F970" s="1">
        <v>2.0</v>
      </c>
      <c r="G970" s="3" t="s">
        <v>6651</v>
      </c>
    </row>
    <row r="971">
      <c r="A971" s="3" t="s">
        <v>6831</v>
      </c>
      <c r="B971" s="4" t="str">
        <f>IFERROR(__xludf.DUMMYFUNCTION("GOOGLETRANSLATE(A971, ""en"", ""te"")"),"త్రివేణి ఎండిన వత్తల్స్")</f>
        <v>త్రివేణి ఎండిన వత్తల్స్</v>
      </c>
      <c r="C971" s="4" t="str">
        <f>IFERROR(__xludf.DUMMYFUNCTION("GOOGLETRANSLATE(A971, ""en"", ""hi"")"),"त्रिवेनी सूखे वथल")</f>
        <v>त्रिवेनी सूखे वथल</v>
      </c>
      <c r="D971" s="5"/>
      <c r="E971" s="2" t="s">
        <v>2700</v>
      </c>
      <c r="F971" s="1">
        <v>2.0</v>
      </c>
      <c r="G971" s="3" t="s">
        <v>6651</v>
      </c>
    </row>
    <row r="972">
      <c r="A972" s="3" t="s">
        <v>6832</v>
      </c>
      <c r="B972" s="4" t="str">
        <f>IFERROR(__xludf.DUMMYFUNCTION("GOOGLETRANSLATE(A972, ""en"", ""te"")"),"రాఘవ్ ఆల్‌స్పైస్ హోల్")</f>
        <v>రాఘవ్ ఆల్‌స్పైస్ హోల్</v>
      </c>
      <c r="C972" s="4" t="str">
        <f>IFERROR(__xludf.DUMMYFUNCTION("GOOGLETRANSLATE(A972, ""en"", ""hi"")"),"राघव ऑलस्पाइस साबुत")</f>
        <v>राघव ऑलस्पाइस साबुत</v>
      </c>
      <c r="D972" s="5"/>
      <c r="E972" s="2" t="s">
        <v>442</v>
      </c>
      <c r="F972" s="1">
        <v>2.0</v>
      </c>
      <c r="G972" s="3" t="s">
        <v>6651</v>
      </c>
    </row>
    <row r="973">
      <c r="A973" s="3" t="s">
        <v>6833</v>
      </c>
      <c r="B973" s="4" t="str">
        <f>IFERROR(__xludf.DUMMYFUNCTION("GOOGLETRANSLATE(A973, ""en"", ""te"")"),"గిట్స్ వెర్మిసెల్లి ఖీర్")</f>
        <v>గిట్స్ వెర్మిసెల్లి ఖీర్</v>
      </c>
      <c r="C973" s="4" t="str">
        <f>IFERROR(__xludf.DUMMYFUNCTION("GOOGLETRANSLATE(A973, ""en"", ""hi"")"),"गिट्स वर्मीसेली खीर")</f>
        <v>गिट्स वर्मीसेली खीर</v>
      </c>
      <c r="D973" s="2" t="s">
        <v>6834</v>
      </c>
      <c r="E973" s="2" t="s">
        <v>940</v>
      </c>
      <c r="F973" s="1">
        <v>2.0</v>
      </c>
      <c r="G973" s="3" t="s">
        <v>6556</v>
      </c>
    </row>
    <row r="974">
      <c r="A974" s="3" t="s">
        <v>6835</v>
      </c>
      <c r="B974" s="4" t="str">
        <f>IFERROR(__xludf.DUMMYFUNCTION("GOOGLETRANSLATE(A974, ""en"", ""te"")"),"గిట్స్ దహి వడ")</f>
        <v>గిట్స్ దహి వడ</v>
      </c>
      <c r="C974" s="4" t="str">
        <f>IFERROR(__xludf.DUMMYFUNCTION("GOOGLETRANSLATE(A974, ""en"", ""hi"")"),"गिट्स दही वड़ा")</f>
        <v>गिट्स दही वड़ा</v>
      </c>
      <c r="D974" s="2" t="s">
        <v>6836</v>
      </c>
      <c r="E974" s="2" t="s">
        <v>1294</v>
      </c>
      <c r="F974" s="1">
        <v>2.0</v>
      </c>
      <c r="G974" s="3" t="s">
        <v>6556</v>
      </c>
    </row>
    <row r="975">
      <c r="A975" s="3" t="s">
        <v>6837</v>
      </c>
      <c r="B975" s="4" t="str">
        <f>IFERROR(__xludf.DUMMYFUNCTION("GOOGLETRANSLATE(A975, ""en"", ""te"")"),"గిట్స్ మేడు వాడ")</f>
        <v>గిట్స్ మేడు వాడ</v>
      </c>
      <c r="C975" s="4" t="str">
        <f>IFERROR(__xludf.DUMMYFUNCTION("GOOGLETRANSLATE(A975, ""en"", ""hi"")"),"Gits Medu Vada")</f>
        <v>Gits Medu Vada</v>
      </c>
      <c r="D975" s="2" t="s">
        <v>6838</v>
      </c>
      <c r="E975" s="2" t="s">
        <v>1294</v>
      </c>
      <c r="F975" s="1">
        <v>2.0</v>
      </c>
      <c r="G975" s="3" t="s">
        <v>6556</v>
      </c>
    </row>
    <row r="976">
      <c r="A976" s="3" t="s">
        <v>6839</v>
      </c>
      <c r="B976" s="4" t="str">
        <f>IFERROR(__xludf.DUMMYFUNCTION("GOOGLETRANSLATE(A976, ""en"", ""te"")"),"డీప్ చట్నీ కొత్తిమీర")</f>
        <v>డీప్ చట్నీ కొత్తిమీర</v>
      </c>
      <c r="C976" s="4" t="str">
        <f>IFERROR(__xludf.DUMMYFUNCTION("GOOGLETRANSLATE(A976, ""en"", ""hi"")"),"धनिया युक्त डीप चटनी")</f>
        <v>धनिया युक्त डीप चटनी</v>
      </c>
      <c r="D976" s="2" t="s">
        <v>2644</v>
      </c>
      <c r="E976" s="2" t="s">
        <v>996</v>
      </c>
      <c r="F976" s="1">
        <v>2.0</v>
      </c>
      <c r="G976" s="3" t="s">
        <v>6605</v>
      </c>
    </row>
    <row r="977">
      <c r="A977" s="3" t="s">
        <v>6840</v>
      </c>
      <c r="B977" s="4" t="str">
        <f>IFERROR(__xludf.DUMMYFUNCTION("GOOGLETRANSLATE(A977, ""en"", ""te"")"),"డీప్ చట్నీ గ్రీన్ చిల్లీ")</f>
        <v>డీప్ చట్నీ గ్రీన్ చిల్లీ</v>
      </c>
      <c r="C977" s="4" t="str">
        <f>IFERROR(__xludf.DUMMYFUNCTION("GOOGLETRANSLATE(A977, ""en"", ""hi"")"),"हरी मिर्च की गाढ़ी चटनी")</f>
        <v>हरी मिर्च की गाढ़ी चटनी</v>
      </c>
      <c r="D977" s="2" t="s">
        <v>6841</v>
      </c>
      <c r="E977" s="2" t="s">
        <v>996</v>
      </c>
      <c r="F977" s="1">
        <v>2.0</v>
      </c>
      <c r="G977" s="3" t="s">
        <v>6605</v>
      </c>
    </row>
    <row r="978">
      <c r="A978" s="3" t="s">
        <v>6842</v>
      </c>
      <c r="B978" s="4" t="str">
        <f>IFERROR(__xludf.DUMMYFUNCTION("GOOGLETRANSLATE(A978, ""en"", ""te"")"),"డీప్ చట్నీ మింట్")</f>
        <v>డీప్ చట్నీ మింట్</v>
      </c>
      <c r="C978" s="4" t="str">
        <f>IFERROR(__xludf.DUMMYFUNCTION("GOOGLETRANSLATE(A978, ""en"", ""hi"")"),"डीप चटनी मिंट")</f>
        <v>डीप चटनी मिंट</v>
      </c>
      <c r="D978" s="5"/>
      <c r="E978" s="2" t="s">
        <v>996</v>
      </c>
      <c r="F978" s="1">
        <v>2.0</v>
      </c>
      <c r="G978" s="3" t="s">
        <v>6605</v>
      </c>
    </row>
    <row r="979">
      <c r="A979" s="3" t="s">
        <v>6843</v>
      </c>
      <c r="B979" s="4" t="str">
        <f>IFERROR(__xludf.DUMMYFUNCTION("GOOGLETRANSLATE(A979, ""en"", ""te"")"),"బెడెకర్ పచ్చడి (తీపి)")</f>
        <v>బెడెకర్ పచ్చడి (తీపి)</v>
      </c>
      <c r="C979" s="4" t="str">
        <f>IFERROR(__xludf.DUMMYFUNCTION("GOOGLETRANSLATE(A979, ""en"", ""hi"")"),"बेडेकर अचार (मीठा)")</f>
        <v>बेडेकर अचार (मीठा)</v>
      </c>
      <c r="D979" s="2" t="s">
        <v>6844</v>
      </c>
      <c r="E979" s="2" t="s">
        <v>996</v>
      </c>
      <c r="F979" s="1">
        <v>2.0</v>
      </c>
      <c r="G979" s="3" t="s">
        <v>6628</v>
      </c>
    </row>
    <row r="980">
      <c r="A980" s="3" t="s">
        <v>6845</v>
      </c>
      <c r="B980" s="4" t="str">
        <f>IFERROR(__xludf.DUMMYFUNCTION("GOOGLETRANSLATE(A980, ""en"", ""te"")"),"ఆచీ టమాటా ఊరగాయ")</f>
        <v>ఆచీ టమాటా ఊరగాయ</v>
      </c>
      <c r="C980" s="4" t="str">
        <f>IFERROR(__xludf.DUMMYFUNCTION("GOOGLETRANSLATE(A980, ""en"", ""hi"")"),"आची टमाटर का अचार")</f>
        <v>आची टमाटर का अचार</v>
      </c>
      <c r="D980" s="2" t="s">
        <v>6846</v>
      </c>
      <c r="E980" s="2" t="s">
        <v>996</v>
      </c>
      <c r="F980" s="1">
        <v>2.0</v>
      </c>
      <c r="G980" s="3" t="s">
        <v>6628</v>
      </c>
    </row>
    <row r="981">
      <c r="A981" s="3" t="s">
        <v>149</v>
      </c>
      <c r="B981" s="4" t="str">
        <f>IFERROR(__xludf.DUMMYFUNCTION("GOOGLETRANSLATE(A981, ""en"", ""te"")"),"ఆచీ అల్లం ఊరగాయ")</f>
        <v>ఆచీ అల్లం ఊరగాయ</v>
      </c>
      <c r="C981" s="4" t="str">
        <f>IFERROR(__xludf.DUMMYFUNCTION("GOOGLETRANSLATE(A981, ""en"", ""hi"")"),"आची अदरक का अचार")</f>
        <v>आची अदरक का अचार</v>
      </c>
      <c r="D981" s="2" t="s">
        <v>6847</v>
      </c>
      <c r="E981" s="2" t="s">
        <v>996</v>
      </c>
      <c r="F981" s="1">
        <v>2.0</v>
      </c>
      <c r="G981" s="3" t="s">
        <v>6628</v>
      </c>
    </row>
    <row r="982">
      <c r="A982" s="3" t="s">
        <v>6848</v>
      </c>
      <c r="B982" s="4" t="str">
        <f>IFERROR(__xludf.DUMMYFUNCTION("GOOGLETRANSLATE(A982, ""en"", ""te"")"),"ఆచి మామిడి ఆవకాయ ఊరగాయ")</f>
        <v>ఆచి మామిడి ఆవకాయ ఊరగాయ</v>
      </c>
      <c r="C982" s="4" t="str">
        <f>IFERROR(__xludf.DUMMYFUNCTION("GOOGLETRANSLATE(A982, ""en"", ""hi"")"),"आची आम अवकाया अचार")</f>
        <v>आची आम अवकाया अचार</v>
      </c>
      <c r="D982" s="2" t="s">
        <v>6849</v>
      </c>
      <c r="E982" s="2" t="s">
        <v>996</v>
      </c>
      <c r="F982" s="1">
        <v>2.0</v>
      </c>
      <c r="G982" s="3" t="s">
        <v>6628</v>
      </c>
    </row>
    <row r="983">
      <c r="A983" s="3" t="s">
        <v>6850</v>
      </c>
      <c r="B983" s="4" t="str">
        <f>IFERROR(__xludf.DUMMYFUNCTION("GOOGLETRANSLATE(A983, ""en"", ""te"")"),"జియాస్ అజినోమోటో (MSG)")</f>
        <v>జియాస్ అజినోమోటో (MSG)</v>
      </c>
      <c r="C983" s="4" t="str">
        <f>IFERROR(__xludf.DUMMYFUNCTION("GOOGLETRANSLATE(A983, ""en"", ""hi"")"),"जियाज़ अजीनोमोटो (एमएसजी)")</f>
        <v>जियाज़ अजीनोमोटो (एमएसजी)</v>
      </c>
      <c r="D983" s="5"/>
      <c r="E983" s="2" t="s">
        <v>946</v>
      </c>
      <c r="F983" s="1">
        <v>2.0</v>
      </c>
      <c r="G983" s="3" t="s">
        <v>6651</v>
      </c>
    </row>
    <row r="984">
      <c r="A984" s="3" t="s">
        <v>6851</v>
      </c>
      <c r="B984" s="4" t="str">
        <f>IFERROR(__xludf.DUMMYFUNCTION("GOOGLETRANSLATE(A984, ""en"", ""te"")"),"రాఘవ్ అజినోమోటో (MSG)")</f>
        <v>రాఘవ్ అజినోమోటో (MSG)</v>
      </c>
      <c r="C984" s="4" t="str">
        <f>IFERROR(__xludf.DUMMYFUNCTION("GOOGLETRANSLATE(A984, ""en"", ""hi"")"),"राघव अजिनोमोटो (एमएसजी)")</f>
        <v>राघव अजिनोमोटो (एमएसजी)</v>
      </c>
      <c r="D984" s="5"/>
      <c r="E984" s="2" t="s">
        <v>946</v>
      </c>
      <c r="F984" s="1">
        <v>2.0</v>
      </c>
      <c r="G984" s="3" t="s">
        <v>6651</v>
      </c>
    </row>
    <row r="985">
      <c r="A985" s="3" t="s">
        <v>6852</v>
      </c>
      <c r="B985" s="4" t="str">
        <f>IFERROR(__xludf.DUMMYFUNCTION("GOOGLETRANSLATE(A985, ""en"", ""te"")"),"రాఘవ్ బ్లాక్ సాల్ట్")</f>
        <v>రాఘవ్ బ్లాక్ సాల్ట్</v>
      </c>
      <c r="C985" s="4" t="str">
        <f>IFERROR(__xludf.DUMMYFUNCTION("GOOGLETRANSLATE(A985, ""en"", ""hi"")"),"राघव काला नमक")</f>
        <v>राघव काला नमक</v>
      </c>
      <c r="D985" s="2" t="s">
        <v>6853</v>
      </c>
      <c r="E985" s="2" t="s">
        <v>4407</v>
      </c>
      <c r="F985" s="1">
        <v>2.0</v>
      </c>
      <c r="G985" s="3" t="s">
        <v>6651</v>
      </c>
    </row>
    <row r="986">
      <c r="A986" s="3" t="s">
        <v>6854</v>
      </c>
      <c r="B986" s="4" t="str">
        <f>IFERROR(__xludf.DUMMYFUNCTION("GOOGLETRANSLATE(A986, ""en"", ""te"")"),"గిట్స్ బసుంది డెజర్ట్ మిక్స్")</f>
        <v>గిట్స్ బసుంది డెజర్ట్ మిక్స్</v>
      </c>
      <c r="C986" s="4" t="str">
        <f>IFERROR(__xludf.DUMMYFUNCTION("GOOGLETRANSLATE(A986, ""en"", ""hi"")"),"गिट्स बासुंदी मिठाई मिक्स")</f>
        <v>गिट्स बासुंदी मिठाई मिक्स</v>
      </c>
      <c r="D986" s="2" t="s">
        <v>6855</v>
      </c>
      <c r="E986" s="2" t="s">
        <v>3438</v>
      </c>
      <c r="F986" s="1">
        <v>2.0</v>
      </c>
      <c r="G986" s="3" t="s">
        <v>6856</v>
      </c>
    </row>
    <row r="987">
      <c r="A987" s="3" t="s">
        <v>6857</v>
      </c>
      <c r="B987" s="4" t="str">
        <f>IFERROR(__xludf.DUMMYFUNCTION("GOOGLETRANSLATE(A987, ""en"", ""te"")"),"గిట్స్ బొంబాయి హల్వా డెజర్ట్ మిక్స్")</f>
        <v>గిట్స్ బొంబాయి హల్వా డెజర్ట్ మిక్స్</v>
      </c>
      <c r="C987" s="4" t="str">
        <f>IFERROR(__xludf.DUMMYFUNCTION("GOOGLETRANSLATE(A987, ""en"", ""hi"")"),"गिट्स बॉम्बे हलवा मिठाई मिक्स")</f>
        <v>गिट्स बॉम्बे हलवा मिठाई मिक्स</v>
      </c>
      <c r="D987" s="5"/>
      <c r="E987" s="2" t="s">
        <v>3438</v>
      </c>
      <c r="F987" s="1">
        <v>2.0</v>
      </c>
      <c r="G987" s="3" t="s">
        <v>6856</v>
      </c>
    </row>
    <row r="988">
      <c r="A988" s="3" t="s">
        <v>6858</v>
      </c>
      <c r="B988" s="4" t="str">
        <f>IFERROR(__xludf.DUMMYFUNCTION("GOOGLETRANSLATE(A988, ""en"", ""te"")"),"గిట్స్ గులాబ్ జామున్ డెజర్ట్ మిక్స్")</f>
        <v>గిట్స్ గులాబ్ జామున్ డెజర్ట్ మిక్స్</v>
      </c>
      <c r="C988" s="4" t="str">
        <f>IFERROR(__xludf.DUMMYFUNCTION("GOOGLETRANSLATE(A988, ""en"", ""hi"")"),"गिट्स गुलाब जामुन मिठाई मिक्स")</f>
        <v>गिट्स गुलाब जामुन मिठाई मिक्स</v>
      </c>
      <c r="D988" s="5"/>
      <c r="E988" s="2" t="s">
        <v>3438</v>
      </c>
      <c r="F988" s="1">
        <v>2.0</v>
      </c>
      <c r="G988" s="3" t="s">
        <v>6856</v>
      </c>
    </row>
    <row r="989">
      <c r="A989" s="3" t="s">
        <v>6859</v>
      </c>
      <c r="B989" s="4" t="str">
        <f>IFERROR(__xludf.DUMMYFUNCTION("GOOGLETRANSLATE(A989, ""en"", ""te"")"),"గిట్స్ బాస్మతి రైస్ ఖీర్ డెజర్ట్ మిక్స్")</f>
        <v>గిట్స్ బాస్మతి రైస్ ఖీర్ డెజర్ట్ మిక్స్</v>
      </c>
      <c r="C989" s="4" t="str">
        <f>IFERROR(__xludf.DUMMYFUNCTION("GOOGLETRANSLATE(A989, ""en"", ""hi"")"),"गिट्स बासमती चावल की खीर मिठाई मिक्स")</f>
        <v>गिट्स बासमती चावल की खीर मिठाई मिक्स</v>
      </c>
      <c r="D989" s="2" t="s">
        <v>12</v>
      </c>
      <c r="E989" s="2" t="s">
        <v>3438</v>
      </c>
      <c r="F989" s="1">
        <v>2.0</v>
      </c>
      <c r="G989" s="3" t="s">
        <v>6856</v>
      </c>
    </row>
    <row r="990">
      <c r="A990" s="3" t="s">
        <v>6860</v>
      </c>
      <c r="B990" s="4" t="str">
        <f>IFERROR(__xludf.DUMMYFUNCTION("GOOGLETRANSLATE(A990, ""en"", ""te"")"),"గిట్స్ వెర్మిసెల్లి ఖీర్ డెజర్ట్ మిక్స్")</f>
        <v>గిట్స్ వెర్మిసెల్లి ఖీర్ డెజర్ట్ మిక్స్</v>
      </c>
      <c r="C990" s="4" t="str">
        <f>IFERROR(__xludf.DUMMYFUNCTION("GOOGLETRANSLATE(A990, ""en"", ""hi"")"),"गिट्स वर्मीसेली खीर डेज़र्ट मिक्स")</f>
        <v>गिट्स वर्मीसेली खीर डेज़र्ट मिक्स</v>
      </c>
      <c r="D990" s="5"/>
      <c r="E990" s="2" t="s">
        <v>3438</v>
      </c>
      <c r="F990" s="1">
        <v>2.0</v>
      </c>
      <c r="G990" s="3" t="s">
        <v>6856</v>
      </c>
    </row>
    <row r="991">
      <c r="A991" s="3" t="s">
        <v>6861</v>
      </c>
      <c r="B991" s="4" t="str">
        <f>IFERROR(__xludf.DUMMYFUNCTION("GOOGLETRANSLATE(A991, ""en"", ""te"")"),"గిట్స్ దహి వడ స్నాక్ మిక్స్")</f>
        <v>గిట్స్ దహి వడ స్నాక్ మిక్స్</v>
      </c>
      <c r="C991" s="4" t="str">
        <f>IFERROR(__xludf.DUMMYFUNCTION("GOOGLETRANSLATE(A991, ""en"", ""hi"")"),"गिट्स दही वड़ा स्नैक मिक्स")</f>
        <v>गिट्स दही वड़ा स्नैक मिक्स</v>
      </c>
      <c r="D991" s="2" t="s">
        <v>6469</v>
      </c>
      <c r="E991" s="2" t="s">
        <v>1294</v>
      </c>
      <c r="F991" s="1">
        <v>2.0</v>
      </c>
      <c r="G991" s="3" t="s">
        <v>6856</v>
      </c>
    </row>
    <row r="992">
      <c r="A992" s="3" t="s">
        <v>6862</v>
      </c>
      <c r="B992" s="4" t="str">
        <f>IFERROR(__xludf.DUMMYFUNCTION("GOOGLETRANSLATE(A992, ""en"", ""te"")"),"గిట్స్ మేడు వడ బ్రేక్‌ఫాస్ట్ మిక్స్")</f>
        <v>గిట్స్ మేడు వడ బ్రేక్‌ఫాస్ట్ మిక్స్</v>
      </c>
      <c r="C992" s="4" t="str">
        <f>IFERROR(__xludf.DUMMYFUNCTION("GOOGLETRANSLATE(A992, ""en"", ""hi"")"),"गिट्स मेडू वड़ा ब्रेकफास्ट मिक्स")</f>
        <v>गिट्स मेडू वड़ा ब्रेकफास्ट मिक्स</v>
      </c>
      <c r="D992" s="2" t="s">
        <v>6863</v>
      </c>
      <c r="E992" s="2" t="s">
        <v>940</v>
      </c>
      <c r="F992" s="1">
        <v>2.0</v>
      </c>
      <c r="G992" s="3" t="s">
        <v>6856</v>
      </c>
    </row>
    <row r="993">
      <c r="A993" s="3" t="s">
        <v>6864</v>
      </c>
      <c r="B993" s="4" t="str">
        <f>IFERROR(__xludf.DUMMYFUNCTION("GOOGLETRANSLATE(A993, ""en"", ""te"")"),"గిట్స్ ఉప్మా బ్రేక్‌ఫాస్ట్ మిక్స్")</f>
        <v>గిట్స్ ఉప్మా బ్రేక్‌ఫాస్ట్ మిక్స్</v>
      </c>
      <c r="C993" s="4" t="str">
        <f>IFERROR(__xludf.DUMMYFUNCTION("GOOGLETRANSLATE(A993, ""en"", ""hi"")"),"गिट्स उपमा ब्रेकफास्ट मिक्स")</f>
        <v>गिट्स उपमा ब्रेकफास्ट मिक्स</v>
      </c>
      <c r="D993" s="5"/>
      <c r="E993" s="2" t="s">
        <v>940</v>
      </c>
      <c r="F993" s="1">
        <v>2.0</v>
      </c>
      <c r="G993" s="3" t="s">
        <v>6856</v>
      </c>
    </row>
    <row r="994">
      <c r="A994" s="3" t="s">
        <v>6865</v>
      </c>
      <c r="B994" s="4" t="str">
        <f>IFERROR(__xludf.DUMMYFUNCTION("GOOGLETRANSLATE(A994, ""en"", ""te"")"),"లక్ష్మి కాశ్మీరీ రోగన్ జోష్")</f>
        <v>లక్ష్మి కాశ్మీరీ రోగన్ జోష్</v>
      </c>
      <c r="C994" s="4" t="str">
        <f>IFERROR(__xludf.DUMMYFUNCTION("GOOGLETRANSLATE(A994, ""en"", ""hi"")"),"लक्ष्मी कश्मीरी रोगन जोश")</f>
        <v>लक्ष्मी कश्मीरी रोगन जोश</v>
      </c>
      <c r="D994" s="2" t="s">
        <v>6866</v>
      </c>
      <c r="E994" s="2" t="s">
        <v>946</v>
      </c>
      <c r="F994" s="1">
        <v>2.0</v>
      </c>
      <c r="G994" s="3" t="s">
        <v>6867</v>
      </c>
    </row>
    <row r="995">
      <c r="A995" s="3" t="s">
        <v>6868</v>
      </c>
      <c r="B995" s="4" t="str">
        <f>IFERROR(__xludf.DUMMYFUNCTION("GOOGLETRANSLATE(A995, ""en"", ""te"")"),"లక్ష్మి గోవాన్ విందాలూ కర్రీ")</f>
        <v>లక్ష్మి గోవాన్ విందాలూ కర్రీ</v>
      </c>
      <c r="C995" s="4" t="str">
        <f>IFERROR(__xludf.DUMMYFUNCTION("GOOGLETRANSLATE(A995, ""en"", ""hi"")"),"लक्ष्मी गोअन विंदालू करी")</f>
        <v>लक्ष्मी गोअन विंदालू करी</v>
      </c>
      <c r="D995" s="5"/>
      <c r="E995" s="2" t="s">
        <v>946</v>
      </c>
      <c r="F995" s="1">
        <v>2.0</v>
      </c>
      <c r="G995" s="3" t="s">
        <v>6867</v>
      </c>
    </row>
    <row r="996">
      <c r="A996" s="3" t="s">
        <v>6869</v>
      </c>
      <c r="B996" s="4" t="str">
        <f>IFERROR(__xludf.DUMMYFUNCTION("GOOGLETRANSLATE(A996, ""en"", ""te"")"),"లక్ష్మి బొంబాయి వెజిటబుల్ కర్రీ")</f>
        <v>లక్ష్మి బొంబాయి వెజిటబుల్ కర్రీ</v>
      </c>
      <c r="C996" s="4" t="str">
        <f>IFERROR(__xludf.DUMMYFUNCTION("GOOGLETRANSLATE(A996, ""en"", ""hi"")"),"लक्ष्मी बॉम्बे वेजिटेबल करी")</f>
        <v>लक्ष्मी बॉम्बे वेजिटेबल करी</v>
      </c>
      <c r="D996" s="2" t="s">
        <v>6870</v>
      </c>
      <c r="E996" s="2" t="s">
        <v>996</v>
      </c>
      <c r="F996" s="1">
        <v>2.0</v>
      </c>
      <c r="G996" s="3" t="s">
        <v>6867</v>
      </c>
    </row>
    <row r="997">
      <c r="A997" s="3" t="s">
        <v>6871</v>
      </c>
      <c r="B997" s="4" t="str">
        <f>IFERROR(__xludf.DUMMYFUNCTION("GOOGLETRANSLATE(A997, ""en"", ""te"")"),"లక్ష్మి పుదీనా చట్నీ")</f>
        <v>లక్ష్మి పుదీనా చట్నీ</v>
      </c>
      <c r="C997" s="4" t="str">
        <f>IFERROR(__xludf.DUMMYFUNCTION("GOOGLETRANSLATE(A997, ""en"", ""hi"")"),"लक्ष्मी पुदीना चटनी")</f>
        <v>लक्ष्मी पुदीना चटनी</v>
      </c>
      <c r="D997" s="5"/>
      <c r="E997" s="2" t="s">
        <v>996</v>
      </c>
      <c r="F997" s="1">
        <v>2.0</v>
      </c>
      <c r="G997" s="3" t="s">
        <v>6867</v>
      </c>
    </row>
    <row r="998">
      <c r="A998" s="3" t="s">
        <v>6872</v>
      </c>
      <c r="B998" s="4" t="str">
        <f>IFERROR(__xludf.DUMMYFUNCTION("GOOGLETRANSLATE(A998, ""en"", ""te"")"),"లక్ష్మి చింతపండు ఖర్జూర చట్నీ")</f>
        <v>లక్ష్మి చింతపండు ఖర్జూర చట్నీ</v>
      </c>
      <c r="C998" s="4" t="str">
        <f>IFERROR(__xludf.DUMMYFUNCTION("GOOGLETRANSLATE(A998, ""en"", ""hi"")"),"लक्ष्मी इमली खजूर चटनी")</f>
        <v>लक्ष्मी इमली खजूर चटनी</v>
      </c>
      <c r="D998" s="5"/>
      <c r="E998" s="2" t="s">
        <v>996</v>
      </c>
      <c r="F998" s="1">
        <v>2.0</v>
      </c>
      <c r="G998" s="3" t="s">
        <v>6867</v>
      </c>
    </row>
    <row r="999">
      <c r="A999" s="3" t="s">
        <v>6873</v>
      </c>
      <c r="B999" s="4" t="str">
        <f>IFERROR(__xludf.DUMMYFUNCTION("GOOGLETRANSLATE(A999, ""en"", ""te"")"),"బెడెకర్ నిమ్మ మిరపకాయ ఊరగాయ")</f>
        <v>బెడెకర్ నిమ్మ మిరపకాయ ఊరగాయ</v>
      </c>
      <c r="C999" s="4" t="str">
        <f>IFERROR(__xludf.DUMMYFUNCTION("GOOGLETRANSLATE(A999, ""en"", ""hi"")"),"बेडेकर नींबू मिर्च का अचार")</f>
        <v>बेडेकर नींबू मिर्च का अचार</v>
      </c>
      <c r="D999" s="5"/>
      <c r="E999" s="2" t="s">
        <v>996</v>
      </c>
      <c r="F999" s="1">
        <v>2.0</v>
      </c>
      <c r="G999" s="3" t="s">
        <v>6874</v>
      </c>
    </row>
    <row r="1000">
      <c r="A1000" s="3" t="s">
        <v>6875</v>
      </c>
      <c r="B1000" s="4" t="str">
        <f>IFERROR(__xludf.DUMMYFUNCTION("GOOGLETRANSLATE(A1000, ""en"", ""te"")"),"బెడెకర్ మామిడి ఊరగాయ")</f>
        <v>బెడెకర్ మామిడి ఊరగాయ</v>
      </c>
      <c r="C1000" s="4" t="str">
        <f>IFERROR(__xludf.DUMMYFUNCTION("GOOGLETRANSLATE(A1000, ""en"", ""hi"")"),"बेडेकर आम का अचार")</f>
        <v>बेडेकर आम का अचार</v>
      </c>
      <c r="D1000" s="5"/>
      <c r="E1000" s="2" t="s">
        <v>996</v>
      </c>
      <c r="F1000" s="1">
        <v>2.0</v>
      </c>
      <c r="G1000" s="3" t="s">
        <v>6874</v>
      </c>
    </row>
    <row r="1001">
      <c r="A1001" s="3" t="s">
        <v>6876</v>
      </c>
      <c r="B1001" s="4" t="str">
        <f>IFERROR(__xludf.DUMMYFUNCTION("GOOGLETRANSLATE(A1001, ""en"", ""te"")"),"బెడెకర్ నిమ్మ ఊరగాయ తీపి")</f>
        <v>బెడెకర్ నిమ్మ ఊరగాయ తీపి</v>
      </c>
      <c r="C1001" s="4" t="str">
        <f>IFERROR(__xludf.DUMMYFUNCTION("GOOGLETRANSLATE(A1001, ""en"", ""hi"")"),"बेडेकर नींबू का मीठा अचार")</f>
        <v>बेडेकर नींबू का मीठा अचार</v>
      </c>
      <c r="D1001" s="2" t="s">
        <v>6877</v>
      </c>
      <c r="E1001" s="2" t="s">
        <v>996</v>
      </c>
      <c r="F1001" s="1">
        <v>2.0</v>
      </c>
      <c r="G1001" s="3" t="s">
        <v>6874</v>
      </c>
    </row>
    <row r="1002">
      <c r="A1002" s="3" t="s">
        <v>6878</v>
      </c>
      <c r="B1002" s="4" t="str">
        <f>IFERROR(__xludf.DUMMYFUNCTION("GOOGLETRANSLATE(A1002, ""en"", ""te"")"),"MTR గులాబ్ జామున్ మిక్స్")</f>
        <v>MTR గులాబ్ జామున్ మిక్స్</v>
      </c>
      <c r="C1002" s="4" t="str">
        <f>IFERROR(__xludf.DUMMYFUNCTION("GOOGLETRANSLATE(A1002, ""en"", ""hi"")"),"एमटीआर गुलाब जामुन मिक्स")</f>
        <v>एमटीआर गुलाब जामुन मिक्स</v>
      </c>
      <c r="D1002" s="5"/>
      <c r="E1002" s="2" t="s">
        <v>3438</v>
      </c>
      <c r="F1002" s="1">
        <v>2.0</v>
      </c>
      <c r="G1002" s="3" t="s">
        <v>6856</v>
      </c>
    </row>
    <row r="1003">
      <c r="A1003" s="3" t="s">
        <v>6879</v>
      </c>
      <c r="B1003" s="4" t="str">
        <f>IFERROR(__xludf.DUMMYFUNCTION("GOOGLETRANSLATE(A1003, ""en"", ""te"")"),"MTR సేమియా పాయసం మిక్స్")</f>
        <v>MTR సేమియా పాయసం మిక్స్</v>
      </c>
      <c r="C1003" s="4" t="str">
        <f>IFERROR(__xludf.DUMMYFUNCTION("GOOGLETRANSLATE(A1003, ""en"", ""hi"")"),"एमटीआर वर्मीसेली पायसम मिक्स")</f>
        <v>एमटीआर वर्मीसेली पायसम मिक्स</v>
      </c>
      <c r="D1003" s="5"/>
      <c r="E1003" s="2" t="s">
        <v>940</v>
      </c>
      <c r="F1003" s="1">
        <v>2.0</v>
      </c>
      <c r="G1003" s="3" t="s">
        <v>6856</v>
      </c>
    </row>
    <row r="1004">
      <c r="A1004" s="3" t="s">
        <v>6880</v>
      </c>
      <c r="B1004" s="4" t="str">
        <f>IFERROR(__xludf.DUMMYFUNCTION("GOOGLETRANSLATE(A1004, ""en"", ""te"")"),"గిట్స్ ఫిర్నీ డెజర్ట్ మిక్స్")</f>
        <v>గిట్స్ ఫిర్నీ డెజర్ట్ మిక్స్</v>
      </c>
      <c r="C1004" s="4" t="str">
        <f>IFERROR(__xludf.DUMMYFUNCTION("GOOGLETRANSLATE(A1004, ""en"", ""hi"")"),"गिट्स फिरनी मिठाई मिश्रण")</f>
        <v>गिट्स फिरनी मिठाई मिश्रण</v>
      </c>
      <c r="D1004" s="5"/>
      <c r="E1004" s="2" t="s">
        <v>3438</v>
      </c>
      <c r="F1004" s="1">
        <v>2.0</v>
      </c>
      <c r="G1004" s="3" t="s">
        <v>6856</v>
      </c>
    </row>
    <row r="1005">
      <c r="A1005" s="3" t="s">
        <v>6881</v>
      </c>
      <c r="B1005" s="4" t="str">
        <f>IFERROR(__xludf.DUMMYFUNCTION("GOOGLETRANSLATE(A1005, ""en"", ""te"")"),"గిట్స్ జలేబి డెజర్ట్ మిక్స్")</f>
        <v>గిట్స్ జలేబి డెజర్ట్ మిక్స్</v>
      </c>
      <c r="C1005" s="4" t="str">
        <f>IFERROR(__xludf.DUMMYFUNCTION("GOOGLETRANSLATE(A1005, ""en"", ""hi"")"),"गिट्स जलेबी मिठाई मिक्स")</f>
        <v>गिट्स जलेबी मिठाई मिक्स</v>
      </c>
      <c r="D1005" s="5"/>
      <c r="E1005" s="2" t="s">
        <v>3438</v>
      </c>
      <c r="F1005" s="1">
        <v>2.0</v>
      </c>
      <c r="G1005" s="3" t="s">
        <v>6856</v>
      </c>
    </row>
    <row r="1006">
      <c r="A1006" s="3" t="s">
        <v>6882</v>
      </c>
      <c r="B1006" s="4" t="str">
        <f>IFERROR(__xludf.DUMMYFUNCTION("GOOGLETRANSLATE(A1006, ""en"", ""te"")"),"టాంగీ ట్విస్టెడ్ డేట్ టామరిండ్ చట్నీ")</f>
        <v>టాంగీ ట్విస్టెడ్ డేట్ టామరిండ్ చట్నీ</v>
      </c>
      <c r="C1006" s="4" t="str">
        <f>IFERROR(__xludf.DUMMYFUNCTION("GOOGLETRANSLATE(A1006, ""en"", ""hi"")"),"खट्टी-मीठी खजूर और इमली की चटनी")</f>
        <v>खट्टी-मीठी खजूर और इमली की चटनी</v>
      </c>
      <c r="D1006" s="2" t="s">
        <v>6306</v>
      </c>
      <c r="E1006" s="2" t="s">
        <v>996</v>
      </c>
      <c r="F1006" s="1">
        <v>2.0</v>
      </c>
      <c r="G1006" s="3" t="s">
        <v>6867</v>
      </c>
    </row>
    <row r="1007">
      <c r="A1007" s="3" t="s">
        <v>6883</v>
      </c>
      <c r="B1007" s="4" t="str">
        <f>IFERROR(__xludf.DUMMYFUNCTION("GOOGLETRANSLATE(A1007, ""en"", ""te"")"),"లక్ష్మి బటర్ మసాలా వంట సాస్")</f>
        <v>లక్ష్మి బటర్ మసాలా వంట సాస్</v>
      </c>
      <c r="C1007" s="4" t="str">
        <f>IFERROR(__xludf.DUMMYFUNCTION("GOOGLETRANSLATE(A1007, ""en"", ""hi"")"),"लक्ष्मी बटर मसाला कुकिंग सॉस")</f>
        <v>लक्ष्मी बटर मसाला कुकिंग सॉस</v>
      </c>
      <c r="D1007" s="5"/>
      <c r="E1007" s="2" t="s">
        <v>946</v>
      </c>
      <c r="F1007" s="1">
        <v>2.0</v>
      </c>
      <c r="G1007" s="3" t="s">
        <v>6867</v>
      </c>
    </row>
    <row r="1008">
      <c r="A1008" s="3" t="s">
        <v>6884</v>
      </c>
      <c r="B1008" s="4" t="str">
        <f>IFERROR(__xludf.DUMMYFUNCTION("GOOGLETRANSLATE(A1008, ""en"", ""te"")"),"లక్ష్మి రోగన్ జోష్ వంట సాస్")</f>
        <v>లక్ష్మి రోగన్ జోష్ వంట సాస్</v>
      </c>
      <c r="C1008" s="4" t="str">
        <f>IFERROR(__xludf.DUMMYFUNCTION("GOOGLETRANSLATE(A1008, ""en"", ""hi"")"),"लक्ष्मी रोगन जोश कुकिंग सॉस")</f>
        <v>लक्ष्मी रोगन जोश कुकिंग सॉस</v>
      </c>
      <c r="D1008" s="5"/>
      <c r="E1008" s="2" t="s">
        <v>946</v>
      </c>
      <c r="F1008" s="1">
        <v>2.0</v>
      </c>
      <c r="G1008" s="3" t="s">
        <v>6867</v>
      </c>
    </row>
    <row r="1009">
      <c r="A1009" s="3" t="s">
        <v>6885</v>
      </c>
      <c r="B1009" s="4" t="str">
        <f>IFERROR(__xludf.DUMMYFUNCTION("GOOGLETRANSLATE(A1009, ""en"", ""te"")"),"లక్ష్మి విందాలూ కర్రీ సాస్")</f>
        <v>లక్ష్మి విందాలూ కర్రీ సాస్</v>
      </c>
      <c r="C1009" s="4" t="str">
        <f>IFERROR(__xludf.DUMMYFUNCTION("GOOGLETRANSLATE(A1009, ""en"", ""hi"")"),"लक्ष्मी विंदालू करी सॉस")</f>
        <v>लक्ष्मी विंदालू करी सॉस</v>
      </c>
      <c r="D1009" s="5"/>
      <c r="E1009" s="2" t="s">
        <v>946</v>
      </c>
      <c r="F1009" s="1">
        <v>2.0</v>
      </c>
      <c r="G1009" s="3" t="s">
        <v>6867</v>
      </c>
    </row>
    <row r="1010">
      <c r="A1010" s="3" t="s">
        <v>6886</v>
      </c>
      <c r="B1010" s="4" t="str">
        <f>IFERROR(__xludf.DUMMYFUNCTION("GOOGLETRANSLATE(A1010, ""en"", ""te"")"),"లక్ష్మి వెజిటబుల్ కర్రీ సాస్")</f>
        <v>లక్ష్మి వెజిటబుల్ కర్రీ సాస్</v>
      </c>
      <c r="C1010" s="4" t="str">
        <f>IFERROR(__xludf.DUMMYFUNCTION("GOOGLETRANSLATE(A1010, ""en"", ""hi"")"),"लक्ष्मी वेजिटेबल करी सॉस")</f>
        <v>लक्ष्मी वेजिटेबल करी सॉस</v>
      </c>
      <c r="D1010" s="5"/>
      <c r="E1010" s="2" t="s">
        <v>946</v>
      </c>
      <c r="F1010" s="1">
        <v>2.0</v>
      </c>
      <c r="G1010" s="3" t="s">
        <v>6867</v>
      </c>
    </row>
    <row r="1011">
      <c r="A1011" s="3" t="s">
        <v>6887</v>
      </c>
      <c r="B1011" s="4" t="str">
        <f>IFERROR(__xludf.DUMMYFUNCTION("GOOGLETRANSLATE(A1011, ""en"", ""te"")"),"అమ్మ వంటకం క్యారెట్ &amp; మిరపకాయ ఊరగాయ")</f>
        <v>అమ్మ వంటకం క్యారెట్ &amp; మిరపకాయ ఊరగాయ</v>
      </c>
      <c r="C1011" s="4" t="str">
        <f>IFERROR(__xludf.DUMMYFUNCTION("GOOGLETRANSLATE(A1011, ""en"", ""hi"")"),"माँ की रेसिपी से बना गाजर और मिर्च का अचार")</f>
        <v>माँ की रेसिपी से बना गाजर और मिर्च का अचार</v>
      </c>
      <c r="D1011" s="2" t="s">
        <v>6888</v>
      </c>
      <c r="E1011" s="2" t="s">
        <v>996</v>
      </c>
      <c r="F1011" s="1">
        <v>2.0</v>
      </c>
      <c r="G1011" s="3" t="s">
        <v>6874</v>
      </c>
    </row>
    <row r="1012">
      <c r="A1012" s="3" t="s">
        <v>6889</v>
      </c>
      <c r="B1012" s="4" t="str">
        <f>IFERROR(__xludf.DUMMYFUNCTION("GOOGLETRANSLATE(A1012, ""en"", ""te"")"),"అమ్మ వంటకం కూరతో నింపిన ఎర్ర మిరపకాయ ఊరగాయ")</f>
        <v>అమ్మ వంటకం కూరతో నింపిన ఎర్ర మిరపకాయ ఊరగాయ</v>
      </c>
      <c r="C1012" s="4" t="str">
        <f>IFERROR(__xludf.DUMMYFUNCTION("GOOGLETRANSLATE(A1012, ""en"", ""hi"")"),"माँ की रेसिपी से बना भरवां लाल मिर्च का अचार")</f>
        <v>माँ की रेसिपी से बना भरवां लाल मिर्च का अचार</v>
      </c>
      <c r="D1012" s="5"/>
      <c r="E1012" s="2" t="s">
        <v>996</v>
      </c>
      <c r="F1012" s="1">
        <v>2.0</v>
      </c>
      <c r="G1012" s="3" t="s">
        <v>6874</v>
      </c>
    </row>
    <row r="1013">
      <c r="A1013" s="3" t="s">
        <v>6890</v>
      </c>
      <c r="B1013" s="4" t="str">
        <f>IFERROR(__xludf.DUMMYFUNCTION("GOOGLETRANSLATE(A1013, ""en"", ""te"")"),"బెడెకర్ పంజాబీ మామిడి ఊరగాయ")</f>
        <v>బెడెకర్ పంజాబీ మామిడి ఊరగాయ</v>
      </c>
      <c r="C1013" s="4" t="str">
        <f>IFERROR(__xludf.DUMMYFUNCTION("GOOGLETRANSLATE(A1013, ""en"", ""hi"")"),"बेडेकर पंजाबी आम का अचार")</f>
        <v>बेडेकर पंजाबी आम का अचार</v>
      </c>
      <c r="D1013" s="2" t="s">
        <v>6888</v>
      </c>
      <c r="E1013" s="2" t="s">
        <v>996</v>
      </c>
      <c r="F1013" s="1">
        <v>2.0</v>
      </c>
      <c r="G1013" s="3" t="s">
        <v>6874</v>
      </c>
    </row>
    <row r="1014">
      <c r="A1014" s="3" t="s">
        <v>6891</v>
      </c>
      <c r="B1014" s="4" t="str">
        <f>IFERROR(__xludf.DUMMYFUNCTION("GOOGLETRANSLATE(A1014, ""en"", ""te"")"),"బెడెకర్ నిమ్మ మిరపకాయ ఊరగాయ")</f>
        <v>బెడెకర్ నిమ్మ మిరపకాయ ఊరగాయ</v>
      </c>
      <c r="C1014" s="4" t="str">
        <f>IFERROR(__xludf.DUMMYFUNCTION("GOOGLETRANSLATE(A1014, ""en"", ""hi"")"),"बेडेकर नींबू मिर्च का अचार")</f>
        <v>बेडेकर नींबू मिर्च का अचार</v>
      </c>
      <c r="D1014" s="2" t="s">
        <v>6888</v>
      </c>
      <c r="E1014" s="2" t="s">
        <v>996</v>
      </c>
      <c r="F1014" s="1">
        <v>2.0</v>
      </c>
      <c r="G1014" s="3" t="s">
        <v>6874</v>
      </c>
    </row>
    <row r="1015">
      <c r="A1015" s="3" t="s">
        <v>6892</v>
      </c>
      <c r="B1015" s="4" t="str">
        <f>IFERROR(__xludf.DUMMYFUNCTION("GOOGLETRANSLATE(A1015, ""en"", ""te"")"),"బెడెకర్ నిమ్మకాయ ఊరగాయ")</f>
        <v>బెడెకర్ నిమ్మకాయ ఊరగాయ</v>
      </c>
      <c r="C1015" s="4" t="str">
        <f>IFERROR(__xludf.DUMMYFUNCTION("GOOGLETRANSLATE(A1015, ""en"", ""hi"")"),"बेडेकर नींबू का अचार")</f>
        <v>बेडेकर नींबू का अचार</v>
      </c>
      <c r="D1015" s="2" t="s">
        <v>6888</v>
      </c>
      <c r="E1015" s="2" t="s">
        <v>996</v>
      </c>
      <c r="F1015" s="1">
        <v>2.0</v>
      </c>
      <c r="G1015" s="3" t="s">
        <v>6874</v>
      </c>
    </row>
    <row r="1016">
      <c r="A1016" s="3" t="s">
        <v>6893</v>
      </c>
      <c r="B1016" s="4" t="str">
        <f>IFERROR(__xludf.DUMMYFUNCTION("GOOGLETRANSLATE(A1016, ""en"", ""te"")"),"స్వాద్ కేవ్రా వాటర్")</f>
        <v>స్వాద్ కేవ్రా వాటర్</v>
      </c>
      <c r="C1016" s="4" t="str">
        <f>IFERROR(__xludf.DUMMYFUNCTION("GOOGLETRANSLATE(A1016, ""en"", ""hi"")"),"स्वाद केवड़ा जल")</f>
        <v>स्वाद केवड़ा जल</v>
      </c>
      <c r="D1016" s="5"/>
      <c r="E1016" s="2" t="s">
        <v>1330</v>
      </c>
      <c r="F1016" s="1">
        <v>2.0</v>
      </c>
      <c r="G1016" s="3" t="s">
        <v>6894</v>
      </c>
    </row>
    <row r="1017">
      <c r="A1017" s="3" t="s">
        <v>6895</v>
      </c>
      <c r="B1017" s="4" t="str">
        <f>IFERROR(__xludf.DUMMYFUNCTION("GOOGLETRANSLATE(A1017, ""en"", ""te"")"),"స్వాద్ గులాబీ నీరు")</f>
        <v>స్వాద్ గులాబీ నీరు</v>
      </c>
      <c r="C1017" s="4" t="str">
        <f>IFERROR(__xludf.DUMMYFUNCTION("GOOGLETRANSLATE(A1017, ""en"", ""hi"")"),"स्वाद गुलाब जल")</f>
        <v>स्वाद गुलाब जल</v>
      </c>
      <c r="D1017" s="5"/>
      <c r="E1017" s="2" t="s">
        <v>1330</v>
      </c>
      <c r="F1017" s="1">
        <v>2.0</v>
      </c>
      <c r="G1017" s="3" t="s">
        <v>6894</v>
      </c>
    </row>
    <row r="1018">
      <c r="A1018" s="3" t="s">
        <v>6896</v>
      </c>
      <c r="B1018" s="4" t="str">
        <f>IFERROR(__xludf.DUMMYFUNCTION("GOOGLETRANSLATE(A1018, ""en"", ""te"")"),"MTR మినిట్ రసం మిరియాలు")</f>
        <v>MTR మినిట్ రసం మిరియాలు</v>
      </c>
      <c r="C1018" s="4" t="str">
        <f>IFERROR(__xludf.DUMMYFUNCTION("GOOGLETRANSLATE(A1018, ""en"", ""hi"")"),"एमटीआर मिनट रसम पेपर")</f>
        <v>एमटीआर मिनट रसम पेपर</v>
      </c>
      <c r="D1018" s="5"/>
      <c r="E1018" s="2" t="s">
        <v>940</v>
      </c>
      <c r="F1018" s="1">
        <v>2.0</v>
      </c>
      <c r="G1018" s="3" t="s">
        <v>6897</v>
      </c>
    </row>
    <row r="1019">
      <c r="A1019" s="3" t="s">
        <v>6898</v>
      </c>
      <c r="B1019" s="4" t="str">
        <f>IFERROR(__xludf.DUMMYFUNCTION("GOOGLETRANSLATE(A1019, ""en"", ""te"")"),"MTR మద్రాస్ రసం పౌడర్")</f>
        <v>MTR మద్రాస్ రసం పౌడర్</v>
      </c>
      <c r="C1019" s="4" t="str">
        <f>IFERROR(__xludf.DUMMYFUNCTION("GOOGLETRANSLATE(A1019, ""en"", ""hi"")"),"एमटीआर मद्रास रसम पाउडर")</f>
        <v>एमटीआर मद्रास रसम पाउडर</v>
      </c>
      <c r="D1019" s="5"/>
      <c r="E1019" s="2" t="s">
        <v>442</v>
      </c>
      <c r="F1019" s="1">
        <v>2.0</v>
      </c>
      <c r="G1019" s="3" t="s">
        <v>6897</v>
      </c>
    </row>
    <row r="1020">
      <c r="A1020" s="3" t="s">
        <v>6899</v>
      </c>
      <c r="B1020" s="4" t="str">
        <f>IFERROR(__xludf.DUMMYFUNCTION("GOOGLETRANSLATE(A1020, ""en"", ""te"")"),"MTR సాంబార్ పేస్ట్")</f>
        <v>MTR సాంబార్ పేస్ట్</v>
      </c>
      <c r="C1020" s="4" t="str">
        <f>IFERROR(__xludf.DUMMYFUNCTION("GOOGLETRANSLATE(A1020, ""en"", ""hi"")"),"एमटीआर सांभर पेस्ट")</f>
        <v>एमटीआर सांभर पेस्ट</v>
      </c>
      <c r="D1020" s="5"/>
      <c r="E1020" s="2" t="s">
        <v>946</v>
      </c>
      <c r="F1020" s="1">
        <v>2.0</v>
      </c>
      <c r="G1020" s="3" t="s">
        <v>6897</v>
      </c>
    </row>
    <row r="1021">
      <c r="A1021" s="3" t="s">
        <v>6900</v>
      </c>
      <c r="B1021" s="4" t="str">
        <f>IFERROR(__xludf.DUMMYFUNCTION("GOOGLETRANSLATE(A1021, ""en"", ""te"")"),"MTR ఇడ్లీ/దోస/చిల్లీ చట్నీ")</f>
        <v>MTR ఇడ్లీ/దోస/చిల్లీ చట్నీ</v>
      </c>
      <c r="C1021" s="4" t="str">
        <f>IFERROR(__xludf.DUMMYFUNCTION("GOOGLETRANSLATE(A1021, ""en"", ""hi"")"),"एमटीआर इडली/डोसा/चिल्ली चटनी")</f>
        <v>एमटीआर इडली/डोसा/चिल्ली चटनी</v>
      </c>
      <c r="D1021" s="2" t="s">
        <v>6901</v>
      </c>
      <c r="E1021" s="2" t="s">
        <v>940</v>
      </c>
      <c r="F1021" s="1">
        <v>2.0</v>
      </c>
      <c r="G1021" s="3" t="s">
        <v>6897</v>
      </c>
    </row>
    <row r="1022">
      <c r="A1022" s="3" t="s">
        <v>6902</v>
      </c>
      <c r="B1022" s="4" t="str">
        <f>IFERROR(__xludf.DUMMYFUNCTION("GOOGLETRANSLATE(A1022, ""en"", ""te"")"),"MTR గులాబ్ జామున్ డెజర్ట్ మిక్స్")</f>
        <v>MTR గులాబ్ జామున్ డెజర్ట్ మిక్స్</v>
      </c>
      <c r="C1022" s="4" t="str">
        <f>IFERROR(__xludf.DUMMYFUNCTION("GOOGLETRANSLATE(A1022, ""en"", ""hi"")"),"एमटीआर गुलाब जामुन मिठाई मिक्स")</f>
        <v>एमटीआर गुलाब जामुन मिठाई मिक्स</v>
      </c>
      <c r="D1022" s="2" t="s">
        <v>3437</v>
      </c>
      <c r="E1022" s="2" t="s">
        <v>3438</v>
      </c>
      <c r="F1022" s="1">
        <v>2.0</v>
      </c>
      <c r="G1022" s="3" t="s">
        <v>6897</v>
      </c>
    </row>
    <row r="1023">
      <c r="A1023" s="3" t="s">
        <v>6879</v>
      </c>
      <c r="B1023" s="4" t="str">
        <f>IFERROR(__xludf.DUMMYFUNCTION("GOOGLETRANSLATE(A1023, ""en"", ""te"")"),"MTR సేమియా పాయసం మిక్స్")</f>
        <v>MTR సేమియా పాయసం మిక్స్</v>
      </c>
      <c r="C1023" s="4" t="str">
        <f>IFERROR(__xludf.DUMMYFUNCTION("GOOGLETRANSLATE(A1023, ""en"", ""hi"")"),"एमटीआर वर्मीसेली पायसम मिक्स")</f>
        <v>एमटीआर वर्मीसेली पायसम मिक्स</v>
      </c>
      <c r="D1023" s="5"/>
      <c r="E1023" s="2" t="s">
        <v>940</v>
      </c>
      <c r="F1023" s="1">
        <v>2.0</v>
      </c>
      <c r="G1023" s="3" t="s">
        <v>6897</v>
      </c>
    </row>
    <row r="1024">
      <c r="A1024" s="3" t="s">
        <v>6880</v>
      </c>
      <c r="B1024" s="4" t="str">
        <f>IFERROR(__xludf.DUMMYFUNCTION("GOOGLETRANSLATE(A1024, ""en"", ""te"")"),"గిట్స్ ఫిర్నీ డెజర్ట్ మిక్స్")</f>
        <v>గిట్స్ ఫిర్నీ డెజర్ట్ మిక్స్</v>
      </c>
      <c r="C1024" s="4" t="str">
        <f>IFERROR(__xludf.DUMMYFUNCTION("GOOGLETRANSLATE(A1024, ""en"", ""hi"")"),"गिट्स फिरनी मिठाई मिश्रण")</f>
        <v>गिट्स फिरनी मिठाई मिश्रण</v>
      </c>
      <c r="D1024" s="5"/>
      <c r="E1024" s="2" t="s">
        <v>3438</v>
      </c>
      <c r="F1024" s="1">
        <v>2.0</v>
      </c>
      <c r="G1024" s="3" t="s">
        <v>6897</v>
      </c>
    </row>
    <row r="1025">
      <c r="A1025" s="3" t="s">
        <v>6881</v>
      </c>
      <c r="B1025" s="4" t="str">
        <f>IFERROR(__xludf.DUMMYFUNCTION("GOOGLETRANSLATE(A1025, ""en"", ""te"")"),"గిట్స్ జలేబి డెజర్ట్ మిక్స్")</f>
        <v>గిట్స్ జలేబి డెజర్ట్ మిక్స్</v>
      </c>
      <c r="C1025" s="4" t="str">
        <f>IFERROR(__xludf.DUMMYFUNCTION("GOOGLETRANSLATE(A1025, ""en"", ""hi"")"),"गिट्स जलेबी मिठाई मिक्स")</f>
        <v>गिट्स जलेबी मिठाई मिक्स</v>
      </c>
      <c r="D1025" s="5"/>
      <c r="E1025" s="2" t="s">
        <v>3438</v>
      </c>
      <c r="F1025" s="1">
        <v>2.0</v>
      </c>
      <c r="G1025" s="3" t="s">
        <v>6897</v>
      </c>
    </row>
    <row r="1026">
      <c r="A1026" s="3" t="s">
        <v>6903</v>
      </c>
      <c r="B1026" s="4" t="str">
        <f>IFERROR(__xludf.DUMMYFUNCTION("GOOGLETRANSLATE(A1026, ""en"", ""te"")"),"పటాక్ హాట్ చిల్లీ పచ్చడి")</f>
        <v>పటాక్ హాట్ చిల్లీ పచ్చడి</v>
      </c>
      <c r="C1026" s="4" t="str">
        <f>IFERROR(__xludf.DUMMYFUNCTION("GOOGLETRANSLATE(A1026, ""en"", ""hi"")"),"पाटक का तीखा मिर्च का अचार")</f>
        <v>पाटक का तीखा मिर्च का अचार</v>
      </c>
      <c r="D1026" s="2" t="s">
        <v>6904</v>
      </c>
      <c r="E1026" s="2" t="s">
        <v>996</v>
      </c>
      <c r="F1026" s="1">
        <v>2.0</v>
      </c>
      <c r="G1026" s="3" t="s">
        <v>6905</v>
      </c>
    </row>
    <row r="1027">
      <c r="A1027" s="3" t="s">
        <v>6906</v>
      </c>
      <c r="B1027" s="4" t="str">
        <f>IFERROR(__xludf.DUMMYFUNCTION("GOOGLETRANSLATE(A1027, ""en"", ""te"")"),"పటాక్ హాట్ కర్రీ పేస్ట్")</f>
        <v>పటాక్ హాట్ కర్రీ పేస్ట్</v>
      </c>
      <c r="C1027" s="4" t="str">
        <f>IFERROR(__xludf.DUMMYFUNCTION("GOOGLETRANSLATE(A1027, ""en"", ""hi"")"),"पाटक का हॉट करी पेस्ट")</f>
        <v>पाटक का हॉट करी पेस्ट</v>
      </c>
      <c r="D1027" s="5"/>
      <c r="E1027" s="2" t="s">
        <v>946</v>
      </c>
      <c r="F1027" s="1">
        <v>2.0</v>
      </c>
      <c r="G1027" s="3" t="s">
        <v>6905</v>
      </c>
    </row>
    <row r="1028">
      <c r="A1028" s="3" t="s">
        <v>6907</v>
      </c>
      <c r="B1028" s="4" t="str">
        <f>IFERROR(__xludf.DUMMYFUNCTION("GOOGLETRANSLATE(A1028, ""en"", ""te"")"),"టాంగీ ట్విస్టెడ్ బాంబే గోల్డెన్ చట్నీ")</f>
        <v>టాంగీ ట్విస్టెడ్ బాంబే గోల్డెన్ చట్నీ</v>
      </c>
      <c r="C1028" s="4" t="str">
        <f>IFERROR(__xludf.DUMMYFUNCTION("GOOGLETRANSLATE(A1028, ""en"", ""hi"")"),"चटपटी और अनोखी बॉम्बे गोल्डन चटनी")</f>
        <v>चटपटी और अनोखी बॉम्बे गोल्डन चटनी</v>
      </c>
      <c r="D1028" s="5"/>
      <c r="E1028" s="2" t="s">
        <v>996</v>
      </c>
      <c r="F1028" s="1">
        <v>2.0</v>
      </c>
      <c r="G1028" s="3" t="s">
        <v>6905</v>
      </c>
    </row>
    <row r="1029">
      <c r="A1029" s="3" t="s">
        <v>6882</v>
      </c>
      <c r="B1029" s="4" t="str">
        <f>IFERROR(__xludf.DUMMYFUNCTION("GOOGLETRANSLATE(A1029, ""en"", ""te"")"),"టాంగీ ట్విస్టెడ్ డేట్ టామరిండ్ చట్నీ")</f>
        <v>టాంగీ ట్విస్టెడ్ డేట్ టామరిండ్ చట్నీ</v>
      </c>
      <c r="C1029" s="4" t="str">
        <f>IFERROR(__xludf.DUMMYFUNCTION("GOOGLETRANSLATE(A1029, ""en"", ""hi"")"),"खट्टी-मीठी खजूर और इमली की चटनी")</f>
        <v>खट्टी-मीठी खजूर और इमली की चटनी</v>
      </c>
      <c r="D1029" s="2" t="s">
        <v>6306</v>
      </c>
      <c r="E1029" s="2" t="s">
        <v>996</v>
      </c>
      <c r="F1029" s="1">
        <v>2.0</v>
      </c>
      <c r="G1029" s="3" t="s">
        <v>6905</v>
      </c>
    </row>
    <row r="1030">
      <c r="A1030" s="3" t="s">
        <v>6908</v>
      </c>
      <c r="B1030" s="4" t="str">
        <f>IFERROR(__xludf.DUMMYFUNCTION("GOOGLETRANSLATE(A1030, ""en"", ""te"")"),"లక్ష్మి పంజాబీ బటర్ మసాలా")</f>
        <v>లక్ష్మి పంజాబీ బటర్ మసాలా</v>
      </c>
      <c r="C1030" s="4" t="str">
        <f>IFERROR(__xludf.DUMMYFUNCTION("GOOGLETRANSLATE(A1030, ""en"", ""hi"")"),"लक्ष्मी पंजाबी बटर मसाला")</f>
        <v>लक्ष्मी पंजाबी बटर मसाला</v>
      </c>
      <c r="D1030" s="2" t="s">
        <v>1676</v>
      </c>
      <c r="E1030" s="2" t="s">
        <v>946</v>
      </c>
      <c r="F1030" s="1">
        <v>2.0</v>
      </c>
      <c r="G1030" s="3" t="s">
        <v>6905</v>
      </c>
    </row>
    <row r="1031">
      <c r="A1031" s="3" t="s">
        <v>6909</v>
      </c>
      <c r="B1031" s="4" t="str">
        <f>IFERROR(__xludf.DUMMYFUNCTION("GOOGLETRANSLATE(A1031, ""en"", ""te"")"),"అమ్మ వంటకం పచ్చి మిరపకాయల ఊరగాయ")</f>
        <v>అమ్మ వంటకం పచ్చి మిరపకాయల ఊరగాయ</v>
      </c>
      <c r="C1031" s="4" t="str">
        <f>IFERROR(__xludf.DUMMYFUNCTION("GOOGLETRANSLATE(A1031, ""en"", ""hi"")"),"माँ की रेसिपी से बना हरी मिर्च का अचार")</f>
        <v>माँ की रेसिपी से बना हरी मिर्च का अचार</v>
      </c>
      <c r="D1031" s="2" t="s">
        <v>5763</v>
      </c>
      <c r="E1031" s="2" t="s">
        <v>996</v>
      </c>
      <c r="F1031" s="1">
        <v>2.0</v>
      </c>
      <c r="G1031" s="3" t="s">
        <v>6910</v>
      </c>
    </row>
    <row r="1032">
      <c r="A1032" s="3" t="s">
        <v>6911</v>
      </c>
      <c r="B1032" s="4" t="str">
        <f>IFERROR(__xludf.DUMMYFUNCTION("GOOGLETRANSLATE(A1032, ""en"", ""te"")"),"అమ్మ వంటకం లేత మామిడి ఊరగాయ")</f>
        <v>అమ్మ వంటకం లేత మామిడి ఊరగాయ</v>
      </c>
      <c r="C1032" s="4" t="str">
        <f>IFERROR(__xludf.DUMMYFUNCTION("GOOGLETRANSLATE(A1032, ""en"", ""hi"")"),"माँ की रेसिपी से बना कच्चे आम का अचार")</f>
        <v>माँ की रेसिपी से बना कच्चे आम का अचार</v>
      </c>
      <c r="D1032" s="2" t="s">
        <v>5763</v>
      </c>
      <c r="E1032" s="2" t="s">
        <v>996</v>
      </c>
      <c r="F1032" s="1">
        <v>2.0</v>
      </c>
      <c r="G1032" s="3" t="s">
        <v>6910</v>
      </c>
    </row>
    <row r="1033">
      <c r="A1033" s="3" t="s">
        <v>6912</v>
      </c>
      <c r="B1033" s="4" t="str">
        <f>IFERROR(__xludf.DUMMYFUNCTION("GOOGLETRANSLATE(A1033, ""en"", ""te"")"),"మదర్స్ రెసిపీ ఆవకాయ ఊరగాయ")</f>
        <v>మదర్స్ రెసిపీ ఆవకాయ ఊరగాయ</v>
      </c>
      <c r="C1033" s="4" t="str">
        <f>IFERROR(__xludf.DUMMYFUNCTION("GOOGLETRANSLATE(A1033, ""en"", ""hi"")"),"माँ की रेसिपी अवकाया अचार")</f>
        <v>माँ की रेसिपी अवकाया अचार</v>
      </c>
      <c r="D1033" s="2" t="s">
        <v>6913</v>
      </c>
      <c r="E1033" s="2" t="s">
        <v>996</v>
      </c>
      <c r="F1033" s="1">
        <v>2.0</v>
      </c>
      <c r="G1033" s="3" t="s">
        <v>6910</v>
      </c>
    </row>
    <row r="1034">
      <c r="A1034" s="3" t="s">
        <v>6914</v>
      </c>
      <c r="B1034" s="4" t="str">
        <f>IFERROR(__xludf.DUMMYFUNCTION("GOOGLETRANSLATE(A1034, ""en"", ""te"")"),"అమ్మ వంటకం మిశ్రమ పచ్చడి")</f>
        <v>అమ్మ వంటకం మిశ్రమ పచ్చడి</v>
      </c>
      <c r="C1034" s="4" t="str">
        <f>IFERROR(__xludf.DUMMYFUNCTION("GOOGLETRANSLATE(A1034, ""en"", ""hi"")"),"माँ की रेसिपी से बना मिश्रित अचार")</f>
        <v>माँ की रेसिपी से बना मिश्रित अचार</v>
      </c>
      <c r="D1034" s="2" t="s">
        <v>6913</v>
      </c>
      <c r="E1034" s="2" t="s">
        <v>996</v>
      </c>
      <c r="F1034" s="1">
        <v>2.0</v>
      </c>
      <c r="G1034" s="3" t="s">
        <v>6910</v>
      </c>
    </row>
    <row r="1035">
      <c r="A1035" s="3" t="s">
        <v>6915</v>
      </c>
      <c r="B1035" s="4" t="str">
        <f>IFERROR(__xludf.DUMMYFUNCTION("GOOGLETRANSLATE(A1035, ""en"", ""te"")"),"అమ్మ వంటకం క్యారెట్ &amp; మిరపకాయ ఊరగాయ")</f>
        <v>అమ్మ వంటకం క్యారెట్ &amp; మిరపకాయ ఊరగాయ</v>
      </c>
      <c r="C1035" s="4" t="str">
        <f>IFERROR(__xludf.DUMMYFUNCTION("GOOGLETRANSLATE(A1035, ""en"", ""hi"")"),"माँ की रेसिपी से बना गाजर और मिर्च का अचार")</f>
        <v>माँ की रेसिपी से बना गाजर और मिर्च का अचार</v>
      </c>
      <c r="D1035" s="2" t="s">
        <v>6844</v>
      </c>
      <c r="E1035" s="2" t="s">
        <v>996</v>
      </c>
      <c r="F1035" s="1">
        <v>2.0</v>
      </c>
      <c r="G1035" s="3" t="s">
        <v>6910</v>
      </c>
    </row>
    <row r="1036">
      <c r="A1036" s="3" t="s">
        <v>6916</v>
      </c>
      <c r="B1036" s="4" t="str">
        <f>IFERROR(__xludf.DUMMYFUNCTION("GOOGLETRANSLATE(A1036, ""en"", ""te"")"),"అమ్మ వంటకం పంజాబీ మామిడి ఊరగాయ")</f>
        <v>అమ్మ వంటకం పంజాబీ మామిడి ఊరగాయ</v>
      </c>
      <c r="C1036" s="4" t="str">
        <f>IFERROR(__xludf.DUMMYFUNCTION("GOOGLETRANSLATE(A1036, ""en"", ""hi"")"),"माँ की रेसिपी से बना पंजाबी आम का अचार")</f>
        <v>माँ की रेसिपी से बना पंजाबी आम का अचार</v>
      </c>
      <c r="D1036" s="5"/>
      <c r="E1036" s="2" t="s">
        <v>996</v>
      </c>
      <c r="F1036" s="1">
        <v>2.0</v>
      </c>
      <c r="G1036" s="3" t="s">
        <v>6910</v>
      </c>
    </row>
    <row r="1037">
      <c r="A1037" s="3" t="s">
        <v>6889</v>
      </c>
      <c r="B1037" s="4" t="str">
        <f>IFERROR(__xludf.DUMMYFUNCTION("GOOGLETRANSLATE(A1037, ""en"", ""te"")"),"అమ్మ వంటకం కూరతో నింపిన ఎర్ర మిరపకాయ ఊరగాయ")</f>
        <v>అమ్మ వంటకం కూరతో నింపిన ఎర్ర మిరపకాయ ఊరగాయ</v>
      </c>
      <c r="C1037" s="4" t="str">
        <f>IFERROR(__xludf.DUMMYFUNCTION("GOOGLETRANSLATE(A1037, ""en"", ""hi"")"),"माँ की रेसिपी से बना भरवां लाल मिर्च का अचार")</f>
        <v>माँ की रेसिपी से बना भरवां लाल मिर्च का अचार</v>
      </c>
      <c r="D1037" s="5"/>
      <c r="E1037" s="2" t="s">
        <v>996</v>
      </c>
      <c r="F1037" s="1">
        <v>2.0</v>
      </c>
      <c r="G1037" s="3" t="s">
        <v>6910</v>
      </c>
    </row>
    <row r="1038">
      <c r="A1038" s="3" t="s">
        <v>6917</v>
      </c>
      <c r="B1038" s="4" t="str">
        <f>IFERROR(__xludf.DUMMYFUNCTION("GOOGLETRANSLATE(A1038, ""en"", ""te"")"),"బెడెకర్ మామిడి మిరపకాయ ఊరగాయ")</f>
        <v>బెడెకర్ మామిడి మిరపకాయ ఊరగాయ</v>
      </c>
      <c r="C1038" s="4" t="str">
        <f>IFERROR(__xludf.DUMMYFUNCTION("GOOGLETRANSLATE(A1038, ""en"", ""hi"")"),"बेडेकर आम मिर्च का अचार")</f>
        <v>बेडेकर आम मिर्च का अचार</v>
      </c>
      <c r="D1038" s="5"/>
      <c r="E1038" s="2" t="s">
        <v>996</v>
      </c>
      <c r="F1038" s="1">
        <v>2.0</v>
      </c>
      <c r="G1038" s="3" t="s">
        <v>6910</v>
      </c>
    </row>
    <row r="1039">
      <c r="A1039" s="3" t="s">
        <v>6918</v>
      </c>
      <c r="B1039" s="4" t="str">
        <f>IFERROR(__xludf.DUMMYFUNCTION("GOOGLETRANSLATE(A1039, ""en"", ""te"")"),"బెడేకర్ సాంప్రదాయ మామిడి పచ్చడి")</f>
        <v>బెడేకర్ సాంప్రదాయ మామిడి పచ్చడి</v>
      </c>
      <c r="C1039" s="4" t="str">
        <f>IFERROR(__xludf.DUMMYFUNCTION("GOOGLETRANSLATE(A1039, ""en"", ""hi"")"),"बेडेकर पारंपरिक आम का अचार")</f>
        <v>बेडेकर पारंपरिक आम का अचार</v>
      </c>
      <c r="D1039" s="5"/>
      <c r="E1039" s="2" t="s">
        <v>996</v>
      </c>
      <c r="F1039" s="1">
        <v>2.0</v>
      </c>
      <c r="G1039" s="3" t="s">
        <v>6910</v>
      </c>
    </row>
    <row r="1040">
      <c r="A1040" s="3" t="s">
        <v>6919</v>
      </c>
      <c r="B1040" s="4" t="str">
        <f>IFERROR(__xludf.DUMMYFUNCTION("GOOGLETRANSLATE(A1040, ""en"", ""te"")"),"టాంగీ ట్విస్టెడ్ స్వీట్ లైమ్ పికల్")</f>
        <v>టాంగీ ట్విస్టెడ్ స్వీట్ లైమ్ పికల్</v>
      </c>
      <c r="C1040" s="4" t="str">
        <f>IFERROR(__xludf.DUMMYFUNCTION("GOOGLETRANSLATE(A1040, ""en"", ""hi"")"),"खट्टा-मीठा नींबू का अचार")</f>
        <v>खट्टा-मीठा नींबू का अचार</v>
      </c>
      <c r="D1040" s="5"/>
      <c r="E1040" s="2" t="s">
        <v>996</v>
      </c>
      <c r="F1040" s="1">
        <v>2.0</v>
      </c>
      <c r="G1040" s="3" t="s">
        <v>6920</v>
      </c>
    </row>
    <row r="1041">
      <c r="A1041" s="3" t="s">
        <v>6921</v>
      </c>
      <c r="B1041" s="4" t="str">
        <f>IFERROR(__xludf.DUMMYFUNCTION("GOOGLETRANSLATE(A1041, ""en"", ""te"")"),"అనాచి ఉల్లిపాయ పొడి")</f>
        <v>అనాచి ఉల్లిపాయ పొడి</v>
      </c>
      <c r="C1041" s="4" t="str">
        <f>IFERROR(__xludf.DUMMYFUNCTION("GOOGLETRANSLATE(A1041, ""en"", ""hi"")"),"अनाची प्याज पाउडर")</f>
        <v>अनाची प्याज पाउडर</v>
      </c>
      <c r="D1041" s="2" t="s">
        <v>3445</v>
      </c>
      <c r="E1041" s="2" t="s">
        <v>442</v>
      </c>
      <c r="F1041" s="1">
        <v>2.0</v>
      </c>
      <c r="G1041" s="3" t="s">
        <v>6920</v>
      </c>
    </row>
    <row r="1042">
      <c r="A1042" s="3" t="s">
        <v>6922</v>
      </c>
      <c r="B1042" s="4" t="str">
        <f>IFERROR(__xludf.DUMMYFUNCTION("GOOGLETRANSLATE(A1042, ""en"", ""te"")"),"బెడెకర్ బటర్ మసాలా పౌడర్")</f>
        <v>బెడెకర్ బటర్ మసాలా పౌడర్</v>
      </c>
      <c r="C1042" s="4" t="str">
        <f>IFERROR(__xludf.DUMMYFUNCTION("GOOGLETRANSLATE(A1042, ""en"", ""hi"")"),"बेडेकर बटर मसाला पाउडर")</f>
        <v>बेडेकर बटर मसाला पाउडर</v>
      </c>
      <c r="D1042" s="5"/>
      <c r="E1042" s="2" t="s">
        <v>442</v>
      </c>
      <c r="F1042" s="1">
        <v>2.0</v>
      </c>
      <c r="G1042" s="3" t="s">
        <v>6920</v>
      </c>
    </row>
    <row r="1043">
      <c r="A1043" s="3" t="s">
        <v>6923</v>
      </c>
      <c r="B1043" s="4" t="str">
        <f>IFERROR(__xludf.DUMMYFUNCTION("GOOGLETRANSLATE(A1043, ""en"", ""te"")"),"MTR పులియోగారే పౌడర్")</f>
        <v>MTR పులియోగారే పౌడర్</v>
      </c>
      <c r="C1043" s="4" t="str">
        <f>IFERROR(__xludf.DUMMYFUNCTION("GOOGLETRANSLATE(A1043, ""en"", ""hi"")"),"एमटीआर पुलियोगारे पाउडर")</f>
        <v>एमटीआर पुलियोगारे पाउडर</v>
      </c>
      <c r="D1043" s="5"/>
      <c r="E1043" s="2" t="s">
        <v>442</v>
      </c>
      <c r="F1043" s="1">
        <v>2.0</v>
      </c>
      <c r="G1043" s="3" t="s">
        <v>6897</v>
      </c>
    </row>
    <row r="1044">
      <c r="A1044" s="3" t="s">
        <v>6924</v>
      </c>
      <c r="B1044" s="4" t="str">
        <f>IFERROR(__xludf.DUMMYFUNCTION("GOOGLETRANSLATE(A1044, ""en"", ""te"")"),"MTR నిమ్మ బియ్యం పొడి")</f>
        <v>MTR నిమ్మ బియ్యం పొడి</v>
      </c>
      <c r="C1044" s="4" t="str">
        <f>IFERROR(__xludf.DUMMYFUNCTION("GOOGLETRANSLATE(A1044, ""en"", ""hi"")"),"एमटीआर लेमन राइस पाउडर")</f>
        <v>एमटीआर लेमन राइस पाउडर</v>
      </c>
      <c r="D1044" s="2" t="s">
        <v>36</v>
      </c>
      <c r="E1044" s="2" t="s">
        <v>9</v>
      </c>
      <c r="F1044" s="1">
        <v>2.0</v>
      </c>
      <c r="G1044" s="3" t="s">
        <v>6897</v>
      </c>
    </row>
    <row r="1045">
      <c r="A1045" s="3" t="s">
        <v>6878</v>
      </c>
      <c r="B1045" s="4" t="str">
        <f>IFERROR(__xludf.DUMMYFUNCTION("GOOGLETRANSLATE(A1045, ""en"", ""te"")"),"MTR గులాబ్ జామున్ మిక్స్")</f>
        <v>MTR గులాబ్ జామున్ మిక్స్</v>
      </c>
      <c r="C1045" s="4" t="str">
        <f>IFERROR(__xludf.DUMMYFUNCTION("GOOGLETRANSLATE(A1045, ""en"", ""hi"")"),"एमटीआर गुलाब जामुन मिक्स")</f>
        <v>एमटीआर गुलाब जामुन मिक्स</v>
      </c>
      <c r="D1045" s="5"/>
      <c r="E1045" s="2" t="s">
        <v>3438</v>
      </c>
      <c r="F1045" s="1">
        <v>2.0</v>
      </c>
      <c r="G1045" s="3" t="s">
        <v>6897</v>
      </c>
    </row>
    <row r="1046">
      <c r="A1046" s="3" t="s">
        <v>6925</v>
      </c>
      <c r="B1046" s="4" t="str">
        <f>IFERROR(__xludf.DUMMYFUNCTION("GOOGLETRANSLATE(A1046, ""en"", ""te"")"),"పటాక్ హాట్ లైమ్ పచ్చడి")</f>
        <v>పటాక్ హాట్ లైమ్ పచ్చడి</v>
      </c>
      <c r="C1046" s="4" t="str">
        <f>IFERROR(__xludf.DUMMYFUNCTION("GOOGLETRANSLATE(A1046, ""en"", ""hi"")"),"पटाक का गरम नींबू का अचार")</f>
        <v>पटाक का गरम नींबू का अचार</v>
      </c>
      <c r="D1046" s="5"/>
      <c r="E1046" s="2" t="s">
        <v>996</v>
      </c>
      <c r="F1046" s="1">
        <v>2.0</v>
      </c>
      <c r="G1046" s="3" t="s">
        <v>6905</v>
      </c>
    </row>
    <row r="1047">
      <c r="A1047" s="3" t="s">
        <v>6926</v>
      </c>
      <c r="B1047" s="4" t="str">
        <f>IFERROR(__xludf.DUMMYFUNCTION("GOOGLETRANSLATE(A1047, ""en"", ""te"")"),"పటాక్ మామిడి ఊరగాయ")</f>
        <v>పటాక్ మామిడి ఊరగాయ</v>
      </c>
      <c r="C1047" s="4" t="str">
        <f>IFERROR(__xludf.DUMMYFUNCTION("GOOGLETRANSLATE(A1047, ""en"", ""hi"")"),"पाटक का आम का अचार")</f>
        <v>पाटक का आम का अचार</v>
      </c>
      <c r="D1047" s="5"/>
      <c r="E1047" s="2" t="s">
        <v>996</v>
      </c>
      <c r="F1047" s="1">
        <v>2.0</v>
      </c>
      <c r="G1047" s="3" t="s">
        <v>6905</v>
      </c>
    </row>
    <row r="1048">
      <c r="A1048" s="3" t="s">
        <v>6927</v>
      </c>
      <c r="B1048" s="4" t="str">
        <f>IFERROR(__xludf.DUMMYFUNCTION("GOOGLETRANSLATE(A1048, ""en"", ""te"")"),"పటాక్స్ టిక్కా మసాలా పేస్ట్")</f>
        <v>పటాక్స్ టిక్కా మసాలా పేస్ట్</v>
      </c>
      <c r="C1048" s="4" t="str">
        <f>IFERROR(__xludf.DUMMYFUNCTION("GOOGLETRANSLATE(A1048, ""en"", ""hi"")"),"पाटक का टिक्का मसाला पेस्ट")</f>
        <v>पाटक का टिक्का मसाला पेस्ट</v>
      </c>
      <c r="D1048" s="5"/>
      <c r="E1048" s="2" t="s">
        <v>946</v>
      </c>
      <c r="F1048" s="1">
        <v>2.0</v>
      </c>
      <c r="G1048" s="3" t="s">
        <v>6905</v>
      </c>
    </row>
    <row r="1049">
      <c r="A1049" s="3" t="s">
        <v>6928</v>
      </c>
      <c r="B1049" s="4" t="str">
        <f>IFERROR(__xludf.DUMMYFUNCTION("GOOGLETRANSLATE(A1049, ""en"", ""te"")"),"అమ్మ వంటకం అంబా హల్దార్ పచ్చడి")</f>
        <v>అమ్మ వంటకం అంబా హల్దార్ పచ్చడి</v>
      </c>
      <c r="C1049" s="4" t="str">
        <f>IFERROR(__xludf.DUMMYFUNCTION("GOOGLETRANSLATE(A1049, ""en"", ""hi"")"),"माँ की रेसिपी से बना अंबा हल्दी का अचार")</f>
        <v>माँ की रेसिपी से बना अंबा हल्दी का अचार</v>
      </c>
      <c r="D1049" s="5"/>
      <c r="E1049" s="2" t="s">
        <v>996</v>
      </c>
      <c r="F1049" s="1">
        <v>2.0</v>
      </c>
      <c r="G1049" s="3" t="s">
        <v>6910</v>
      </c>
    </row>
    <row r="1050">
      <c r="A1050" s="3" t="s">
        <v>6929</v>
      </c>
      <c r="B1050" s="4" t="str">
        <f>IFERROR(__xludf.DUMMYFUNCTION("GOOGLETRANSLATE(A1050, ""en"", ""te"")"),"మదర్స్ రెసిపీ కరివేపాకు కరమ్ పౌడర్")</f>
        <v>మదర్స్ రెసిపీ కరివేపాకు కరమ్ పౌడర్</v>
      </c>
      <c r="C1050" s="4" t="str">
        <f>IFERROR(__xludf.DUMMYFUNCTION("GOOGLETRANSLATE(A1050, ""en"", ""hi"")"),"माँ की रेसिपी करिवेपाकु करम पाउडर")</f>
        <v>माँ की रेसिपी करिवेपाकु करम पाउडर</v>
      </c>
      <c r="D1050" s="5"/>
      <c r="E1050" s="2" t="s">
        <v>442</v>
      </c>
      <c r="F1050" s="1">
        <v>2.0</v>
      </c>
      <c r="G1050" s="3" t="s">
        <v>6910</v>
      </c>
    </row>
    <row r="1051">
      <c r="A1051" s="3" t="s">
        <v>1106</v>
      </c>
      <c r="B1051" s="4" t="str">
        <f>IFERROR(__xludf.DUMMYFUNCTION("GOOGLETRANSLATE(A1051, ""en"", ""te"")"),"బెడెకర్ ఊరగాయ")</f>
        <v>బెడెకర్ ఊరగాయ</v>
      </c>
      <c r="C1051" s="4" t="str">
        <f>IFERROR(__xludf.DUMMYFUNCTION("GOOGLETRANSLATE(A1051, ""en"", ""hi"")"),"बेडेकर अचार")</f>
        <v>बेडेकर अचार</v>
      </c>
      <c r="D1051" s="5"/>
      <c r="E1051" s="2" t="s">
        <v>996</v>
      </c>
      <c r="F1051" s="1">
        <v>2.0</v>
      </c>
      <c r="G1051" s="3" t="s">
        <v>6920</v>
      </c>
    </row>
    <row r="1052">
      <c r="A1052" s="3" t="s">
        <v>6930</v>
      </c>
      <c r="B1052" s="4" t="str">
        <f>IFERROR(__xludf.DUMMYFUNCTION("GOOGLETRANSLATE(A1052, ""en"", ""te"")"),"టాంగీ ట్విస్టెడ్ పికిల్")</f>
        <v>టాంగీ ట్విస్టెడ్ పికిల్</v>
      </c>
      <c r="C1052" s="4" t="str">
        <f>IFERROR(__xludf.DUMMYFUNCTION("GOOGLETRANSLATE(A1052, ""en"", ""hi"")"),"तीखा घुमावदार अचार")</f>
        <v>तीखा घुमावदार अचार</v>
      </c>
      <c r="D1052" s="2" t="s">
        <v>6604</v>
      </c>
      <c r="E1052" s="2" t="s">
        <v>996</v>
      </c>
      <c r="F1052" s="1">
        <v>2.0</v>
      </c>
      <c r="G1052" s="3" t="s">
        <v>6920</v>
      </c>
    </row>
    <row r="1053">
      <c r="A1053" s="3" t="s">
        <v>6931</v>
      </c>
      <c r="B1053" s="4" t="str">
        <f>IFERROR(__xludf.DUMMYFUNCTION("GOOGLETRANSLATE(A1053, ""en"", ""te"")"),"అమ్మ వంటకం తీపి నిమ్మ ఊరగాయ")</f>
        <v>అమ్మ వంటకం తీపి నిమ్మ ఊరగాయ</v>
      </c>
      <c r="C1053" s="4" t="str">
        <f>IFERROR(__xludf.DUMMYFUNCTION("GOOGLETRANSLATE(A1053, ""en"", ""hi"")"),"माँ की रेसिपी से बना मीठा नींबू का अचार")</f>
        <v>माँ की रेसिपी से बना मीठा नींबू का अचार</v>
      </c>
      <c r="D1053" s="5"/>
      <c r="E1053" s="2" t="s">
        <v>996</v>
      </c>
      <c r="F1053" s="1">
        <v>2.0</v>
      </c>
      <c r="G1053" s="3" t="s">
        <v>6920</v>
      </c>
    </row>
    <row r="1054">
      <c r="A1054" s="3" t="s">
        <v>3428</v>
      </c>
      <c r="B1054" s="4" t="str">
        <f>IFERROR(__xludf.DUMMYFUNCTION("GOOGLETRANSLATE(A1054, ""en"", ""te"")"),"మ్యాగీ 2-నిమిషాల నూడుల్స్")</f>
        <v>మ్యాగీ 2-నిమిషాల నూడుల్స్</v>
      </c>
      <c r="C1054" s="4" t="str">
        <f>IFERROR(__xludf.DUMMYFUNCTION("GOOGLETRANSLATE(A1054, ""en"", ""hi"")"),"मैगी 2-मिनट नूडल्स")</f>
        <v>मैगी 2-मिनट नूडल्स</v>
      </c>
      <c r="D1054" s="2" t="s">
        <v>2314</v>
      </c>
      <c r="E1054" s="2" t="s">
        <v>9</v>
      </c>
      <c r="F1054" s="1">
        <v>2.0</v>
      </c>
      <c r="G1054" s="3" t="s">
        <v>6932</v>
      </c>
    </row>
    <row r="1055">
      <c r="A1055" s="3" t="s">
        <v>6933</v>
      </c>
      <c r="B1055" s="4" t="str">
        <f>IFERROR(__xludf.DUMMYFUNCTION("GOOGLETRANSLATE(A1055, ""en"", ""te"")"),"MTR చనా మసాలా")</f>
        <v>MTR చనా మసాలా</v>
      </c>
      <c r="C1055" s="4" t="str">
        <f>IFERROR(__xludf.DUMMYFUNCTION("GOOGLETRANSLATE(A1055, ""en"", ""hi"")"),"एमटीआर चना मसाला")</f>
        <v>एमटीआर चना मसाला</v>
      </c>
      <c r="D1055" s="5"/>
      <c r="E1055" s="2" t="s">
        <v>940</v>
      </c>
      <c r="F1055" s="1">
        <v>2.0</v>
      </c>
      <c r="G1055" s="3" t="s">
        <v>6905</v>
      </c>
    </row>
    <row r="1056">
      <c r="A1056" s="3" t="s">
        <v>6934</v>
      </c>
      <c r="B1056" s="4" t="str">
        <f>IFERROR(__xludf.DUMMYFUNCTION("GOOGLETRANSLATE(A1056, ""en"", ""te"")"),"MTR ఖమన్ ధోక్లా")</f>
        <v>MTR ఖమన్ ధోక్లా</v>
      </c>
      <c r="C1056" s="4" t="str">
        <f>IFERROR(__xludf.DUMMYFUNCTION("GOOGLETRANSLATE(A1056, ""en"", ""hi"")"),"एमटीआर खमन ढोकला")</f>
        <v>एमटीआर खमन ढोकला</v>
      </c>
      <c r="D1056" s="2" t="s">
        <v>6727</v>
      </c>
      <c r="E1056" s="2" t="s">
        <v>940</v>
      </c>
      <c r="F1056" s="1">
        <v>2.0</v>
      </c>
      <c r="G1056" s="3" t="s">
        <v>6905</v>
      </c>
    </row>
    <row r="1057">
      <c r="A1057" s="3" t="s">
        <v>6935</v>
      </c>
      <c r="B1057" s="4" t="str">
        <f>IFERROR(__xludf.DUMMYFUNCTION("GOOGLETRANSLATE(A1057, ""en"", ""te"")"),"MTR ధోక్లా")</f>
        <v>MTR ధోక్లా</v>
      </c>
      <c r="C1057" s="4" t="str">
        <f>IFERROR(__xludf.DUMMYFUNCTION("GOOGLETRANSLATE(A1057, ""en"", ""hi"")"),"एमटीआर ढोकला")</f>
        <v>एमटीआर ढोकला</v>
      </c>
      <c r="D1057" s="5"/>
      <c r="E1057" s="2" t="s">
        <v>940</v>
      </c>
      <c r="F1057" s="1">
        <v>2.0</v>
      </c>
      <c r="G1057" s="3" t="s">
        <v>6905</v>
      </c>
    </row>
    <row r="1058">
      <c r="A1058" s="3" t="s">
        <v>6923</v>
      </c>
      <c r="B1058" s="4" t="str">
        <f>IFERROR(__xludf.DUMMYFUNCTION("GOOGLETRANSLATE(A1058, ""en"", ""te"")"),"MTR పులియోగారే పౌడర్")</f>
        <v>MTR పులియోగారే పౌడర్</v>
      </c>
      <c r="C1058" s="4" t="str">
        <f>IFERROR(__xludf.DUMMYFUNCTION("GOOGLETRANSLATE(A1058, ""en"", ""hi"")"),"एमटीआर पुलियोगारे पाउडर")</f>
        <v>एमटीआर पुलियोगारे पाउडर</v>
      </c>
      <c r="D1058" s="5"/>
      <c r="E1058" s="2" t="s">
        <v>442</v>
      </c>
      <c r="F1058" s="1">
        <v>2.0</v>
      </c>
      <c r="G1058" s="3" t="s">
        <v>6905</v>
      </c>
    </row>
    <row r="1059">
      <c r="A1059" s="3" t="s">
        <v>6936</v>
      </c>
      <c r="B1059" s="4" t="str">
        <f>IFERROR(__xludf.DUMMYFUNCTION("GOOGLETRANSLATE(A1059, ""en"", ""te"")"),"MTR పులియోగారే పేస్ట్")</f>
        <v>MTR పులియోగారే పేస్ట్</v>
      </c>
      <c r="C1059" s="4" t="str">
        <f>IFERROR(__xludf.DUMMYFUNCTION("GOOGLETRANSLATE(A1059, ""en"", ""hi"")"),"एमटीआर पुलियोगारे पेस्ट")</f>
        <v>एमटीआर पुलियोगारे पेस्ट</v>
      </c>
      <c r="D1059" s="2" t="s">
        <v>6937</v>
      </c>
      <c r="E1059" s="2" t="s">
        <v>946</v>
      </c>
      <c r="F1059" s="1">
        <v>2.0</v>
      </c>
      <c r="G1059" s="3" t="s">
        <v>6905</v>
      </c>
    </row>
    <row r="1060">
      <c r="A1060" s="3" t="s">
        <v>6924</v>
      </c>
      <c r="B1060" s="4" t="str">
        <f>IFERROR(__xludf.DUMMYFUNCTION("GOOGLETRANSLATE(A1060, ""en"", ""te"")"),"MTR నిమ్మ బియ్యం పొడి")</f>
        <v>MTR నిమ్మ బియ్యం పొడి</v>
      </c>
      <c r="C1060" s="4" t="str">
        <f>IFERROR(__xludf.DUMMYFUNCTION("GOOGLETRANSLATE(A1060, ""en"", ""hi"")"),"एमटीआर लेमन राइस पाउडर")</f>
        <v>एमटीआर लेमन राइस पाउडर</v>
      </c>
      <c r="D1060" s="2" t="s">
        <v>36</v>
      </c>
      <c r="E1060" s="2" t="s">
        <v>9</v>
      </c>
      <c r="F1060" s="1">
        <v>2.0</v>
      </c>
      <c r="G1060" s="3" t="s">
        <v>6905</v>
      </c>
    </row>
    <row r="1061">
      <c r="A1061" s="3" t="s">
        <v>6925</v>
      </c>
      <c r="B1061" s="4" t="str">
        <f>IFERROR(__xludf.DUMMYFUNCTION("GOOGLETRANSLATE(A1061, ""en"", ""te"")"),"పటాక్ హాట్ లైమ్ పచ్చడి")</f>
        <v>పటాక్ హాట్ లైమ్ పచ్చడి</v>
      </c>
      <c r="C1061" s="4" t="str">
        <f>IFERROR(__xludf.DUMMYFUNCTION("GOOGLETRANSLATE(A1061, ""en"", ""hi"")"),"पटाक का गरम नींबू का अचार")</f>
        <v>पटाक का गरम नींबू का अचार</v>
      </c>
      <c r="D1061" s="5"/>
      <c r="E1061" s="2" t="s">
        <v>996</v>
      </c>
      <c r="F1061" s="1">
        <v>2.0</v>
      </c>
      <c r="G1061" s="3" t="s">
        <v>6910</v>
      </c>
    </row>
    <row r="1062">
      <c r="A1062" s="3" t="s">
        <v>6938</v>
      </c>
      <c r="B1062" s="4" t="str">
        <f>IFERROR(__xludf.DUMMYFUNCTION("GOOGLETRANSLATE(A1062, ""en"", ""te"")"),"పటాక్ వెల్లుల్లి ఊరగాయ")</f>
        <v>పటాక్ వెల్లుల్లి ఊరగాయ</v>
      </c>
      <c r="C1062" s="4" t="str">
        <f>IFERROR(__xludf.DUMMYFUNCTION("GOOGLETRANSLATE(A1062, ""en"", ""hi"")"),"पटाक का लहसुन का अचार")</f>
        <v>पटाक का लहसुन का अचार</v>
      </c>
      <c r="D1062" s="2" t="s">
        <v>5858</v>
      </c>
      <c r="E1062" s="2" t="s">
        <v>996</v>
      </c>
      <c r="F1062" s="1">
        <v>2.0</v>
      </c>
      <c r="G1062" s="3" t="s">
        <v>6910</v>
      </c>
    </row>
    <row r="1063">
      <c r="A1063" s="3" t="s">
        <v>6926</v>
      </c>
      <c r="B1063" s="4" t="str">
        <f>IFERROR(__xludf.DUMMYFUNCTION("GOOGLETRANSLATE(A1063, ""en"", ""te"")"),"పటాక్ మామిడి ఊరగాయ")</f>
        <v>పటాక్ మామిడి ఊరగాయ</v>
      </c>
      <c r="C1063" s="4" t="str">
        <f>IFERROR(__xludf.DUMMYFUNCTION("GOOGLETRANSLATE(A1063, ""en"", ""hi"")"),"पाटक का आम का अचार")</f>
        <v>पाटक का आम का अचार</v>
      </c>
      <c r="D1063" s="5"/>
      <c r="E1063" s="2" t="s">
        <v>996</v>
      </c>
      <c r="F1063" s="1">
        <v>2.0</v>
      </c>
      <c r="G1063" s="3" t="s">
        <v>6910</v>
      </c>
    </row>
    <row r="1064">
      <c r="A1064" s="3" t="s">
        <v>6927</v>
      </c>
      <c r="B1064" s="4" t="str">
        <f>IFERROR(__xludf.DUMMYFUNCTION("GOOGLETRANSLATE(A1064, ""en"", ""te"")"),"పటాక్స్ టిక్కా మసాలా పేస్ట్")</f>
        <v>పటాక్స్ టిక్కా మసాలా పేస్ట్</v>
      </c>
      <c r="C1064" s="4" t="str">
        <f>IFERROR(__xludf.DUMMYFUNCTION("GOOGLETRANSLATE(A1064, ""en"", ""hi"")"),"पाटक का टिक्का मसाला पेस्ट")</f>
        <v>पाटक का टिक्का मसाला पेस्ट</v>
      </c>
      <c r="D1064" s="5"/>
      <c r="E1064" s="2" t="s">
        <v>946</v>
      </c>
      <c r="F1064" s="1">
        <v>2.0</v>
      </c>
      <c r="G1064" s="3" t="s">
        <v>6910</v>
      </c>
    </row>
    <row r="1065">
      <c r="A1065" s="3" t="s">
        <v>6939</v>
      </c>
      <c r="B1065" s="4" t="str">
        <f>IFERROR(__xludf.DUMMYFUNCTION("GOOGLETRANSLATE(A1065, ""en"", ""te"")"),"అన్ని పుల్ల రెడ్డి ఊరగాయలు")</f>
        <v>అన్ని పుల్ల రెడ్డి ఊరగాయలు</v>
      </c>
      <c r="C1065" s="4" t="str">
        <f>IFERROR(__xludf.DUMMYFUNCTION("GOOGLETRANSLATE(A1065, ""en"", ""hi"")"),"सभी पुल्ला रेड्डी अचार")</f>
        <v>सभी पुल्ला रेड्डी अचार</v>
      </c>
      <c r="D1065" s="2" t="s">
        <v>6940</v>
      </c>
      <c r="E1065" s="2" t="s">
        <v>996</v>
      </c>
      <c r="F1065" s="1">
        <v>2.0</v>
      </c>
      <c r="G1065" s="3" t="s">
        <v>6920</v>
      </c>
    </row>
    <row r="1066">
      <c r="A1066" s="3" t="s">
        <v>6909</v>
      </c>
      <c r="B1066" s="4" t="str">
        <f>IFERROR(__xludf.DUMMYFUNCTION("GOOGLETRANSLATE(A1066, ""en"", ""te"")"),"అమ్మ వంటకం పచ్చి మిరపకాయల ఊరగాయ")</f>
        <v>అమ్మ వంటకం పచ్చి మిరపకాయల ఊరగాయ</v>
      </c>
      <c r="C1066" s="4" t="str">
        <f>IFERROR(__xludf.DUMMYFUNCTION("GOOGLETRANSLATE(A1066, ""en"", ""hi"")"),"माँ की रेसिपी से बना हरी मिर्च का अचार")</f>
        <v>माँ की रेसिपी से बना हरी मिर्च का अचार</v>
      </c>
      <c r="D1066" s="2" t="s">
        <v>5763</v>
      </c>
      <c r="E1066" s="2" t="s">
        <v>996</v>
      </c>
      <c r="F1066" s="1">
        <v>2.0</v>
      </c>
      <c r="G1066" s="3" t="s">
        <v>6920</v>
      </c>
    </row>
    <row r="1067">
      <c r="A1067" s="3" t="s">
        <v>6941</v>
      </c>
      <c r="B1067" s="4" t="str">
        <f>IFERROR(__xludf.DUMMYFUNCTION("GOOGLETRANSLATE(A1067, ""en"", ""te"")"),"లోతైన ప్రాచీన మిల్లెట్ జోవర్ మిల్లెట్")</f>
        <v>లోతైన ప్రాచీన మిల్లెట్ జోవర్ మిల్లెట్</v>
      </c>
      <c r="C1067" s="4" t="str">
        <f>IFERROR(__xludf.DUMMYFUNCTION("GOOGLETRANSLATE(A1067, ""en"", ""hi"")"),"गहरा प्राचीन बाजरा ज्वार बाजरा")</f>
        <v>गहरा प्राचीन बाजरा ज्वार बाजरा</v>
      </c>
      <c r="D1067" s="2" t="s">
        <v>6942</v>
      </c>
      <c r="E1067" s="2" t="s">
        <v>2649</v>
      </c>
      <c r="F1067" s="1">
        <v>2.0</v>
      </c>
      <c r="G1067" s="3" t="s">
        <v>6932</v>
      </c>
    </row>
    <row r="1068">
      <c r="A1068" s="3" t="s">
        <v>6892</v>
      </c>
      <c r="B1068" s="4" t="str">
        <f>IFERROR(__xludf.DUMMYFUNCTION("GOOGLETRANSLATE(A1068, ""en"", ""te"")"),"బెడెకర్ నిమ్మకాయ ఊరగాయ")</f>
        <v>బెడెకర్ నిమ్మకాయ ఊరగాయ</v>
      </c>
      <c r="C1068" s="4" t="str">
        <f>IFERROR(__xludf.DUMMYFUNCTION("GOOGLETRANSLATE(A1068, ""en"", ""hi"")"),"बेडेकर नींबू का अचार")</f>
        <v>बेडेकर नींबू का अचार</v>
      </c>
      <c r="D1068" s="2" t="s">
        <v>6888</v>
      </c>
      <c r="E1068" s="2" t="s">
        <v>996</v>
      </c>
      <c r="F1068" s="1">
        <v>2.0</v>
      </c>
      <c r="G1068" s="3" t="s">
        <v>6932</v>
      </c>
    </row>
    <row r="1069">
      <c r="A1069" s="3" t="s">
        <v>6943</v>
      </c>
      <c r="B1069" s="4" t="str">
        <f>IFERROR(__xludf.DUMMYFUNCTION("GOOGLETRANSLATE(A1069, ""en"", ""te"")"),"కాడ్బరీ డైరీ మిల్క్")</f>
        <v>కాడ్బరీ డైరీ మిల్క్</v>
      </c>
      <c r="C1069" s="4" t="str">
        <f>IFERROR(__xludf.DUMMYFUNCTION("GOOGLETRANSLATE(A1069, ""en"", ""hi"")"),"कैडबरी डेयरी मिल्क")</f>
        <v>कैडबरी डेयरी मिल्क</v>
      </c>
      <c r="D1069" s="2" t="s">
        <v>6944</v>
      </c>
      <c r="E1069" s="2" t="s">
        <v>4100</v>
      </c>
      <c r="F1069" s="1">
        <v>2.0</v>
      </c>
      <c r="G1069" s="3" t="s">
        <v>6945</v>
      </c>
    </row>
    <row r="1070">
      <c r="A1070" s="3" t="s">
        <v>6946</v>
      </c>
      <c r="B1070" s="4" t="str">
        <f>IFERROR(__xludf.DUMMYFUNCTION("GOOGLETRANSLATE(A1070, ""en"", ""te"")"),"MTR మసాలా రవ్వ ఇడ్లీ")</f>
        <v>MTR మసాలా రవ్వ ఇడ్లీ</v>
      </c>
      <c r="C1070" s="4" t="str">
        <f>IFERROR(__xludf.DUMMYFUNCTION("GOOGLETRANSLATE(A1070, ""en"", ""hi"")"),"एमटीआर मसाला रवा इडली")</f>
        <v>एमटीआर मसाला रवा इडली</v>
      </c>
      <c r="D1070" s="2" t="s">
        <v>1356</v>
      </c>
      <c r="E1070" s="2" t="s">
        <v>940</v>
      </c>
      <c r="F1070" s="1">
        <v>2.0</v>
      </c>
      <c r="G1070" s="3" t="s">
        <v>6947</v>
      </c>
    </row>
    <row r="1071">
      <c r="A1071" s="3" t="s">
        <v>6948</v>
      </c>
      <c r="B1071" s="4" t="str">
        <f>IFERROR(__xludf.DUMMYFUNCTION("GOOGLETRANSLATE(A1071, ""en"", ""te"")"),"MTR మసాలా ఉప్మా")</f>
        <v>MTR మసాలా ఉప్మా</v>
      </c>
      <c r="C1071" s="4" t="str">
        <f>IFERROR(__xludf.DUMMYFUNCTION("GOOGLETRANSLATE(A1071, ""en"", ""hi"")"),"एमटीआर मसाला उपमा")</f>
        <v>एमटीआर मसाला उपमा</v>
      </c>
      <c r="D1071" s="5"/>
      <c r="E1071" s="2" t="s">
        <v>940</v>
      </c>
      <c r="F1071" s="1">
        <v>2.0</v>
      </c>
      <c r="G1071" s="3" t="s">
        <v>6947</v>
      </c>
    </row>
    <row r="1072">
      <c r="A1072" s="3" t="s">
        <v>6949</v>
      </c>
      <c r="B1072" s="4" t="str">
        <f>IFERROR(__xludf.DUMMYFUNCTION("GOOGLETRANSLATE(A1072, ""en"", ""te"")"),"MTR బిసిబెలె భత్")</f>
        <v>MTR బిసిబెలె భత్</v>
      </c>
      <c r="C1072" s="4" t="str">
        <f>IFERROR(__xludf.DUMMYFUNCTION("GOOGLETRANSLATE(A1072, ""en"", ""hi"")"),"एमटीआर बिसीबेले भाथ")</f>
        <v>एमटीआर बिसीबेले भाथ</v>
      </c>
      <c r="D1072" s="5"/>
      <c r="E1072" s="2" t="s">
        <v>940</v>
      </c>
      <c r="F1072" s="1">
        <v>2.0</v>
      </c>
      <c r="G1072" s="3" t="s">
        <v>6947</v>
      </c>
    </row>
    <row r="1073">
      <c r="A1073" s="3" t="s">
        <v>6933</v>
      </c>
      <c r="B1073" s="4" t="str">
        <f>IFERROR(__xludf.DUMMYFUNCTION("GOOGLETRANSLATE(A1073, ""en"", ""te"")"),"MTR చనా మసాలా")</f>
        <v>MTR చనా మసాలా</v>
      </c>
      <c r="C1073" s="4" t="str">
        <f>IFERROR(__xludf.DUMMYFUNCTION("GOOGLETRANSLATE(A1073, ""en"", ""hi"")"),"एमटीआर चना मसाला")</f>
        <v>एमटीआर चना मसाला</v>
      </c>
      <c r="D1073" s="5"/>
      <c r="E1073" s="2" t="s">
        <v>940</v>
      </c>
      <c r="F1073" s="1">
        <v>2.0</v>
      </c>
      <c r="G1073" s="3" t="s">
        <v>6947</v>
      </c>
    </row>
    <row r="1074">
      <c r="A1074" s="3" t="s">
        <v>6934</v>
      </c>
      <c r="B1074" s="4" t="str">
        <f>IFERROR(__xludf.DUMMYFUNCTION("GOOGLETRANSLATE(A1074, ""en"", ""te"")"),"MTR ఖమన్ ధోక్లా")</f>
        <v>MTR ఖమన్ ధోక్లా</v>
      </c>
      <c r="C1074" s="4" t="str">
        <f>IFERROR(__xludf.DUMMYFUNCTION("GOOGLETRANSLATE(A1074, ""en"", ""hi"")"),"एमटीआर खमन ढोकला")</f>
        <v>एमटीआर खमन ढोकला</v>
      </c>
      <c r="D1074" s="2" t="s">
        <v>6727</v>
      </c>
      <c r="E1074" s="2" t="s">
        <v>940</v>
      </c>
      <c r="F1074" s="1">
        <v>2.0</v>
      </c>
      <c r="G1074" s="3" t="s">
        <v>6947</v>
      </c>
    </row>
    <row r="1075">
      <c r="A1075" s="3" t="s">
        <v>6950</v>
      </c>
      <c r="B1075" s="4" t="str">
        <f>IFERROR(__xludf.DUMMYFUNCTION("GOOGLETRANSLATE(A1075, ""en"", ""te"")"),"వైఆర్ఎస్ సోడా-బై")</f>
        <v>వైఆర్ఎస్ సోడా-బై</v>
      </c>
      <c r="C1075" s="4" t="str">
        <f>IFERROR(__xludf.DUMMYFUNCTION("GOOGLETRANSLATE(A1075, ""en"", ""hi"")"),"वाईआरएस सोडा-बायो")</f>
        <v>वाईआरएस सोडा-बायो</v>
      </c>
      <c r="D1075" s="2" t="s">
        <v>6951</v>
      </c>
      <c r="E1075" s="2" t="s">
        <v>43</v>
      </c>
      <c r="F1075" s="1">
        <v>2.0</v>
      </c>
      <c r="G1075" s="3" t="s">
        <v>6952</v>
      </c>
    </row>
    <row r="1076">
      <c r="A1076" s="3" t="s">
        <v>6953</v>
      </c>
      <c r="B1076" s="4" t="str">
        <f>IFERROR(__xludf.DUMMYFUNCTION("GOOGLETRANSLATE(A1076, ""en"", ""te"")"),"మసాలా క్యాండీ")</f>
        <v>మసాలా క్యాండీ</v>
      </c>
      <c r="C1076" s="4" t="str">
        <f>IFERROR(__xludf.DUMMYFUNCTION("GOOGLETRANSLATE(A1076, ""en"", ""hi"")"),"मसाला कैंडी")</f>
        <v>मसाला कैंडी</v>
      </c>
      <c r="D1076" s="5"/>
      <c r="E1076" s="2" t="s">
        <v>3438</v>
      </c>
      <c r="F1076" s="1">
        <v>2.0</v>
      </c>
      <c r="G1076" s="3" t="s">
        <v>6952</v>
      </c>
    </row>
    <row r="1077">
      <c r="A1077" s="3" t="s">
        <v>6954</v>
      </c>
      <c r="B1077" s="4" t="str">
        <f>IFERROR(__xludf.DUMMYFUNCTION("GOOGLETRANSLATE(A1077, ""en"", ""te"")"),"పతంజలి మిక్స్డ్ ఫ్రూట్ జామ్")</f>
        <v>పతంజలి మిక్స్డ్ ఫ్రూట్ జామ్</v>
      </c>
      <c r="C1077" s="4" t="str">
        <f>IFERROR(__xludf.DUMMYFUNCTION("GOOGLETRANSLATE(A1077, ""en"", ""hi"")"),"पतंजलि मिक्स्ड फ्रूट जैम")</f>
        <v>पतंजलि मिक्स्ड फ्रूट जैम</v>
      </c>
      <c r="D1077" s="5"/>
      <c r="E1077" s="2" t="s">
        <v>3438</v>
      </c>
      <c r="F1077" s="1">
        <v>2.0</v>
      </c>
      <c r="G1077" s="3" t="s">
        <v>6955</v>
      </c>
    </row>
    <row r="1078">
      <c r="A1078" s="3" t="s">
        <v>6939</v>
      </c>
      <c r="B1078" s="4" t="str">
        <f>IFERROR(__xludf.DUMMYFUNCTION("GOOGLETRANSLATE(A1078, ""en"", ""te"")"),"అన్ని పుల్ల రెడ్డి ఊరగాయలు")</f>
        <v>అన్ని పుల్ల రెడ్డి ఊరగాయలు</v>
      </c>
      <c r="C1078" s="4" t="str">
        <f>IFERROR(__xludf.DUMMYFUNCTION("GOOGLETRANSLATE(A1078, ""en"", ""hi"")"),"सभी पुल्ला रेड्डी अचार")</f>
        <v>सभी पुल्ला रेड्डी अचार</v>
      </c>
      <c r="D1078" s="2" t="s">
        <v>6940</v>
      </c>
      <c r="E1078" s="2" t="s">
        <v>996</v>
      </c>
      <c r="F1078" s="1">
        <v>2.0</v>
      </c>
      <c r="G1078" s="3" t="s">
        <v>6955</v>
      </c>
    </row>
    <row r="1079">
      <c r="A1079" s="3" t="s">
        <v>6956</v>
      </c>
      <c r="B1079" s="4" t="str">
        <f>IFERROR(__xludf.DUMMYFUNCTION("GOOGLETRANSLATE(A1079, ""en"", ""te"")"),"మ్యాగీ పాస్తా మసాలా")</f>
        <v>మ్యాగీ పాస్తా మసాలా</v>
      </c>
      <c r="C1079" s="4" t="str">
        <f>IFERROR(__xludf.DUMMYFUNCTION("GOOGLETRANSLATE(A1079, ""en"", ""hi"")"),"मैगी पास्ता मसाला")</f>
        <v>मैगी पास्ता मसाला</v>
      </c>
      <c r="D1079" s="5"/>
      <c r="E1079" s="2" t="s">
        <v>940</v>
      </c>
      <c r="F1079" s="1">
        <v>2.0</v>
      </c>
      <c r="G1079" s="3" t="s">
        <v>6957</v>
      </c>
    </row>
    <row r="1080">
      <c r="A1080" s="3" t="s">
        <v>6958</v>
      </c>
      <c r="B1080" s="4" t="str">
        <f>IFERROR(__xludf.DUMMYFUNCTION("GOOGLETRANSLATE(A1080, ""en"", ""te"")"),"లోతైన పురాతన మిల్లెట్ లిటిల్ మిల్లెట్")</f>
        <v>లోతైన పురాతన మిల్లెట్ లిటిల్ మిల్లెట్</v>
      </c>
      <c r="C1080" s="4" t="str">
        <f>IFERROR(__xludf.DUMMYFUNCTION("GOOGLETRANSLATE(A1080, ""en"", ""hi"")"),"गहरा प्राचीन बाजरा छोटा बाजरा")</f>
        <v>गहरा प्राचीन बाजरा छोटा बाजरा</v>
      </c>
      <c r="D1080" s="2" t="s">
        <v>6942</v>
      </c>
      <c r="E1080" s="2" t="s">
        <v>2649</v>
      </c>
      <c r="F1080" s="1">
        <v>2.0</v>
      </c>
      <c r="G1080" s="3" t="s">
        <v>6957</v>
      </c>
    </row>
    <row r="1081">
      <c r="A1081" s="3" t="s">
        <v>6941</v>
      </c>
      <c r="B1081" s="4" t="str">
        <f>IFERROR(__xludf.DUMMYFUNCTION("GOOGLETRANSLATE(A1081, ""en"", ""te"")"),"లోతైన ప్రాచీన మిల్లెట్ జోవర్ మిల్లెట్")</f>
        <v>లోతైన ప్రాచీన మిల్లెట్ జోవర్ మిల్లెట్</v>
      </c>
      <c r="C1081" s="4" t="str">
        <f>IFERROR(__xludf.DUMMYFUNCTION("GOOGLETRANSLATE(A1081, ""en"", ""hi"")"),"गहरा प्राचीन बाजरा ज्वार बाजरा")</f>
        <v>गहरा प्राचीन बाजरा ज्वार बाजरा</v>
      </c>
      <c r="D1081" s="2" t="s">
        <v>6942</v>
      </c>
      <c r="E1081" s="2" t="s">
        <v>2649</v>
      </c>
      <c r="F1081" s="1">
        <v>2.0</v>
      </c>
      <c r="G1081" s="3" t="s">
        <v>6957</v>
      </c>
    </row>
    <row r="1082">
      <c r="A1082" s="3" t="s">
        <v>6959</v>
      </c>
      <c r="B1082" s="4" t="str">
        <f>IFERROR(__xludf.DUMMYFUNCTION("GOOGLETRANSLATE(A1082, ""en"", ""te"")"),"మ్యాగీ 2-నిమిషాల నూడుల్స్ బాక్స్")</f>
        <v>మ్యాగీ 2-నిమిషాల నూడుల్స్ బాక్స్</v>
      </c>
      <c r="C1082" s="4" t="str">
        <f>IFERROR(__xludf.DUMMYFUNCTION("GOOGLETRANSLATE(A1082, ""en"", ""hi"")"),"मैगी 2-मिनट नूडल्स बॉक्स")</f>
        <v>मैगी 2-मिनट नूडल्स बॉक्स</v>
      </c>
      <c r="D1082" s="5"/>
      <c r="E1082" s="2" t="s">
        <v>940</v>
      </c>
      <c r="F1082" s="1">
        <v>2.0</v>
      </c>
      <c r="G1082" s="3" t="s">
        <v>6960</v>
      </c>
    </row>
    <row r="1083">
      <c r="A1083" s="3" t="s">
        <v>6961</v>
      </c>
      <c r="B1083" s="4" t="str">
        <f>IFERROR(__xludf.DUMMYFUNCTION("GOOGLETRANSLATE(A1083, ""en"", ""te"")"),"24 మంత్ర రాగి ఇడ్లీ మిక్స్")</f>
        <v>24 మంత్ర రాగి ఇడ్లీ మిక్స్</v>
      </c>
      <c r="C1083" s="4" t="str">
        <f>IFERROR(__xludf.DUMMYFUNCTION("GOOGLETRANSLATE(A1083, ""en"", ""hi"")"),"24 मंत्रा रागी इडली मिक्स")</f>
        <v>24 मंत्रा रागी इडली मिक्स</v>
      </c>
      <c r="D1083" s="2" t="s">
        <v>4366</v>
      </c>
      <c r="E1083" s="2" t="s">
        <v>2649</v>
      </c>
      <c r="F1083" s="1">
        <v>2.0</v>
      </c>
      <c r="G1083" s="3" t="s">
        <v>6947</v>
      </c>
    </row>
    <row r="1084">
      <c r="A1084" s="3" t="s">
        <v>6962</v>
      </c>
      <c r="B1084" s="4" t="str">
        <f>IFERROR(__xludf.DUMMYFUNCTION("GOOGLETRANSLATE(A1084, ""en"", ""te"")"),"MTR రవ్వ దోస")</f>
        <v>MTR రవ్వ దోస</v>
      </c>
      <c r="C1084" s="4" t="str">
        <f>IFERROR(__xludf.DUMMYFUNCTION("GOOGLETRANSLATE(A1084, ""en"", ""hi"")"),"एमटीआर रवा डोसा")</f>
        <v>एमटीआर रवा डोसा</v>
      </c>
      <c r="D1084" s="2" t="s">
        <v>4366</v>
      </c>
      <c r="E1084" s="2" t="s">
        <v>2649</v>
      </c>
      <c r="F1084" s="1">
        <v>2.0</v>
      </c>
      <c r="G1084" s="3" t="s">
        <v>6947</v>
      </c>
    </row>
    <row r="1085">
      <c r="A1085" s="3" t="s">
        <v>6963</v>
      </c>
      <c r="B1085" s="4" t="str">
        <f>IFERROR(__xludf.DUMMYFUNCTION("GOOGLETRANSLATE(A1085, ""en"", ""te"")"),"బోర్విక్స్ బేకింగ్ పౌడర్")</f>
        <v>బోర్విక్స్ బేకింగ్ పౌడర్</v>
      </c>
      <c r="C1085" s="4" t="str">
        <f>IFERROR(__xludf.DUMMYFUNCTION("GOOGLETRANSLATE(A1085, ""en"", ""hi"")"),"बोरविक का बेकिंग पाउडर")</f>
        <v>बोरविक का बेकिंग पाउडर</v>
      </c>
      <c r="D1085" s="2" t="s">
        <v>6964</v>
      </c>
      <c r="E1085" s="2" t="s">
        <v>4100</v>
      </c>
      <c r="F1085" s="1">
        <v>2.0</v>
      </c>
      <c r="G1085" s="3" t="s">
        <v>6952</v>
      </c>
    </row>
    <row r="1086">
      <c r="A1086" s="3" t="s">
        <v>6965</v>
      </c>
      <c r="B1086" s="4" t="str">
        <f>IFERROR(__xludf.DUMMYFUNCTION("GOOGLETRANSLATE(A1086, ""en"", ""te"")"),"వైఆర్ఎస్ సోడా-బి కార్బోనేట్")</f>
        <v>వైఆర్ఎస్ సోడా-బి కార్బోనేట్</v>
      </c>
      <c r="C1086" s="4" t="str">
        <f>IFERROR(__xludf.DUMMYFUNCTION("GOOGLETRANSLATE(A1086, ""en"", ""hi"")"),"वाईआरएस सोडा-बी कार्बोनेट")</f>
        <v>वाईआरएस सोडा-बी कार्बोनेट</v>
      </c>
      <c r="D1086" s="2" t="s">
        <v>6951</v>
      </c>
      <c r="E1086" s="2" t="s">
        <v>1330</v>
      </c>
      <c r="F1086" s="1">
        <v>2.0</v>
      </c>
      <c r="G1086" s="3" t="s">
        <v>6952</v>
      </c>
    </row>
    <row r="1087">
      <c r="A1087" s="3" t="s">
        <v>6966</v>
      </c>
      <c r="B1087" s="4" t="str">
        <f>IFERROR(__xludf.DUMMYFUNCTION("GOOGLETRANSLATE(A1087, ""en"", ""te"")"),"కిస్సాన్ మిక్స్డ్ ఫ్రూట్ జామ్")</f>
        <v>కిస్సాన్ మిక్స్డ్ ఫ్రూట్ జామ్</v>
      </c>
      <c r="C1087" s="4" t="str">
        <f>IFERROR(__xludf.DUMMYFUNCTION("GOOGLETRANSLATE(A1087, ""en"", ""hi"")"),"किसान मिक्स्ड फ्रूट जैम")</f>
        <v>किसान मिक्स्ड फ्रूट जैम</v>
      </c>
      <c r="D1087" s="5"/>
      <c r="E1087" s="2" t="s">
        <v>3438</v>
      </c>
      <c r="F1087" s="1">
        <v>2.0</v>
      </c>
      <c r="G1087" s="3" t="s">
        <v>6955</v>
      </c>
    </row>
    <row r="1088">
      <c r="A1088" s="3" t="s">
        <v>6967</v>
      </c>
      <c r="B1088" s="4" t="str">
        <f>IFERROR(__xludf.DUMMYFUNCTION("GOOGLETRANSLATE(A1088, ""en"", ""te"")"),"స్మిత్ &amp; జోన్స్ సోయా వాడి")</f>
        <v>స్మిత్ &amp; జోన్స్ సోయా వాడి</v>
      </c>
      <c r="C1088" s="4" t="str">
        <f>IFERROR(__xludf.DUMMYFUNCTION("GOOGLETRANSLATE(A1088, ""en"", ""hi"")"),"स्मिथ एंड जोन्स सोया वाडी")</f>
        <v>स्मिथ एंड जोन्स सोया वाडी</v>
      </c>
      <c r="D1088" s="5"/>
      <c r="E1088" s="2" t="s">
        <v>1294</v>
      </c>
      <c r="F1088" s="1">
        <v>2.0</v>
      </c>
      <c r="G1088" s="3" t="s">
        <v>6957</v>
      </c>
    </row>
    <row r="1089">
      <c r="A1089" s="3" t="s">
        <v>6968</v>
      </c>
      <c r="B1089" s="4" t="str">
        <f>IFERROR(__xludf.DUMMYFUNCTION("GOOGLETRANSLATE(A1089, ""en"", ""te"")"),"స్మిత్ &amp; జోన్స్ పాస్తా మసాలా")</f>
        <v>స్మిత్ &amp; జోన్స్ పాస్తా మసాలా</v>
      </c>
      <c r="C1089" s="4" t="str">
        <f>IFERROR(__xludf.DUMMYFUNCTION("GOOGLETRANSLATE(A1089, ""en"", ""hi"")"),"स्मिथ एंड जोन्स पास्ता मसाला")</f>
        <v>स्मिथ एंड जोन्स पास्ता मसाला</v>
      </c>
      <c r="D1089" s="5"/>
      <c r="E1089" s="2" t="s">
        <v>442</v>
      </c>
      <c r="F1089" s="1">
        <v>2.0</v>
      </c>
      <c r="G1089" s="3" t="s">
        <v>6957</v>
      </c>
    </row>
    <row r="1090">
      <c r="A1090" s="3" t="s">
        <v>6969</v>
      </c>
      <c r="B1090" s="4" t="str">
        <f>IFERROR(__xludf.DUMMYFUNCTION("GOOGLETRANSLATE(A1090, ""en"", ""te"")"),"ప్రాచీన మిల్లెట్, లిటిల్ మిల్లెట్, ఎల్బో మాకరోనీ")</f>
        <v>ప్రాచీన మిల్లెట్, లిటిల్ మిల్లెట్, ఎల్బో మాకరోనీ</v>
      </c>
      <c r="C1090" s="4" t="str">
        <f>IFERROR(__xludf.DUMMYFUNCTION("GOOGLETRANSLATE(A1090, ""en"", ""hi"")"),"प्राचीन बाजरा, छोटा बाजरा, एल्बो मैकरोनी")</f>
        <v>प्राचीन बाजरा, छोटा बाजरा, एल्बो मैकरोनी</v>
      </c>
      <c r="D1090" s="5"/>
      <c r="E1090" s="2" t="s">
        <v>2649</v>
      </c>
      <c r="F1090" s="1">
        <v>2.0</v>
      </c>
      <c r="G1090" s="3" t="s">
        <v>6957</v>
      </c>
    </row>
    <row r="1091">
      <c r="A1091" s="3" t="s">
        <v>6970</v>
      </c>
      <c r="B1091" s="4" t="str">
        <f>IFERROR(__xludf.DUMMYFUNCTION("GOOGLETRANSLATE(A1091, ""en"", ""te"")"),"ప్రాచీన జొన్న, జొన్న, మోచేయి, మాకరోనీ")</f>
        <v>ప్రాచీన జొన్న, జొన్న, మోచేయి, మాకరోనీ</v>
      </c>
      <c r="C1091" s="4" t="str">
        <f>IFERROR(__xludf.DUMMYFUNCTION("GOOGLETRANSLATE(A1091, ""en"", ""hi"")"),"प्राचीन बाजरा, ज्वार बाजरा, एल्बो मैकरोनी")</f>
        <v>प्राचीन बाजरा, ज्वार बाजरा, एल्बो मैकरोनी</v>
      </c>
      <c r="D1091" s="5"/>
      <c r="E1091" s="2" t="s">
        <v>2649</v>
      </c>
      <c r="F1091" s="1">
        <v>2.0</v>
      </c>
      <c r="G1091" s="3" t="s">
        <v>6957</v>
      </c>
    </row>
    <row r="1092">
      <c r="A1092" s="3" t="s">
        <v>3428</v>
      </c>
      <c r="B1092" s="4" t="str">
        <f>IFERROR(__xludf.DUMMYFUNCTION("GOOGLETRANSLATE(A1092, ""en"", ""te"")"),"మ్యాగీ 2-నిమిషాల నూడుల్స్")</f>
        <v>మ్యాగీ 2-నిమిషాల నూడుల్స్</v>
      </c>
      <c r="C1092" s="4" t="str">
        <f>IFERROR(__xludf.DUMMYFUNCTION("GOOGLETRANSLATE(A1092, ""en"", ""hi"")"),"मैगी 2-मिनट नूडल्स")</f>
        <v>मैगी 2-मिनट नूडल्स</v>
      </c>
      <c r="D1092" s="2" t="s">
        <v>2314</v>
      </c>
      <c r="E1092" s="2" t="s">
        <v>9</v>
      </c>
      <c r="F1092" s="1">
        <v>2.0</v>
      </c>
      <c r="G1092" s="3" t="s">
        <v>6960</v>
      </c>
    </row>
    <row r="1093">
      <c r="A1093" s="3" t="s">
        <v>6971</v>
      </c>
      <c r="B1093" s="4" t="str">
        <f>IFERROR(__xludf.DUMMYFUNCTION("GOOGLETRANSLATE(A1093, ""en"", ""te"")"),"డాబర్ రియల్ జామ రసం")</f>
        <v>డాబర్ రియల్ జామ రసం</v>
      </c>
      <c r="C1093" s="4" t="str">
        <f>IFERROR(__xludf.DUMMYFUNCTION("GOOGLETRANSLATE(A1093, ""en"", ""hi"")"),"डाबर रियल अमरूद का जूस")</f>
        <v>डाबर रियल अमरूद का जूस</v>
      </c>
      <c r="D1093" s="5"/>
      <c r="E1093" s="2" t="s">
        <v>1330</v>
      </c>
      <c r="F1093" s="1">
        <v>2.0</v>
      </c>
      <c r="G1093" s="3" t="s">
        <v>6960</v>
      </c>
    </row>
    <row r="1094">
      <c r="A1094" s="3" t="s">
        <v>1317</v>
      </c>
      <c r="B1094" s="4" t="str">
        <f>IFERROR(__xludf.DUMMYFUNCTION("GOOGLETRANSLATE(A1094, ""en"", ""te"")"),"రూబికాన్ మామిడి రసం పానీయం")</f>
        <v>రూబికాన్ మామిడి రసం పానీయం</v>
      </c>
      <c r="C1094" s="4" t="str">
        <f>IFERROR(__xludf.DUMMYFUNCTION("GOOGLETRANSLATE(A1094, ""en"", ""hi"")"),"रुबिकॉन मैंगो जूस ड्रिंक")</f>
        <v>रुबिकॉन मैंगो जूस ड्रिंक</v>
      </c>
      <c r="D1094" s="5"/>
      <c r="E1094" s="2" t="s">
        <v>1330</v>
      </c>
      <c r="F1094" s="1">
        <v>2.0</v>
      </c>
      <c r="G1094" s="3" t="s">
        <v>6960</v>
      </c>
    </row>
    <row r="1095">
      <c r="A1095" s="3" t="s">
        <v>6972</v>
      </c>
      <c r="B1095" s="4" t="str">
        <f>IFERROR(__xludf.DUMMYFUNCTION("GOOGLETRANSLATE(A1095, ""en"", ""te"")"),"రూబికాన్ లీచీ జ్యూస్ డ్రింక్")</f>
        <v>రూబికాన్ లీచీ జ్యూస్ డ్రింక్</v>
      </c>
      <c r="C1095" s="4" t="str">
        <f>IFERROR(__xludf.DUMMYFUNCTION("GOOGLETRANSLATE(A1095, ""en"", ""hi"")"),"रुबिकॉन लीची जूस ड्रिंक")</f>
        <v>रुबिकॉन लीची जूस ड्रिंक</v>
      </c>
      <c r="D1095" s="5"/>
      <c r="E1095" s="2" t="s">
        <v>1330</v>
      </c>
      <c r="F1095" s="1">
        <v>2.0</v>
      </c>
      <c r="G1095" s="3" t="s">
        <v>6960</v>
      </c>
    </row>
    <row r="1096">
      <c r="A1096" s="3" t="s">
        <v>1332</v>
      </c>
      <c r="B1096" s="4" t="str">
        <f>IFERROR(__xludf.DUMMYFUNCTION("GOOGLETRANSLATE(A1096, ""en"", ""te"")"),"రూబికాన్ జామ రసం పానీయం")</f>
        <v>రూబికాన్ జామ రసం పానీయం</v>
      </c>
      <c r="C1096" s="4" t="str">
        <f>IFERROR(__xludf.DUMMYFUNCTION("GOOGLETRANSLATE(A1096, ""en"", ""hi"")"),"रुबिकॉन अमरूद का जूस पेय")</f>
        <v>रुबिकॉन अमरूद का जूस पेय</v>
      </c>
      <c r="D1096" s="5"/>
      <c r="E1096" s="2" t="s">
        <v>1330</v>
      </c>
      <c r="F1096" s="1">
        <v>2.0</v>
      </c>
      <c r="G1096" s="3" t="s">
        <v>6960</v>
      </c>
    </row>
    <row r="1097">
      <c r="A1097" s="3" t="s">
        <v>6973</v>
      </c>
      <c r="B1097" s="4" t="str">
        <f>IFERROR(__xludf.DUMMYFUNCTION("GOOGLETRANSLATE(A1097, ""en"", ""te"")"),"విద్యా ఫుడ్స్ డాబెలి బన్స్")</f>
        <v>విద్యా ఫుడ్స్ డాబెలి బన్స్</v>
      </c>
      <c r="C1097" s="4" t="str">
        <f>IFERROR(__xludf.DUMMYFUNCTION("GOOGLETRANSLATE(A1097, ""en"", ""hi"")"),"विद्या फूड्स डबेली बन्स")</f>
        <v>विद्या फूड्स डबेली बन्स</v>
      </c>
      <c r="D1097" s="5"/>
      <c r="E1097" s="2" t="s">
        <v>4100</v>
      </c>
      <c r="F1097" s="1">
        <v>2.0</v>
      </c>
      <c r="G1097" s="3" t="s">
        <v>6974</v>
      </c>
    </row>
    <row r="1098">
      <c r="A1098" s="3" t="s">
        <v>6975</v>
      </c>
      <c r="B1098" s="4" t="str">
        <f>IFERROR(__xludf.DUMMYFUNCTION("GOOGLETRANSLATE(A1098, ""en"", ""te"")"),"బేకరీ బన్స్")</f>
        <v>బేకరీ బన్స్</v>
      </c>
      <c r="C1098" s="4" t="str">
        <f>IFERROR(__xludf.DUMMYFUNCTION("GOOGLETRANSLATE(A1098, ""en"", ""hi"")"),"बेकरी बन्स")</f>
        <v>बेकरी बन्स</v>
      </c>
      <c r="D1098" s="5"/>
      <c r="E1098" s="2" t="s">
        <v>4100</v>
      </c>
      <c r="F1098" s="1">
        <v>2.0</v>
      </c>
      <c r="G1098" s="3" t="s">
        <v>6974</v>
      </c>
    </row>
    <row r="1099">
      <c r="A1099" s="3" t="s">
        <v>1358</v>
      </c>
      <c r="B1099" s="4" t="str">
        <f>IFERROR(__xludf.DUMMYFUNCTION("GOOGLETRANSLATE(A1099, ""en"", ""te"")"),"విద్యా ఫుడ్స్ పావ్ భాజీ బన్స్")</f>
        <v>విద్యా ఫుడ్స్ పావ్ భాజీ బన్స్</v>
      </c>
      <c r="C1099" s="4" t="str">
        <f>IFERROR(__xludf.DUMMYFUNCTION("GOOGLETRANSLATE(A1099, ""en"", ""hi"")"),"विद्या फूड्स पाव भाजी बन्स")</f>
        <v>विद्या फूड्स पाव भाजी बन्स</v>
      </c>
      <c r="D1099" s="5"/>
      <c r="E1099" s="2" t="s">
        <v>1294</v>
      </c>
      <c r="F1099" s="1">
        <v>2.0</v>
      </c>
      <c r="G1099" s="3" t="s">
        <v>6976</v>
      </c>
    </row>
    <row r="1100">
      <c r="A1100" s="3" t="s">
        <v>6977</v>
      </c>
      <c r="B1100" s="4" t="str">
        <f>IFERROR(__xludf.DUMMYFUNCTION("GOOGLETRANSLATE(A1100, ""en"", ""te"")"),"విద్యా ఫుడ్స్ వైట్ బన్")</f>
        <v>విద్యా ఫుడ్స్ వైట్ బన్</v>
      </c>
      <c r="C1100" s="4" t="str">
        <f>IFERROR(__xludf.DUMMYFUNCTION("GOOGLETRANSLATE(A1100, ""en"", ""hi"")"),"विद्या फूड्स का सफेद बन")</f>
        <v>विद्या फूड्स का सफेद बन</v>
      </c>
      <c r="D1100" s="5"/>
      <c r="E1100" s="2" t="s">
        <v>4100</v>
      </c>
      <c r="F1100" s="1">
        <v>2.0</v>
      </c>
      <c r="G1100" s="3" t="s">
        <v>6976</v>
      </c>
    </row>
    <row r="1101">
      <c r="A1101" s="3" t="s">
        <v>6978</v>
      </c>
      <c r="B1101" s="4" t="str">
        <f>IFERROR(__xludf.DUMMYFUNCTION("GOOGLETRANSLATE(A1101, ""en"", ""te"")"),"సోయా వాడి")</f>
        <v>సోయా వాడి</v>
      </c>
      <c r="C1101" s="4" t="str">
        <f>IFERROR(__xludf.DUMMYFUNCTION("GOOGLETRANSLATE(A1101, ""en"", ""hi"")"),"सोया वड़ी")</f>
        <v>सोया वड़ी</v>
      </c>
      <c r="D1101" s="5"/>
      <c r="E1101" s="2" t="s">
        <v>940</v>
      </c>
      <c r="F1101" s="1">
        <v>2.0</v>
      </c>
      <c r="G1101" s="3" t="s">
        <v>6976</v>
      </c>
    </row>
    <row r="1102">
      <c r="A1102" s="3" t="s">
        <v>6979</v>
      </c>
      <c r="B1102" s="4" t="str">
        <f>IFERROR(__xludf.DUMMYFUNCTION("GOOGLETRANSLATE(A1102, ""en"", ""te"")"),"ముక్కలుగా కోసిన రొట్టె")</f>
        <v>ముక్కలుగా కోసిన రొట్టె</v>
      </c>
      <c r="C1102" s="4" t="str">
        <f>IFERROR(__xludf.DUMMYFUNCTION("GOOGLETRANSLATE(A1102, ""en"", ""hi"")"),"कटी हुई ब्रेड")</f>
        <v>कटी हुई ब्रेड</v>
      </c>
      <c r="D1102" s="5"/>
      <c r="E1102" s="2" t="s">
        <v>4100</v>
      </c>
      <c r="F1102" s="1">
        <v>2.0</v>
      </c>
      <c r="G1102" s="3" t="s">
        <v>6980</v>
      </c>
    </row>
    <row r="1103">
      <c r="A1103" s="3" t="s">
        <v>6981</v>
      </c>
      <c r="B1103" s="4" t="str">
        <f>IFERROR(__xludf.DUMMYFUNCTION("GOOGLETRANSLATE(A1103, ""en"", ""te"")"),"KCF ఎండుద్రాక్ష తీపి రొట్టె")</f>
        <v>KCF ఎండుద్రాక్ష తీపి రొట్టె</v>
      </c>
      <c r="C1103" s="4" t="str">
        <f>IFERROR(__xludf.DUMMYFUNCTION("GOOGLETRANSLATE(A1103, ""en"", ""hi"")"),"केसीएफ किशमिश मीठी ब्रेड")</f>
        <v>केसीएफ किशमिश मीठी ब्रेड</v>
      </c>
      <c r="D1103" s="5"/>
      <c r="E1103" s="2" t="s">
        <v>4100</v>
      </c>
      <c r="F1103" s="1">
        <v>2.0</v>
      </c>
      <c r="G1103" s="3" t="s">
        <v>6980</v>
      </c>
    </row>
    <row r="1104">
      <c r="A1104" s="3" t="s">
        <v>6982</v>
      </c>
      <c r="B1104" s="4" t="str">
        <f>IFERROR(__xludf.DUMMYFUNCTION("GOOGLETRANSLATE(A1104, ""en"", ""te"")"),"తీపి రొట్టె")</f>
        <v>తీపి రొట్టె</v>
      </c>
      <c r="C1104" s="4" t="str">
        <f>IFERROR(__xludf.DUMMYFUNCTION("GOOGLETRANSLATE(A1104, ""en"", ""hi"")"),"मीठी ब्रेड")</f>
        <v>मीठी ब्रेड</v>
      </c>
      <c r="D1104" s="5"/>
      <c r="E1104" s="2" t="s">
        <v>4100</v>
      </c>
      <c r="F1104" s="1">
        <v>2.0</v>
      </c>
      <c r="G1104" s="3" t="s">
        <v>6980</v>
      </c>
    </row>
    <row r="1105">
      <c r="A1105" s="3" t="s">
        <v>6983</v>
      </c>
      <c r="B1105" s="4" t="str">
        <f>IFERROR(__xludf.DUMMYFUNCTION("GOOGLETRANSLATE(A1105, ""en"", ""te"")"),"అచార్ ఖరేక్ పచ్చడి")</f>
        <v>అచార్ ఖరేక్ పచ్చడి</v>
      </c>
      <c r="C1105" s="4" t="str">
        <f>IFERROR(__xludf.DUMMYFUNCTION("GOOGLETRANSLATE(A1105, ""en"", ""hi"")"),"अचार खारेक अचार")</f>
        <v>अचार खारेक अचार</v>
      </c>
      <c r="D1105" s="5"/>
      <c r="E1105" s="2" t="s">
        <v>996</v>
      </c>
      <c r="F1105" s="1">
        <v>2.0</v>
      </c>
      <c r="G1105" s="3" t="s">
        <v>6984</v>
      </c>
    </row>
    <row r="1106">
      <c r="A1106" s="3" t="s">
        <v>6985</v>
      </c>
      <c r="B1106" s="4" t="str">
        <f>IFERROR(__xludf.DUMMYFUNCTION("GOOGLETRANSLATE(A1106, ""en"", ""te"")"),"విక్సెన్ బ్యాడ్మింటన్ గిఫ్ట్ సెట్")</f>
        <v>విక్సెన్ బ్యాడ్మింటన్ గిఫ్ట్ సెట్</v>
      </c>
      <c r="C1106" s="4" t="str">
        <f>IFERROR(__xludf.DUMMYFUNCTION("GOOGLETRANSLATE(A1106, ""en"", ""hi"")"),"विक्सेन बैडमिंटन गिफ्ट सेट")</f>
        <v>विक्सेन बैडमिंटन गिफ्ट सेट</v>
      </c>
      <c r="D1106" s="5"/>
      <c r="E1106" s="2" t="s">
        <v>2279</v>
      </c>
      <c r="F1106" s="1">
        <v>2.0</v>
      </c>
      <c r="G1106" s="3" t="s">
        <v>6986</v>
      </c>
    </row>
    <row r="1107">
      <c r="A1107" s="3" t="s">
        <v>6987</v>
      </c>
      <c r="B1107" s="4" t="str">
        <f>IFERROR(__xludf.DUMMYFUNCTION("GOOGLETRANSLATE(A1107, ""en"", ""te"")"),"బాల్ ఉతా నామ్ బనా టెన్నిస్ బంతులు")</f>
        <v>బాల్ ఉతా నామ్ బనా టెన్నిస్ బంతులు</v>
      </c>
      <c r="C1107" s="4" t="str">
        <f>IFERROR(__xludf.DUMMYFUNCTION("GOOGLETRANSLATE(A1107, ""en"", ""hi"")"),"बॉल उठा नाम बना टेनिस बॉल्स")</f>
        <v>बॉल उठा नाम बना टेनिस बॉल्स</v>
      </c>
      <c r="D1107" s="5"/>
      <c r="E1107" s="2" t="s">
        <v>2279</v>
      </c>
      <c r="F1107" s="1">
        <v>2.0</v>
      </c>
      <c r="G1107" s="3" t="s">
        <v>6986</v>
      </c>
    </row>
    <row r="1108">
      <c r="A1108" s="3" t="s">
        <v>6988</v>
      </c>
      <c r="B1108" s="4" t="str">
        <f>IFERROR(__xludf.DUMMYFUNCTION("GOOGLETRANSLATE(A1108, ""en"", ""te"")"),"నివియా క్రికెట్ టెన్నిస్ బాల్")</f>
        <v>నివియా క్రికెట్ టెన్నిస్ బాల్</v>
      </c>
      <c r="C1108" s="4" t="str">
        <f>IFERROR(__xludf.DUMMYFUNCTION("GOOGLETRANSLATE(A1108, ""en"", ""hi"")"),"निविया क्रिकेट टेनिस बॉल")</f>
        <v>निविया क्रिकेट टेनिस बॉल</v>
      </c>
      <c r="D1108" s="5"/>
      <c r="E1108" s="2" t="s">
        <v>2279</v>
      </c>
      <c r="F1108" s="1">
        <v>2.0</v>
      </c>
      <c r="G1108" s="3" t="s">
        <v>6986</v>
      </c>
    </row>
    <row r="1109">
      <c r="A1109" s="3" t="s">
        <v>6989</v>
      </c>
      <c r="B1109" s="4" t="str">
        <f>IFERROR(__xludf.DUMMYFUNCTION("GOOGLETRANSLATE(A1109, ""en"", ""te"")"),"చందన్ గులాబ్ మిక్స్")</f>
        <v>చందన్ గులాబ్ మిక్స్</v>
      </c>
      <c r="C1109" s="4" t="str">
        <f>IFERROR(__xludf.DUMMYFUNCTION("GOOGLETRANSLATE(A1109, ""en"", ""hi"")"),"चंदन गुलाब मिक्स")</f>
        <v>चंदन गुलाब मिक्स</v>
      </c>
      <c r="D1109" s="2" t="s">
        <v>2520</v>
      </c>
      <c r="E1109" s="2" t="s">
        <v>442</v>
      </c>
      <c r="F1109" s="1">
        <v>2.0</v>
      </c>
      <c r="G1109" s="3" t="s">
        <v>6990</v>
      </c>
    </row>
    <row r="1110">
      <c r="A1110" s="3" t="s">
        <v>6991</v>
      </c>
      <c r="B1110" s="4" t="str">
        <f>IFERROR(__xludf.DUMMYFUNCTION("GOOGLETRANSLATE(A1110, ""en"", ""te"")"),"చందన్ ఏలకుల సోంపు")</f>
        <v>చందన్ ఏలకుల సోంపు</v>
      </c>
      <c r="C1110" s="4" t="str">
        <f>IFERROR(__xludf.DUMMYFUNCTION("GOOGLETRANSLATE(A1110, ""en"", ""hi"")"),"चंदन इलायची सौंफ")</f>
        <v>चंदन इलायची सौंफ</v>
      </c>
      <c r="D1110" s="5"/>
      <c r="E1110" s="2" t="s">
        <v>442</v>
      </c>
      <c r="F1110" s="1">
        <v>2.0</v>
      </c>
      <c r="G1110" s="3" t="s">
        <v>6990</v>
      </c>
    </row>
    <row r="1111">
      <c r="A1111" s="3" t="s">
        <v>6992</v>
      </c>
      <c r="B1111" s="4" t="str">
        <f>IFERROR(__xludf.DUMMYFUNCTION("GOOGLETRANSLATE(A1111, ""en"", ""te"")"),"అద్రఖ్ పచక్ 150 గ్రాములు")</f>
        <v>అద్రఖ్ పచక్ 150 గ్రాములు</v>
      </c>
      <c r="C1111" s="4" t="str">
        <f>IFERROR(__xludf.DUMMYFUNCTION("GOOGLETRANSLATE(A1111, ""en"", ""hi"")"),"अद्रख पाचक 150 ग्राम")</f>
        <v>अद्रख पाचक 150 ग्राम</v>
      </c>
      <c r="D1111" s="5"/>
      <c r="E1111" s="2" t="s">
        <v>442</v>
      </c>
      <c r="F1111" s="1">
        <v>2.0</v>
      </c>
      <c r="G1111" s="3" t="s">
        <v>6990</v>
      </c>
    </row>
    <row r="1112">
      <c r="A1112" s="3" t="s">
        <v>6993</v>
      </c>
      <c r="B1112" s="4" t="str">
        <f>IFERROR(__xludf.DUMMYFUNCTION("GOOGLETRANSLATE(A1112, ""en"", ""te"")"),"రాయల్ రాజ్వాడి మౌత్ ఫ్రెషనర్")</f>
        <v>రాయల్ రాజ్వాడి మౌత్ ఫ్రెషనర్</v>
      </c>
      <c r="C1112" s="4" t="str">
        <f>IFERROR(__xludf.DUMMYFUNCTION("GOOGLETRANSLATE(A1112, ""en"", ""hi"")"),"रॉयल राजवाड़ी माउथ फ्रेशनर")</f>
        <v>रॉयल राजवाड़ी माउथ फ्रेशनर</v>
      </c>
      <c r="D1112" s="5"/>
      <c r="E1112" s="2" t="s">
        <v>48</v>
      </c>
      <c r="F1112" s="1">
        <v>2.0</v>
      </c>
      <c r="G1112" s="3" t="s">
        <v>6990</v>
      </c>
    </row>
    <row r="1113">
      <c r="A1113" s="3" t="s">
        <v>6994</v>
      </c>
      <c r="B1113" s="4" t="str">
        <f>IFERROR(__xludf.DUMMYFUNCTION("GOOGLETRANSLATE(A1113, ""en"", ""te"")"),"రాయల్ కాశ్మీరీ మౌత్ ఫ్రెషనర్")</f>
        <v>రాయల్ కాశ్మీరీ మౌత్ ఫ్రెషనర్</v>
      </c>
      <c r="C1113" s="4" t="str">
        <f>IFERROR(__xludf.DUMMYFUNCTION("GOOGLETRANSLATE(A1113, ""en"", ""hi"")"),"रॉयल कश्मीरी माउथ फ्रेशनर")</f>
        <v>रॉयल कश्मीरी माउथ फ्रेशनर</v>
      </c>
      <c r="D1113" s="2" t="s">
        <v>4472</v>
      </c>
      <c r="E1113" s="2" t="s">
        <v>442</v>
      </c>
      <c r="F1113" s="1">
        <v>2.0</v>
      </c>
      <c r="G1113" s="3" t="s">
        <v>6990</v>
      </c>
    </row>
    <row r="1114">
      <c r="A1114" s="3" t="s">
        <v>6995</v>
      </c>
      <c r="B1114" s="4" t="str">
        <f>IFERROR(__xludf.DUMMYFUNCTION("GOOGLETRANSLATE(A1114, ""en"", ""te"")"),"ఖజురి మిక్స్ మౌత్ ఫ్రెషనర్")</f>
        <v>ఖజురి మిక్స్ మౌత్ ఫ్రెషనర్</v>
      </c>
      <c r="C1114" s="4" t="str">
        <f>IFERROR(__xludf.DUMMYFUNCTION("GOOGLETRANSLATE(A1114, ""en"", ""hi"")"),"खजूरी मिक्स माउथ फ्रेशनर")</f>
        <v>खजूरी मिक्स माउथ फ्रेशनर</v>
      </c>
      <c r="D1114" s="5"/>
      <c r="E1114" s="2" t="s">
        <v>442</v>
      </c>
      <c r="F1114" s="1">
        <v>2.0</v>
      </c>
      <c r="G1114" s="3" t="s">
        <v>6990</v>
      </c>
    </row>
    <row r="1115">
      <c r="A1115" s="3" t="s">
        <v>6996</v>
      </c>
      <c r="B1115" s="4" t="str">
        <f>IFERROR(__xludf.DUMMYFUNCTION("GOOGLETRANSLATE(A1115, ""en"", ""te"")"),"మద్రాసీ సోంపు మౌత్ ఫ్రెషనర్")</f>
        <v>మద్రాసీ సోంపు మౌత్ ఫ్రెషనర్</v>
      </c>
      <c r="C1115" s="4" t="str">
        <f>IFERROR(__xludf.DUMMYFUNCTION("GOOGLETRANSLATE(A1115, ""en"", ""hi"")"),"मद्रासी सौंफ माउथ फ्रेशनर")</f>
        <v>मद्रासी सौंफ माउथ फ्रेशनर</v>
      </c>
      <c r="D1115" s="5"/>
      <c r="E1115" s="2" t="s">
        <v>442</v>
      </c>
      <c r="F1115" s="1">
        <v>2.0</v>
      </c>
      <c r="G1115" s="3" t="s">
        <v>6990</v>
      </c>
    </row>
    <row r="1116">
      <c r="A1116" s="3" t="s">
        <v>6997</v>
      </c>
      <c r="B1116" s="4" t="str">
        <f>IFERROR(__xludf.DUMMYFUNCTION("GOOGLETRANSLATE(A1116, ""en"", ""te"")"),"కలకత్తా పాన్ మౌత్ ఫ్రెషనర్")</f>
        <v>కలకత్తా పాన్ మౌత్ ఫ్రెషనర్</v>
      </c>
      <c r="C1116" s="4" t="str">
        <f>IFERROR(__xludf.DUMMYFUNCTION("GOOGLETRANSLATE(A1116, ""en"", ""hi"")"),"कलकत्ता पान माउथ फ्रेशनर")</f>
        <v>कलकत्ता पान माउथ फ्रेशनर</v>
      </c>
      <c r="D1116" s="5"/>
      <c r="E1116" s="2" t="s">
        <v>442</v>
      </c>
      <c r="F1116" s="1">
        <v>2.0</v>
      </c>
      <c r="G1116" s="3" t="s">
        <v>6990</v>
      </c>
    </row>
    <row r="1117">
      <c r="A1117" s="3" t="s">
        <v>6998</v>
      </c>
      <c r="B1117" s="4" t="str">
        <f>IFERROR(__xludf.DUMMYFUNCTION("GOOGLETRANSLATE(A1117, ""en"", ""te"")"),"SWAD పంజాబీ మిక్స్ మౌత్ ఫ్రెషనర్")</f>
        <v>SWAD పంజాబీ మిక్స్ మౌత్ ఫ్రెషనర్</v>
      </c>
      <c r="C1117" s="4" t="str">
        <f>IFERROR(__xludf.DUMMYFUNCTION("GOOGLETRANSLATE(A1117, ""en"", ""hi"")"),"स्वाद पंजाबी मिक्स माउथ फ्रेशनर")</f>
        <v>स्वाद पंजाबी मिक्स माउथ फ्रेशनर</v>
      </c>
      <c r="D1117" s="5"/>
      <c r="E1117" s="2" t="s">
        <v>442</v>
      </c>
      <c r="F1117" s="1">
        <v>2.0</v>
      </c>
      <c r="G1117" s="3" t="s">
        <v>6990</v>
      </c>
    </row>
    <row r="1118">
      <c r="A1118" s="3" t="s">
        <v>6999</v>
      </c>
      <c r="B1118" s="4" t="str">
        <f>IFERROR(__xludf.DUMMYFUNCTION("GOOGLETRANSLATE(A1118, ""en"", ""te"")"),"SWAD ప్యూర్ చెన్నై సాన్ఫ్ మౌత్ ఫ్రెషనర్")</f>
        <v>SWAD ప్యూర్ చెన్నై సాన్ఫ్ మౌత్ ఫ్రెషనర్</v>
      </c>
      <c r="C1118" s="4" t="str">
        <f>IFERROR(__xludf.DUMMYFUNCTION("GOOGLETRANSLATE(A1118, ""en"", ""hi"")"),"SWAD प्योर चेन्नई सौंफ माउथ फ्रेशनर")</f>
        <v>SWAD प्योर चेन्नई सौंफ माउथ फ्रेशनर</v>
      </c>
      <c r="D1118" s="2" t="s">
        <v>4054</v>
      </c>
      <c r="E1118" s="2" t="s">
        <v>1294</v>
      </c>
      <c r="F1118" s="1">
        <v>2.0</v>
      </c>
      <c r="G1118" s="3" t="s">
        <v>6990</v>
      </c>
    </row>
    <row r="1119">
      <c r="A1119" s="3" t="s">
        <v>7000</v>
      </c>
      <c r="B1119" s="4" t="str">
        <f>IFERROR(__xludf.DUMMYFUNCTION("GOOGLETRANSLATE(A1119, ""en"", ""te"")"),"SWAD ఎలైచి పాన్ మౌత్ ఫ్రెషనర్")</f>
        <v>SWAD ఎలైచి పాన్ మౌత్ ఫ్రెషనర్</v>
      </c>
      <c r="C1119" s="4" t="str">
        <f>IFERROR(__xludf.DUMMYFUNCTION("GOOGLETRANSLATE(A1119, ""en"", ""hi"")"),"स्वाद इलायची पान माउथ फ्रेशनर")</f>
        <v>स्वाद इलायची पान माउथ फ्रेशनर</v>
      </c>
      <c r="D1119" s="5"/>
      <c r="E1119" s="2" t="s">
        <v>442</v>
      </c>
      <c r="F1119" s="1">
        <v>2.0</v>
      </c>
      <c r="G1119" s="3" t="s">
        <v>6990</v>
      </c>
    </row>
    <row r="1120">
      <c r="A1120" s="3" t="s">
        <v>7001</v>
      </c>
      <c r="B1120" s="4" t="str">
        <f>IFERROR(__xludf.DUMMYFUNCTION("GOOGLETRANSLATE(A1120, ""en"", ""te"")"),"సమృద్ధి జీరా గోలి")</f>
        <v>సమృద్ధి జీరా గోలి</v>
      </c>
      <c r="C1120" s="4" t="str">
        <f>IFERROR(__xludf.DUMMYFUNCTION("GOOGLETRANSLATE(A1120, ""en"", ""hi"")"),"समृद्धि जीरा गोली")</f>
        <v>समृद्धि जीरा गोली</v>
      </c>
      <c r="D1120" s="2" t="s">
        <v>440</v>
      </c>
      <c r="E1120" s="2" t="s">
        <v>442</v>
      </c>
      <c r="F1120" s="1">
        <v>2.0</v>
      </c>
      <c r="G1120" s="3" t="s">
        <v>6990</v>
      </c>
    </row>
    <row r="1121">
      <c r="A1121" s="3" t="s">
        <v>7002</v>
      </c>
      <c r="B1121" s="4" t="str">
        <f>IFERROR(__xludf.DUMMYFUNCTION("GOOGLETRANSLATE(A1121, ""en"", ""te"")"),"అల్లం పచాక్")</f>
        <v>అల్లం పచాక్</v>
      </c>
      <c r="C1121" s="4" t="str">
        <f>IFERROR(__xludf.DUMMYFUNCTION("GOOGLETRANSLATE(A1121, ""en"", ""hi"")"),"अदरक की स्टिक पाचक")</f>
        <v>अदरक की स्टिक पाचक</v>
      </c>
      <c r="D1121" s="2" t="s">
        <v>2695</v>
      </c>
      <c r="E1121" s="2" t="s">
        <v>442</v>
      </c>
      <c r="F1121" s="1">
        <v>2.0</v>
      </c>
      <c r="G1121" s="3" t="s">
        <v>6990</v>
      </c>
    </row>
    <row r="1122">
      <c r="A1122" s="3" t="s">
        <v>7003</v>
      </c>
      <c r="B1122" s="4" t="str">
        <f>IFERROR(__xludf.DUMMYFUNCTION("GOOGLETRANSLATE(A1122, ""en"", ""te"")"),"మామిడి తీపి &amp; ఉప్పగా")</f>
        <v>మామిడి తీపి &amp; ఉప్పగా</v>
      </c>
      <c r="C1122" s="4" t="str">
        <f>IFERROR(__xludf.DUMMYFUNCTION("GOOGLETRANSLATE(A1122, ""en"", ""hi"")"),"आम मीठा और नमकीन")</f>
        <v>आम मीठा और नमकीन</v>
      </c>
      <c r="D1122" s="2" t="s">
        <v>7004</v>
      </c>
      <c r="E1122" s="2" t="s">
        <v>7005</v>
      </c>
      <c r="F1122" s="1">
        <v>2.0</v>
      </c>
      <c r="G1122" s="3" t="s">
        <v>6990</v>
      </c>
    </row>
    <row r="1123">
      <c r="A1123" s="3" t="s">
        <v>7006</v>
      </c>
      <c r="B1123" s="4" t="str">
        <f>IFERROR(__xludf.DUMMYFUNCTION("GOOGLETRANSLATE(A1123, ""en"", ""te"")"),"బాన్సీ జీరా గోలీ")</f>
        <v>బాన్సీ జీరా గోలీ</v>
      </c>
      <c r="C1123" s="4" t="str">
        <f>IFERROR(__xludf.DUMMYFUNCTION("GOOGLETRANSLATE(A1123, ""en"", ""hi"")"),"बंसी जीरा गोली")</f>
        <v>बंसी जीरा गोली</v>
      </c>
      <c r="D1123" s="2" t="s">
        <v>7007</v>
      </c>
      <c r="E1123" s="2" t="s">
        <v>442</v>
      </c>
      <c r="F1123" s="1">
        <v>2.0</v>
      </c>
      <c r="G1123" s="3" t="s">
        <v>6990</v>
      </c>
    </row>
    <row r="1124">
      <c r="A1124" s="3" t="s">
        <v>7008</v>
      </c>
      <c r="B1124" s="4" t="str">
        <f>IFERROR(__xludf.DUMMYFUNCTION("GOOGLETRANSLATE(A1124, ""en"", ""te"")"),"స్వాద్ కలకత్తా పాన్")</f>
        <v>స్వాద్ కలకత్తా పాన్</v>
      </c>
      <c r="C1124" s="4" t="str">
        <f>IFERROR(__xludf.DUMMYFUNCTION("GOOGLETRANSLATE(A1124, ""en"", ""hi"")"),"स्वाद कलकत्ता पान")</f>
        <v>स्वाद कलकत्ता पान</v>
      </c>
      <c r="D1124" s="5"/>
      <c r="E1124" s="2" t="s">
        <v>442</v>
      </c>
      <c r="F1124" s="1">
        <v>2.0</v>
      </c>
      <c r="G1124" s="3" t="s">
        <v>7009</v>
      </c>
    </row>
    <row r="1125">
      <c r="A1125" s="3" t="s">
        <v>7010</v>
      </c>
      <c r="B1125" s="4" t="str">
        <f>IFERROR(__xludf.DUMMYFUNCTION("GOOGLETRANSLATE(A1125, ""en"", ""te"")"),"స్వాద్ బనారసి పాన్")</f>
        <v>స్వాద్ బనారసి పాన్</v>
      </c>
      <c r="C1125" s="4" t="str">
        <f>IFERROR(__xludf.DUMMYFUNCTION("GOOGLETRANSLATE(A1125, ""en"", ""hi"")"),"स्वाद बनारसी पान")</f>
        <v>स्वाद बनारसी पान</v>
      </c>
      <c r="D1125" s="5"/>
      <c r="E1125" s="2" t="s">
        <v>442</v>
      </c>
      <c r="F1125" s="1">
        <v>2.0</v>
      </c>
      <c r="G1125" s="3" t="s">
        <v>7009</v>
      </c>
    </row>
    <row r="1126">
      <c r="A1126" s="3" t="s">
        <v>7011</v>
      </c>
      <c r="B1126" s="4" t="str">
        <f>IFERROR(__xludf.DUMMYFUNCTION("GOOGLETRANSLATE(A1126, ""en"", ""te"")"),"స్వాద్ ముఘలాయ్ పాన్")</f>
        <v>స్వాద్ ముఘలాయ్ పాన్</v>
      </c>
      <c r="C1126" s="4" t="str">
        <f>IFERROR(__xludf.DUMMYFUNCTION("GOOGLETRANSLATE(A1126, ""en"", ""hi"")"),"स्वाद मुगलई पान")</f>
        <v>स्वाद मुगलई पान</v>
      </c>
      <c r="D1126" s="5"/>
      <c r="E1126" s="2" t="s">
        <v>442</v>
      </c>
      <c r="F1126" s="1">
        <v>2.0</v>
      </c>
      <c r="G1126" s="3" t="s">
        <v>7009</v>
      </c>
    </row>
    <row r="1127">
      <c r="A1127" s="3" t="s">
        <v>7012</v>
      </c>
      <c r="B1127" s="4" t="str">
        <f>IFERROR(__xludf.DUMMYFUNCTION("GOOGLETRANSLATE(A1127, ""en"", ""te"")"),"చందన్ ఫ్రెష్ మింట్ రోజ్ మౌత్ ఫ్రెషనర్")</f>
        <v>చందన్ ఫ్రెష్ మింట్ రోజ్ మౌత్ ఫ్రెషనర్</v>
      </c>
      <c r="C1127" s="4" t="str">
        <f>IFERROR(__xludf.DUMMYFUNCTION("GOOGLETRANSLATE(A1127, ""en"", ""hi"")"),"चंदन फ्रेश मिंट रोज़ माउथ फ्रेशनर")</f>
        <v>चंदन फ्रेश मिंट रोज़ माउथ फ्रेशनर</v>
      </c>
      <c r="D1127" s="2" t="s">
        <v>7013</v>
      </c>
      <c r="E1127" s="2" t="s">
        <v>48</v>
      </c>
      <c r="F1127" s="1">
        <v>2.0</v>
      </c>
      <c r="G1127" s="3" t="s">
        <v>7009</v>
      </c>
    </row>
    <row r="1128">
      <c r="A1128" s="3" t="s">
        <v>7014</v>
      </c>
      <c r="B1128" s="4" t="str">
        <f>IFERROR(__xludf.DUMMYFUNCTION("GOOGLETRANSLATE(A1128, ""en"", ""te"")"),"చందన్ ఫ్రెష్ మింట్ గ్రీన్ మౌత్ ఫ్రెషనర్")</f>
        <v>చందన్ ఫ్రెష్ మింట్ గ్రీన్ మౌత్ ఫ్రెషనర్</v>
      </c>
      <c r="C1128" s="4" t="str">
        <f>IFERROR(__xludf.DUMMYFUNCTION("GOOGLETRANSLATE(A1128, ""en"", ""hi"")"),"चंदन फ्रेश मिंट ग्रीन माउथ फ्रेशनर")</f>
        <v>चंदन फ्रेश मिंट ग्रीन माउथ फ्रेशनर</v>
      </c>
      <c r="D1128" s="5"/>
      <c r="E1128" s="2" t="s">
        <v>48</v>
      </c>
      <c r="F1128" s="1">
        <v>2.0</v>
      </c>
      <c r="G1128" s="3" t="s">
        <v>7009</v>
      </c>
    </row>
    <row r="1129">
      <c r="A1129" s="3" t="s">
        <v>7015</v>
      </c>
      <c r="B1129" s="4" t="str">
        <f>IFERROR(__xludf.DUMMYFUNCTION("GOOGLETRANSLATE(A1129, ""en"", ""te"")"),"స్వాద్ పాన్ బైట్స్")</f>
        <v>స్వాద్ పాన్ బైట్స్</v>
      </c>
      <c r="C1129" s="4" t="str">
        <f>IFERROR(__xludf.DUMMYFUNCTION("GOOGLETRANSLATE(A1129, ""en"", ""hi"")"),"स्वाद पान बाइट्स")</f>
        <v>स्वाद पान बाइट्स</v>
      </c>
      <c r="D1129" s="5"/>
      <c r="E1129" s="2" t="s">
        <v>1294</v>
      </c>
      <c r="F1129" s="1">
        <v>2.0</v>
      </c>
      <c r="G1129" s="3" t="s">
        <v>7009</v>
      </c>
    </row>
    <row r="1130">
      <c r="A1130" s="3" t="s">
        <v>7016</v>
      </c>
      <c r="B1130" s="4" t="str">
        <f>IFERROR(__xludf.DUMMYFUNCTION("GOOGLETRANSLATE(A1130, ""en"", ""te"")"),"కలకత్తా ప్రత్యేక విందులు")</f>
        <v>కలకత్తా ప్రత్యేక విందులు</v>
      </c>
      <c r="C1130" s="4" t="str">
        <f>IFERROR(__xludf.DUMMYFUNCTION("GOOGLETRANSLATE(A1130, ""en"", ""hi"")"),"कलकत्ता के विशेष व्यंजन")</f>
        <v>कलकत्ता के विशेष व्यंजन</v>
      </c>
      <c r="D1130" s="2" t="s">
        <v>4054</v>
      </c>
      <c r="E1130" s="2" t="s">
        <v>1294</v>
      </c>
      <c r="F1130" s="1">
        <v>2.0</v>
      </c>
      <c r="G1130" s="3" t="s">
        <v>7009</v>
      </c>
    </row>
    <row r="1131">
      <c r="A1131" s="3" t="s">
        <v>7017</v>
      </c>
      <c r="B1131" s="4" t="str">
        <f>IFERROR(__xludf.DUMMYFUNCTION("GOOGLETRANSLATE(A1131, ""en"", ""te"")"),"గుల్కంద్")</f>
        <v>గుల్కంద్</v>
      </c>
      <c r="C1131" s="4" t="str">
        <f>IFERROR(__xludf.DUMMYFUNCTION("GOOGLETRANSLATE(A1131, ""en"", ""hi"")"),"gulkand")</f>
        <v>gulkand</v>
      </c>
      <c r="D1131" s="5"/>
      <c r="E1131" s="2" t="s">
        <v>3438</v>
      </c>
      <c r="F1131" s="1">
        <v>2.0</v>
      </c>
      <c r="G1131" s="3" t="s">
        <v>7009</v>
      </c>
    </row>
    <row r="1132">
      <c r="A1132" s="3" t="s">
        <v>7018</v>
      </c>
      <c r="B1132" s="4" t="str">
        <f>IFERROR(__xludf.DUMMYFUNCTION("GOOGLETRANSLATE(A1132, ""en"", ""te"")"),"కాడ్బరీ బౌర్న్‌విల్లే 50% డార్క్ ఫ్రూట్ &amp; నట్")</f>
        <v>కాడ్బరీ బౌర్న్‌విల్లే 50% డార్క్ ఫ్రూట్ &amp; నట్</v>
      </c>
      <c r="C1132" s="4" t="str">
        <f>IFERROR(__xludf.DUMMYFUNCTION("GOOGLETRANSLATE(A1132, ""en"", ""hi"")"),"कैडबरी बॉर्नविले 50% डार्क फ्रूट एंड नट")</f>
        <v>कैडबरी बॉर्नविले 50% डार्क फ्रूट एंड नट</v>
      </c>
      <c r="D1132" s="5"/>
      <c r="E1132" s="2" t="s">
        <v>4100</v>
      </c>
      <c r="F1132" s="1">
        <v>2.0</v>
      </c>
      <c r="G1132" s="3" t="s">
        <v>7019</v>
      </c>
    </row>
    <row r="1133">
      <c r="A1133" s="3" t="s">
        <v>7020</v>
      </c>
      <c r="B1133" s="4" t="str">
        <f>IFERROR(__xludf.DUMMYFUNCTION("GOOGLETRANSLATE(A1133, ""en"", ""te"")"),"కాడ్బరీ డైరీ మిల్క్ సిల్క్")</f>
        <v>కాడ్బరీ డైరీ మిల్క్ సిల్క్</v>
      </c>
      <c r="C1133" s="4" t="str">
        <f>IFERROR(__xludf.DUMMYFUNCTION("GOOGLETRANSLATE(A1133, ""en"", ""hi"")"),"कैडबरी डेयरी मिल्क सिल्क")</f>
        <v>कैडबरी डेयरी मिल्क सिल्क</v>
      </c>
      <c r="D1133" s="5"/>
      <c r="E1133" s="2" t="s">
        <v>3438</v>
      </c>
      <c r="F1133" s="1">
        <v>2.0</v>
      </c>
      <c r="G1133" s="3" t="s">
        <v>7019</v>
      </c>
    </row>
    <row r="1134">
      <c r="A1134" s="3" t="s">
        <v>7021</v>
      </c>
      <c r="B1134" s="4" t="str">
        <f>IFERROR(__xludf.DUMMYFUNCTION("GOOGLETRANSLATE(A1134, ""en"", ""te"")"),"కాడ్బరీ ఎక్లేర్స్")</f>
        <v>కాడ్బరీ ఎక్లేర్స్</v>
      </c>
      <c r="C1134" s="4" t="str">
        <f>IFERROR(__xludf.DUMMYFUNCTION("GOOGLETRANSLATE(A1134, ""en"", ""hi"")"),"कैडबरी एक्लेयर्स")</f>
        <v>कैडबरी एक्लेयर्स</v>
      </c>
      <c r="D1134" s="5"/>
      <c r="E1134" s="2" t="s">
        <v>3438</v>
      </c>
      <c r="F1134" s="1">
        <v>2.0</v>
      </c>
      <c r="G1134" s="3" t="s">
        <v>7019</v>
      </c>
    </row>
    <row r="1135">
      <c r="A1135" s="3" t="s">
        <v>7022</v>
      </c>
      <c r="B1135" s="4" t="str">
        <f>IFERROR(__xludf.DUMMYFUNCTION("GOOGLETRANSLATE(A1135, ""en"", ""te"")"),"గులాబ్ బార్ క్యాండీ")</f>
        <v>గులాబ్ బార్ క్యాండీ</v>
      </c>
      <c r="C1135" s="4" t="str">
        <f>IFERROR(__xludf.DUMMYFUNCTION("GOOGLETRANSLATE(A1135, ""en"", ""hi"")"),"गुलाब बार कैंडी")</f>
        <v>गुलाब बार कैंडी</v>
      </c>
      <c r="D1135" s="2" t="s">
        <v>7023</v>
      </c>
      <c r="E1135" s="2" t="s">
        <v>3438</v>
      </c>
      <c r="F1135" s="1">
        <v>2.0</v>
      </c>
      <c r="G1135" s="3" t="s">
        <v>7019</v>
      </c>
    </row>
    <row r="1136">
      <c r="A1136" s="3" t="s">
        <v>7024</v>
      </c>
      <c r="B1136" s="4" t="str">
        <f>IFERROR(__xludf.DUMMYFUNCTION("GOOGLETRANSLATE(A1136, ""en"", ""te"")"),"కలకత్తా బార్ క్యాండీ")</f>
        <v>కలకత్తా బార్ క్యాండీ</v>
      </c>
      <c r="C1136" s="4" t="str">
        <f>IFERROR(__xludf.DUMMYFUNCTION("GOOGLETRANSLATE(A1136, ""en"", ""hi"")"),"कलकट्टा बार कैंडी")</f>
        <v>कलकट्टा बार कैंडी</v>
      </c>
      <c r="D1136" s="2" t="s">
        <v>7023</v>
      </c>
      <c r="E1136" s="2" t="s">
        <v>3438</v>
      </c>
      <c r="F1136" s="1">
        <v>2.0</v>
      </c>
      <c r="G1136" s="3" t="s">
        <v>7019</v>
      </c>
    </row>
    <row r="1137">
      <c r="A1137" s="3" t="s">
        <v>7025</v>
      </c>
      <c r="B1137" s="4" t="str">
        <f>IFERROR(__xludf.DUMMYFUNCTION("GOOGLETRANSLATE(A1137, ""en"", ""te"")"),"రాయల్ రాజ్వాడి")</f>
        <v>రాయల్ రాజ్వాడి</v>
      </c>
      <c r="C1137" s="4" t="str">
        <f>IFERROR(__xludf.DUMMYFUNCTION("GOOGLETRANSLATE(A1137, ""en"", ""hi"")"),"रॉयल राजवाड़ी")</f>
        <v>रॉयल राजवाड़ी</v>
      </c>
      <c r="D1137" s="5"/>
      <c r="E1137" s="2" t="s">
        <v>3438</v>
      </c>
      <c r="F1137" s="1">
        <v>2.0</v>
      </c>
      <c r="G1137" s="3" t="s">
        <v>6990</v>
      </c>
    </row>
    <row r="1138">
      <c r="A1138" s="3" t="s">
        <v>7026</v>
      </c>
      <c r="B1138" s="4" t="str">
        <f>IFERROR(__xludf.DUMMYFUNCTION("GOOGLETRANSLATE(A1138, ""en"", ""te"")"),"రాయల్ కాశ్మీరీ")</f>
        <v>రాయల్ కాశ్మీరీ</v>
      </c>
      <c r="C1138" s="4" t="str">
        <f>IFERROR(__xludf.DUMMYFUNCTION("GOOGLETRANSLATE(A1138, ""en"", ""hi"")"),"शाही कश्मीरी")</f>
        <v>शाही कश्मीरी</v>
      </c>
      <c r="D1138" s="2" t="s">
        <v>4401</v>
      </c>
      <c r="E1138" s="2" t="s">
        <v>442</v>
      </c>
      <c r="F1138" s="1">
        <v>2.0</v>
      </c>
      <c r="G1138" s="3" t="s">
        <v>6990</v>
      </c>
    </row>
    <row r="1139">
      <c r="A1139" s="3" t="s">
        <v>7027</v>
      </c>
      <c r="B1139" s="4" t="str">
        <f>IFERROR(__xludf.DUMMYFUNCTION("GOOGLETRANSLATE(A1139, ""en"", ""te"")"),"ఖజురి మిక్స్")</f>
        <v>ఖజురి మిక్స్</v>
      </c>
      <c r="C1139" s="4" t="str">
        <f>IFERROR(__xludf.DUMMYFUNCTION("GOOGLETRANSLATE(A1139, ""en"", ""hi"")"),"खजूरी मिक्स")</f>
        <v>खजूरी मिक्स</v>
      </c>
      <c r="D1139" s="2" t="s">
        <v>7028</v>
      </c>
      <c r="E1139" s="2" t="s">
        <v>1294</v>
      </c>
      <c r="F1139" s="1">
        <v>2.0</v>
      </c>
      <c r="G1139" s="3" t="s">
        <v>6990</v>
      </c>
    </row>
    <row r="1140">
      <c r="A1140" s="3" t="s">
        <v>7029</v>
      </c>
      <c r="B1140" s="4" t="str">
        <f>IFERROR(__xludf.DUMMYFUNCTION("GOOGLETRANSLATE(A1140, ""en"", ""te"")"),"మద్రాసీ సోంపు")</f>
        <v>మద్రాసీ సోంపు</v>
      </c>
      <c r="C1140" s="4" t="str">
        <f>IFERROR(__xludf.DUMMYFUNCTION("GOOGLETRANSLATE(A1140, ""en"", ""hi"")"),"मद्रासी सौंफ")</f>
        <v>मद्रासी सौंफ</v>
      </c>
      <c r="D1140" s="2" t="s">
        <v>4401</v>
      </c>
      <c r="E1140" s="2" t="s">
        <v>442</v>
      </c>
      <c r="F1140" s="1">
        <v>2.0</v>
      </c>
      <c r="G1140" s="3" t="s">
        <v>6990</v>
      </c>
    </row>
    <row r="1141">
      <c r="A1141" s="3" t="s">
        <v>7030</v>
      </c>
      <c r="B1141" s="4" t="str">
        <f>IFERROR(__xludf.DUMMYFUNCTION("GOOGLETRANSLATE(A1141, ""en"", ""te"")"),"కలకత్తా పాన్")</f>
        <v>కలకత్తా పాన్</v>
      </c>
      <c r="C1141" s="4" t="str">
        <f>IFERROR(__xludf.DUMMYFUNCTION("GOOGLETRANSLATE(A1141, ""en"", ""hi"")"),"कलकत्ता पैन")</f>
        <v>कलकत्ता पैन</v>
      </c>
      <c r="D1141" s="5"/>
      <c r="E1141" s="2" t="s">
        <v>442</v>
      </c>
      <c r="F1141" s="1">
        <v>2.0</v>
      </c>
      <c r="G1141" s="3" t="s">
        <v>6990</v>
      </c>
    </row>
    <row r="1142">
      <c r="A1142" s="3" t="s">
        <v>7031</v>
      </c>
      <c r="B1142" s="4" t="str">
        <f>IFERROR(__xludf.DUMMYFUNCTION("GOOGLETRANSLATE(A1142, ""en"", ""te"")"),"స్వాద్ పంజాబీ మిక్స్")</f>
        <v>స్వాద్ పంజాబీ మిక్స్</v>
      </c>
      <c r="C1142" s="4" t="str">
        <f>IFERROR(__xludf.DUMMYFUNCTION("GOOGLETRANSLATE(A1142, ""en"", ""hi"")"),"स्वाद पंजाबी मिक्स")</f>
        <v>स्वाद पंजाबी मिक्स</v>
      </c>
      <c r="D1142" s="2" t="s">
        <v>7032</v>
      </c>
      <c r="E1142" s="2" t="s">
        <v>1294</v>
      </c>
      <c r="F1142" s="1">
        <v>2.0</v>
      </c>
      <c r="G1142" s="3" t="s">
        <v>6990</v>
      </c>
    </row>
    <row r="1143">
      <c r="A1143" s="3" t="s">
        <v>7033</v>
      </c>
      <c r="B1143" s="4" t="str">
        <f>IFERROR(__xludf.DUMMYFUNCTION("GOOGLETRANSLATE(A1143, ""en"", ""te"")"),"స్వాద్ ప్యురే చెన్నా సౌంఫ్")</f>
        <v>స్వాద్ ప్యురే చెన్నా సౌంఫ్</v>
      </c>
      <c r="C1143" s="4" t="str">
        <f>IFERROR(__xludf.DUMMYFUNCTION("GOOGLETRANSLATE(A1143, ""en"", ""hi"")"),"स्वाद प्योर छेना सौंफ")</f>
        <v>स्वाद प्योर छेना सौंफ</v>
      </c>
      <c r="D1143" s="2" t="s">
        <v>3861</v>
      </c>
      <c r="E1143" s="2" t="s">
        <v>1038</v>
      </c>
      <c r="F1143" s="1">
        <v>2.0</v>
      </c>
      <c r="G1143" s="3" t="s">
        <v>6990</v>
      </c>
    </row>
    <row r="1144">
      <c r="A1144" s="3" t="s">
        <v>7034</v>
      </c>
      <c r="B1144" s="4" t="str">
        <f>IFERROR(__xludf.DUMMYFUNCTION("GOOGLETRANSLATE(A1144, ""en"", ""te"")"),"యాలకుల పాన్")</f>
        <v>యాలకుల పాన్</v>
      </c>
      <c r="C1144" s="4" t="str">
        <f>IFERROR(__xludf.DUMMYFUNCTION("GOOGLETRANSLATE(A1144, ""en"", ""hi"")"),"इलायची पान")</f>
        <v>इलायची पान</v>
      </c>
      <c r="D1144" s="5"/>
      <c r="E1144" s="2" t="s">
        <v>442</v>
      </c>
      <c r="F1144" s="1">
        <v>2.0</v>
      </c>
      <c r="G1144" s="3" t="s">
        <v>6990</v>
      </c>
    </row>
    <row r="1145">
      <c r="A1145" s="3" t="s">
        <v>7035</v>
      </c>
      <c r="B1145" s="4" t="str">
        <f>IFERROR(__xludf.DUMMYFUNCTION("GOOGLETRANSLATE(A1145, ""en"", ""te"")"),"జీరా గోలి")</f>
        <v>జీరా గోలి</v>
      </c>
      <c r="C1145" s="4" t="str">
        <f>IFERROR(__xludf.DUMMYFUNCTION("GOOGLETRANSLATE(A1145, ""en"", ""hi"")"),"जीरा गोली")</f>
        <v>जीरा गोली</v>
      </c>
      <c r="D1145" s="2" t="s">
        <v>7036</v>
      </c>
      <c r="E1145" s="2" t="s">
        <v>442</v>
      </c>
      <c r="F1145" s="1">
        <v>2.0</v>
      </c>
      <c r="G1145" s="3" t="s">
        <v>6990</v>
      </c>
    </row>
    <row r="1146">
      <c r="A1146" s="3" t="s">
        <v>7037</v>
      </c>
      <c r="B1146" s="4" t="str">
        <f>IFERROR(__xludf.DUMMYFUNCTION("GOOGLETRANSLATE(A1146, ""en"", ""te"")"),"చందన్ ఫ్రెష్ &amp; ఫైన్ రోజ్")</f>
        <v>చందన్ ఫ్రెష్ &amp; ఫైన్ రోజ్</v>
      </c>
      <c r="C1146" s="4" t="str">
        <f>IFERROR(__xludf.DUMMYFUNCTION("GOOGLETRANSLATE(A1146, ""en"", ""hi"")"),"चंदन फ्रेश एंड फाइन रोज़")</f>
        <v>चंदन फ्रेश एंड फाइन रोज़</v>
      </c>
      <c r="D1146" s="2" t="s">
        <v>616</v>
      </c>
      <c r="E1146" s="2" t="s">
        <v>48</v>
      </c>
      <c r="F1146" s="1">
        <v>2.0</v>
      </c>
      <c r="G1146" s="3" t="s">
        <v>7009</v>
      </c>
    </row>
    <row r="1147">
      <c r="A1147" s="3" t="s">
        <v>7038</v>
      </c>
      <c r="B1147" s="4" t="str">
        <f>IFERROR(__xludf.DUMMYFUNCTION("GOOGLETRANSLATE(A1147, ""en"", ""te"")"),"చందన్ పాన్ బైట్స్")</f>
        <v>చందన్ పాన్ బైట్స్</v>
      </c>
      <c r="C1147" s="4" t="str">
        <f>IFERROR(__xludf.DUMMYFUNCTION("GOOGLETRANSLATE(A1147, ""en"", ""hi"")"),"चंदन पान बाइट्स")</f>
        <v>चंदन पान बाइट्स</v>
      </c>
      <c r="D1147" s="5"/>
      <c r="E1147" s="2" t="s">
        <v>1294</v>
      </c>
      <c r="F1147" s="1">
        <v>2.0</v>
      </c>
      <c r="G1147" s="3" t="s">
        <v>7009</v>
      </c>
    </row>
    <row r="1148">
      <c r="A1148" s="3" t="s">
        <v>7039</v>
      </c>
      <c r="B1148" s="4" t="str">
        <f>IFERROR(__xludf.DUMMYFUNCTION("GOOGLETRANSLATE(A1148, ""en"", ""te"")"),"బోర్న్‌విల్ ఫ్రూట్ &amp; నట్ 50% డార్క్")</f>
        <v>బోర్న్‌విల్ ఫ్రూట్ &amp; నట్ 50% డార్క్</v>
      </c>
      <c r="C1148" s="4" t="str">
        <f>IFERROR(__xludf.DUMMYFUNCTION("GOOGLETRANSLATE(A1148, ""en"", ""hi"")"),"बोर्नविले फ्रूट एंड नट 50% डार्क")</f>
        <v>बोर्नविले फ्रूट एंड नट 50% डार्क</v>
      </c>
      <c r="D1148" s="5"/>
      <c r="E1148" s="2" t="s">
        <v>3438</v>
      </c>
      <c r="F1148" s="1">
        <v>2.0</v>
      </c>
      <c r="G1148" s="3" t="s">
        <v>7019</v>
      </c>
    </row>
    <row r="1149">
      <c r="A1149" s="3" t="s">
        <v>7040</v>
      </c>
      <c r="B1149" s="4" t="str">
        <f>IFERROR(__xludf.DUMMYFUNCTION("GOOGLETRANSLATE(A1149, ""en"", ""te"")"),"ఫిడ్జెట్ బాల్")</f>
        <v>ఫిడ్జెట్ బాల్</v>
      </c>
      <c r="C1149" s="4" t="str">
        <f>IFERROR(__xludf.DUMMYFUNCTION("GOOGLETRANSLATE(A1149, ""en"", ""hi"")"),"फ़िजेट बॉल")</f>
        <v>फ़िजेट बॉल</v>
      </c>
      <c r="D1149" s="5"/>
      <c r="E1149" s="2" t="s">
        <v>2279</v>
      </c>
      <c r="F1149" s="1">
        <v>2.0</v>
      </c>
      <c r="G1149" s="3" t="s">
        <v>7041</v>
      </c>
    </row>
    <row r="1150">
      <c r="A1150" s="3" t="s">
        <v>7042</v>
      </c>
      <c r="B1150" s="4" t="str">
        <f>IFERROR(__xludf.DUMMYFUNCTION("GOOGLETRANSLATE(A1150, ""en"", ""te"")"),"నైస్ క్యూబ్")</f>
        <v>నైస్ క్యూబ్</v>
      </c>
      <c r="C1150" s="4" t="str">
        <f>IFERROR(__xludf.DUMMYFUNCTION("GOOGLETRANSLATE(A1150, ""en"", ""hi"")"),"अच्छा घन")</f>
        <v>अच्छा घन</v>
      </c>
      <c r="D1150" s="5"/>
      <c r="E1150" s="2" t="s">
        <v>2279</v>
      </c>
      <c r="F1150" s="1">
        <v>2.0</v>
      </c>
      <c r="G1150" s="3" t="s">
        <v>7041</v>
      </c>
    </row>
    <row r="1151">
      <c r="A1151" s="3" t="s">
        <v>7043</v>
      </c>
      <c r="B1151" s="4" t="str">
        <f>IFERROR(__xludf.DUMMYFUNCTION("GOOGLETRANSLATE(A1151, ""en"", ""te"")"),"కంగన్")</f>
        <v>కంగన్</v>
      </c>
      <c r="C1151" s="4" t="str">
        <f>IFERROR(__xludf.DUMMYFUNCTION("GOOGLETRANSLATE(A1151, ""en"", ""hi"")"),"कंगन")</f>
        <v>कंगन</v>
      </c>
      <c r="D1151" s="5"/>
      <c r="E1151" s="2" t="s">
        <v>2279</v>
      </c>
      <c r="F1151" s="1">
        <v>2.0</v>
      </c>
      <c r="G1151" s="3" t="s">
        <v>7044</v>
      </c>
    </row>
    <row r="1152">
      <c r="A1152" s="3" t="s">
        <v>7045</v>
      </c>
      <c r="B1152" s="4" t="str">
        <f>IFERROR(__xludf.DUMMYFUNCTION("GOOGLETRANSLATE(A1152, ""en"", ""te"")"),"సప్నా మహేంది కోన్")</f>
        <v>సప్నా మహేంది కోన్</v>
      </c>
      <c r="C1152" s="4" t="str">
        <f>IFERROR(__xludf.DUMMYFUNCTION("GOOGLETRANSLATE(A1152, ""en"", ""hi"")"),"सपना मेहंदी कोन")</f>
        <v>सपना मेहंदी कोन</v>
      </c>
      <c r="D1152" s="5"/>
      <c r="E1152" s="2" t="s">
        <v>442</v>
      </c>
      <c r="F1152" s="1">
        <v>2.0</v>
      </c>
      <c r="G1152" s="3" t="s">
        <v>7044</v>
      </c>
    </row>
    <row r="1153">
      <c r="A1153" s="3" t="s">
        <v>7046</v>
      </c>
      <c r="B1153" s="4" t="str">
        <f>IFERROR(__xludf.DUMMYFUNCTION("GOOGLETRANSLATE(A1153, ""en"", ""te"")"),"అముల్ మస్తి మసాలా మజ్జిగ")</f>
        <v>అముల్ మస్తి మసాలా మజ్జిగ</v>
      </c>
      <c r="C1153" s="4" t="str">
        <f>IFERROR(__xludf.DUMMYFUNCTION("GOOGLETRANSLATE(A1153, ""en"", ""hi"")"),"अमूल मस्ती स्पाइस्ड बटरमिल्क")</f>
        <v>अमूल मस्ती स्पाइस्ड बटरमिल्क</v>
      </c>
      <c r="D1153" s="5"/>
      <c r="E1153" s="2" t="s">
        <v>2369</v>
      </c>
      <c r="F1153" s="1">
        <v>2.0</v>
      </c>
      <c r="G1153" s="3" t="s">
        <v>7047</v>
      </c>
    </row>
    <row r="1154">
      <c r="A1154" s="3" t="s">
        <v>7048</v>
      </c>
      <c r="B1154" s="4" t="str">
        <f>IFERROR(__xludf.DUMMYFUNCTION("GOOGLETRANSLATE(A1154, ""en"", ""te"")"),"నిజమైన కొబ్బరి నీరు")</f>
        <v>నిజమైన కొబ్బరి నీరు</v>
      </c>
      <c r="C1154" s="4" t="str">
        <f>IFERROR(__xludf.DUMMYFUNCTION("GOOGLETRANSLATE(A1154, ""en"", ""hi"")"),"असली नारियल पानी")</f>
        <v>असली नारियल पानी</v>
      </c>
      <c r="D1154" s="2" t="s">
        <v>53</v>
      </c>
      <c r="E1154" s="2" t="s">
        <v>1330</v>
      </c>
      <c r="F1154" s="1">
        <v>2.0</v>
      </c>
      <c r="G1154" s="3" t="s">
        <v>7047</v>
      </c>
    </row>
    <row r="1155">
      <c r="A1155" s="44"/>
      <c r="B1155" s="44" t="str">
        <f>IFERROR(__xludf.DUMMYFUNCTION("GOOGLETRANSLATE(A1155, ""en"", ""te"")"),"#VALUE!")</f>
        <v>#VALUE!</v>
      </c>
      <c r="C1155" s="4" t="str">
        <f>IFERROR(__xludf.DUMMYFUNCTION("GOOGLETRANSLATE(A1155, ""en"", ""hi"")"),"#VALUE!")</f>
        <v>#VALUE!</v>
      </c>
      <c r="D1155" s="5"/>
      <c r="E1155" s="5"/>
    </row>
    <row r="1156">
      <c r="A1156" s="3" t="s">
        <v>7049</v>
      </c>
      <c r="B1156" s="4" t="str">
        <f>IFERROR(__xludf.DUMMYFUNCTION("GOOGLETRANSLATE(A1156, ""en"", ""te"")"),"ఖారీ బిస్కెట్లు")</f>
        <v>ఖారీ బిస్కెట్లు</v>
      </c>
      <c r="C1156" s="4" t="str">
        <f>IFERROR(__xludf.DUMMYFUNCTION("GOOGLETRANSLATE(A1156, ""en"", ""hi"")"),"खारी बिस्कुट")</f>
        <v>खारी बिस्कुट</v>
      </c>
      <c r="D1156" s="2" t="s">
        <v>7050</v>
      </c>
      <c r="E1156" s="2" t="s">
        <v>4100</v>
      </c>
      <c r="F1156" s="1">
        <v>3.0</v>
      </c>
      <c r="G1156" s="3" t="s">
        <v>292</v>
      </c>
    </row>
    <row r="1157">
      <c r="A1157" s="3" t="s">
        <v>7051</v>
      </c>
      <c r="B1157" s="4" t="str">
        <f>IFERROR(__xludf.DUMMYFUNCTION("GOOGLETRANSLATE(A1157, ""en"", ""te"")"),"బేసన్ బర్ఫీ")</f>
        <v>బేసన్ బర్ఫీ</v>
      </c>
      <c r="C1157" s="4" t="str">
        <f>IFERROR(__xludf.DUMMYFUNCTION("GOOGLETRANSLATE(A1157, ""en"", ""hi"")"),"बेसन बर्फी")</f>
        <v>बेसन बर्फी</v>
      </c>
      <c r="D1157" s="2" t="s">
        <v>7052</v>
      </c>
      <c r="E1157" s="2" t="s">
        <v>3438</v>
      </c>
      <c r="F1157" s="1">
        <v>3.0</v>
      </c>
      <c r="G1157" s="3" t="s">
        <v>7053</v>
      </c>
    </row>
    <row r="1158">
      <c r="A1158" s="3" t="s">
        <v>7054</v>
      </c>
      <c r="B1158" s="4" t="str">
        <f>IFERROR(__xludf.DUMMYFUNCTION("GOOGLETRANSLATE(A1158, ""en"", ""te"")"),"ఆరెంజ్ క్రీమ్ బిస్కెట్లు")</f>
        <v>ఆరెంజ్ క్రీమ్ బిస్కెట్లు</v>
      </c>
      <c r="C1158" s="4" t="str">
        <f>IFERROR(__xludf.DUMMYFUNCTION("GOOGLETRANSLATE(A1158, ""en"", ""hi"")"),"ऑरेंज क्रीम बिस्कुट")</f>
        <v>ऑरेंज क्रीम बिस्कुट</v>
      </c>
      <c r="D1158" s="2" t="s">
        <v>7055</v>
      </c>
      <c r="E1158" s="2" t="s">
        <v>4100</v>
      </c>
      <c r="F1158" s="1">
        <v>3.0</v>
      </c>
      <c r="G1158" s="3" t="s">
        <v>7053</v>
      </c>
    </row>
    <row r="1159">
      <c r="A1159" s="3" t="s">
        <v>7056</v>
      </c>
      <c r="B1159" s="4" t="str">
        <f>IFERROR(__xludf.DUMMYFUNCTION("GOOGLETRANSLATE(A1159, ""en"", ""te"")"),"మొనాకో బిస్కెట్లు")</f>
        <v>మొనాకో బిస్కెట్లు</v>
      </c>
      <c r="C1159" s="4" t="str">
        <f>IFERROR(__xludf.DUMMYFUNCTION("GOOGLETRANSLATE(A1159, ""en"", ""hi"")"),"मोनाको बिस्कुट")</f>
        <v>मोनाको बिस्कुट</v>
      </c>
      <c r="D1159" s="2" t="s">
        <v>7057</v>
      </c>
      <c r="E1159" s="2" t="s">
        <v>4100</v>
      </c>
      <c r="F1159" s="1">
        <v>3.0</v>
      </c>
      <c r="G1159" s="3" t="s">
        <v>4469</v>
      </c>
    </row>
    <row r="1160">
      <c r="A1160" s="3" t="s">
        <v>7058</v>
      </c>
      <c r="B1160" s="4" t="str">
        <f>IFERROR(__xludf.DUMMYFUNCTION("GOOGLETRANSLATE(A1160, ""en"", ""te"")"),"పార్లే-జి బిస్కెట్లు")</f>
        <v>పార్లే-జి బిస్కెట్లు</v>
      </c>
      <c r="C1160" s="4" t="str">
        <f>IFERROR(__xludf.DUMMYFUNCTION("GOOGLETRANSLATE(A1160, ""en"", ""hi"")"),"पार्ले-जी बिस्कुट")</f>
        <v>पार्ले-जी बिस्कुट</v>
      </c>
      <c r="D1160" s="2" t="s">
        <v>7057</v>
      </c>
      <c r="E1160" s="2" t="s">
        <v>4100</v>
      </c>
      <c r="F1160" s="1">
        <v>3.0</v>
      </c>
      <c r="G1160" s="3" t="s">
        <v>4480</v>
      </c>
    </row>
    <row r="1161">
      <c r="A1161" s="3" t="s">
        <v>7059</v>
      </c>
      <c r="B1161" s="4" t="str">
        <f>IFERROR(__xludf.DUMMYFUNCTION("GOOGLETRANSLATE(A1161, ""en"", ""te"")"),"క్రాక్‌జాక్ బిస్కెట్లు")</f>
        <v>క్రాక్‌జాక్ బిస్కెట్లు</v>
      </c>
      <c r="C1161" s="4" t="str">
        <f>IFERROR(__xludf.DUMMYFUNCTION("GOOGLETRANSLATE(A1161, ""en"", ""hi"")"),"क्रैकजैक बिस्कुट")</f>
        <v>क्रैकजैक बिस्कुट</v>
      </c>
      <c r="D1161" s="2" t="s">
        <v>7060</v>
      </c>
      <c r="E1161" s="2" t="s">
        <v>4100</v>
      </c>
      <c r="F1161" s="1">
        <v>3.0</v>
      </c>
      <c r="G1161" s="3" t="s">
        <v>4480</v>
      </c>
    </row>
    <row r="1162">
      <c r="A1162" s="3" t="s">
        <v>7061</v>
      </c>
      <c r="B1162" s="4" t="str">
        <f>IFERROR(__xludf.DUMMYFUNCTION("GOOGLETRANSLATE(A1162, ""en"", ""te"")"),"అల్ మదీనా ఖర్జూరాలు")</f>
        <v>అల్ మదీనా ఖర్జూరాలు</v>
      </c>
      <c r="C1162" s="4" t="str">
        <f>IFERROR(__xludf.DUMMYFUNCTION("GOOGLETRANSLATE(A1162, ""en"", ""hi"")"),"अल मदीना खजूर")</f>
        <v>अल मदीना खजूर</v>
      </c>
      <c r="D1162" s="2" t="s">
        <v>7062</v>
      </c>
      <c r="E1162" s="2" t="s">
        <v>2700</v>
      </c>
      <c r="F1162" s="1">
        <v>3.0</v>
      </c>
      <c r="G1162" s="3" t="s">
        <v>71</v>
      </c>
    </row>
    <row r="1163">
      <c r="A1163" s="3" t="s">
        <v>7063</v>
      </c>
      <c r="B1163" s="4" t="str">
        <f>IFERROR(__xludf.DUMMYFUNCTION("GOOGLETRANSLATE(A1163, ""en"", ""te"")"),"సన్‌షైన్ స్నాక్స్ గింజలు తీసిన ఖర్జూరాలు")</f>
        <v>సన్‌షైన్ స్నాక్స్ గింజలు తీసిన ఖర్జూరాలు</v>
      </c>
      <c r="C1163" s="4" t="str">
        <f>IFERROR(__xludf.DUMMYFUNCTION("GOOGLETRANSLATE(A1163, ""en"", ""hi"")"),"सनशाइन स्नैक्स पिटेड डेट्स")</f>
        <v>सनशाइन स्नैक्स पिटेड डेट्स</v>
      </c>
      <c r="D1163" s="5"/>
      <c r="E1163" s="2" t="s">
        <v>2700</v>
      </c>
      <c r="F1163" s="1">
        <v>3.0</v>
      </c>
      <c r="G1163" s="3" t="s">
        <v>76</v>
      </c>
    </row>
    <row r="1164">
      <c r="A1164" s="3" t="s">
        <v>7064</v>
      </c>
      <c r="B1164" s="4" t="str">
        <f>IFERROR(__xludf.DUMMYFUNCTION("GOOGLETRANSLATE(A1164, ""en"", ""te"")"),"మెడ్జౌల్ ఖర్జూరాలు")</f>
        <v>మెడ్జౌల్ ఖర్జూరాలు</v>
      </c>
      <c r="C1164" s="4" t="str">
        <f>IFERROR(__xludf.DUMMYFUNCTION("GOOGLETRANSLATE(A1164, ""en"", ""hi"")"),"मेडजूल खजूर")</f>
        <v>मेडजूल खजूर</v>
      </c>
      <c r="D1164" s="2" t="s">
        <v>7062</v>
      </c>
      <c r="E1164" s="2" t="s">
        <v>2700</v>
      </c>
      <c r="F1164" s="1">
        <v>3.0</v>
      </c>
      <c r="G1164" s="3" t="s">
        <v>76</v>
      </c>
    </row>
    <row r="1165">
      <c r="A1165" s="3" t="s">
        <v>7065</v>
      </c>
      <c r="B1165" s="4" t="str">
        <f>IFERROR(__xludf.DUMMYFUNCTION("GOOGLETRANSLATE(A1165, ""en"", ""te"")"),"మన్నా హెల్త్ మిక్స్")</f>
        <v>మన్నా హెల్త్ మిక్స్</v>
      </c>
      <c r="C1165" s="4" t="str">
        <f>IFERROR(__xludf.DUMMYFUNCTION("GOOGLETRANSLATE(A1165, ""en"", ""hi"")"),"मन्ना हेल्थ मिक्स")</f>
        <v>मन्ना हेल्थ मिक्स</v>
      </c>
      <c r="D1165" s="5"/>
      <c r="E1165" s="2" t="s">
        <v>940</v>
      </c>
      <c r="F1165" s="1">
        <v>3.0</v>
      </c>
      <c r="G1165" s="3" t="s">
        <v>85</v>
      </c>
    </row>
    <row r="1166">
      <c r="A1166" s="3" t="s">
        <v>7066</v>
      </c>
      <c r="B1166" s="4" t="str">
        <f>IFERROR(__xludf.DUMMYFUNCTION("GOOGLETRANSLATE(A1166, ""en"", ""te"")"),"జలని నింబు పాని")</f>
        <v>జలని నింబు పాని</v>
      </c>
      <c r="C1166" s="4" t="str">
        <f>IFERROR(__xludf.DUMMYFUNCTION("GOOGLETRANSLATE(A1166, ""en"", ""hi"")"),"जलानी नींबू पानी")</f>
        <v>जलानी नींबू पानी</v>
      </c>
      <c r="D1166" s="5"/>
      <c r="E1166" s="2" t="s">
        <v>996</v>
      </c>
      <c r="F1166" s="1">
        <v>3.0</v>
      </c>
      <c r="G1166" s="3" t="s">
        <v>85</v>
      </c>
    </row>
    <row r="1167">
      <c r="A1167" s="3" t="s">
        <v>3832</v>
      </c>
      <c r="B1167" s="4" t="str">
        <f>IFERROR(__xludf.DUMMYFUNCTION("GOOGLETRANSLATE(A1167, ""en"", ""te"")"),"జలని జల్జిరా")</f>
        <v>జలని జల్జిరా</v>
      </c>
      <c r="C1167" s="4" t="str">
        <f>IFERROR(__xludf.DUMMYFUNCTION("GOOGLETRANSLATE(A1167, ""en"", ""hi"")"),"जलानी जलजीरा")</f>
        <v>जलानी जलजीरा</v>
      </c>
      <c r="D1167" s="2" t="s">
        <v>7067</v>
      </c>
      <c r="E1167" s="2" t="s">
        <v>442</v>
      </c>
      <c r="F1167" s="1">
        <v>3.0</v>
      </c>
      <c r="G1167" s="3" t="s">
        <v>85</v>
      </c>
    </row>
    <row r="1168">
      <c r="A1168" s="3" t="s">
        <v>7068</v>
      </c>
      <c r="B1168" s="4" t="str">
        <f>IFERROR(__xludf.DUMMYFUNCTION("GOOGLETRANSLATE(A1168, ""en"", ""te"")"),"ప్రోటినెక్స్ ఒరిజినల్")</f>
        <v>ప్రోటినెక్స్ ఒరిజినల్</v>
      </c>
      <c r="C1168" s="4" t="str">
        <f>IFERROR(__xludf.DUMMYFUNCTION("GOOGLETRANSLATE(A1168, ""en"", ""hi"")"),"प्रोटीनेक्स ओरिजिनल")</f>
        <v>प्रोटीनेक्स ओरिजिनल</v>
      </c>
      <c r="D1168" s="5"/>
      <c r="E1168" s="2" t="s">
        <v>1038</v>
      </c>
      <c r="F1168" s="1">
        <v>3.0</v>
      </c>
      <c r="G1168" s="3" t="s">
        <v>114</v>
      </c>
    </row>
    <row r="1169">
      <c r="A1169" s="3" t="s">
        <v>7065</v>
      </c>
      <c r="B1169" s="4" t="str">
        <f>IFERROR(__xludf.DUMMYFUNCTION("GOOGLETRANSLATE(A1169, ""en"", ""te"")"),"మన్నా హెల్త్ మిక్స్")</f>
        <v>మన్నా హెల్త్ మిక్స్</v>
      </c>
      <c r="C1169" s="4" t="str">
        <f>IFERROR(__xludf.DUMMYFUNCTION("GOOGLETRANSLATE(A1169, ""en"", ""hi"")"),"मन्ना हेल्थ मिक्स")</f>
        <v>मन्ना हेल्थ मिक्स</v>
      </c>
      <c r="D1169" s="5"/>
      <c r="E1169" s="2" t="s">
        <v>940</v>
      </c>
      <c r="F1169" s="1">
        <v>3.0</v>
      </c>
      <c r="G1169" s="3" t="s">
        <v>114</v>
      </c>
    </row>
    <row r="1170">
      <c r="A1170" s="3" t="s">
        <v>7069</v>
      </c>
      <c r="B1170" s="4" t="str">
        <f>IFERROR(__xludf.DUMMYFUNCTION("GOOGLETRANSLATE(A1170, ""en"", ""te"")"),"పానీ పూరీ పానీ")</f>
        <v>పానీ పూరీ పానీ</v>
      </c>
      <c r="C1170" s="4" t="str">
        <f>IFERROR(__xludf.DUMMYFUNCTION("GOOGLETRANSLATE(A1170, ""en"", ""hi"")"),"पानी पूरी पानी")</f>
        <v>पानी पूरी पानी</v>
      </c>
      <c r="D1170" s="2" t="s">
        <v>1304</v>
      </c>
      <c r="E1170" s="2" t="s">
        <v>996</v>
      </c>
      <c r="F1170" s="1">
        <v>3.0</v>
      </c>
      <c r="G1170" s="3" t="s">
        <v>10</v>
      </c>
    </row>
    <row r="1171">
      <c r="A1171" s="3" t="s">
        <v>7070</v>
      </c>
      <c r="B1171" s="4" t="str">
        <f>IFERROR(__xludf.DUMMYFUNCTION("GOOGLETRANSLATE(A1171, ""en"", ""te"")"),"థ్రెప్టిన్ హై ప్రోటీన్ డిస్కెట్లు")</f>
        <v>థ్రెప్టిన్ హై ప్రోటీన్ డిస్కెట్లు</v>
      </c>
      <c r="C1171" s="4" t="str">
        <f>IFERROR(__xludf.DUMMYFUNCTION("GOOGLETRANSLATE(A1171, ""en"", ""hi"")"),"थ्रेप्टिन हाई प्रोटीन डिस्केट्स")</f>
        <v>थ्रेप्टिन हाई प्रोटीन डिस्केट्स</v>
      </c>
      <c r="D1171" s="5"/>
      <c r="E1171" s="2" t="s">
        <v>1038</v>
      </c>
      <c r="F1171" s="1">
        <v>3.0</v>
      </c>
      <c r="G1171" s="3" t="s">
        <v>20</v>
      </c>
    </row>
    <row r="1172">
      <c r="A1172" s="3" t="s">
        <v>7071</v>
      </c>
      <c r="B1172" s="4" t="str">
        <f>IFERROR(__xludf.DUMMYFUNCTION("GOOGLETRANSLATE(A1172, ""en"", ""te"")"),"థ్రెప్టిన్ లైట్ డిస్కెట్లు")</f>
        <v>థ్రెప్టిన్ లైట్ డిస్కెట్లు</v>
      </c>
      <c r="C1172" s="4" t="str">
        <f>IFERROR(__xludf.DUMMYFUNCTION("GOOGLETRANSLATE(A1172, ""en"", ""hi"")"),"थ्रेप्टिन लाइट डिस्केट्स")</f>
        <v>थ्रेप्टिन लाइट डिस्केट्स</v>
      </c>
      <c r="D1172" s="5"/>
      <c r="E1172" s="2" t="s">
        <v>1038</v>
      </c>
      <c r="F1172" s="1">
        <v>3.0</v>
      </c>
      <c r="G1172" s="3" t="s">
        <v>20</v>
      </c>
    </row>
    <row r="1173">
      <c r="A1173" s="3" t="s">
        <v>7072</v>
      </c>
      <c r="B1173" s="4" t="str">
        <f>IFERROR(__xludf.DUMMYFUNCTION("GOOGLETRANSLATE(A1173, ""en"", ""te"")"),"జిఆర్‌బి డ్రై ఫ్రూట్స్ హల్వా")</f>
        <v>జిఆర్‌బి డ్రై ఫ్రూట్స్ హల్వా</v>
      </c>
      <c r="C1173" s="4" t="str">
        <f>IFERROR(__xludf.DUMMYFUNCTION("GOOGLETRANSLATE(A1173, ""en"", ""hi"")"),"जीआरबी ड्राई फ्रूट्स हलवा")</f>
        <v>जीआरबी ड्राई फ्रूट्स हलवा</v>
      </c>
      <c r="D1173" s="5"/>
      <c r="E1173" s="2" t="s">
        <v>3438</v>
      </c>
      <c r="F1173" s="1">
        <v>3.0</v>
      </c>
      <c r="G1173" s="3" t="s">
        <v>29</v>
      </c>
    </row>
    <row r="1174">
      <c r="A1174" s="3" t="s">
        <v>7073</v>
      </c>
      <c r="B1174" s="4" t="str">
        <f>IFERROR(__xludf.DUMMYFUNCTION("GOOGLETRANSLATE(A1174, ""en"", ""te"")"),"జిఆర్‌బి పైనాపిల్ హల్వా")</f>
        <v>జిఆర్‌బి పైనాపిల్ హల్వా</v>
      </c>
      <c r="C1174" s="4" t="str">
        <f>IFERROR(__xludf.DUMMYFUNCTION("GOOGLETRANSLATE(A1174, ""en"", ""hi"")"),"जीआरबी अनानास हलवा")</f>
        <v>जीआरबी अनानास हलवा</v>
      </c>
      <c r="D1174" s="2" t="s">
        <v>7074</v>
      </c>
      <c r="E1174" s="2" t="s">
        <v>3438</v>
      </c>
      <c r="F1174" s="1">
        <v>3.0</v>
      </c>
      <c r="G1174" s="3" t="s">
        <v>29</v>
      </c>
    </row>
    <row r="1175">
      <c r="A1175" s="3" t="s">
        <v>7075</v>
      </c>
      <c r="B1175" s="4" t="str">
        <f>IFERROR(__xludf.DUMMYFUNCTION("GOOGLETRANSLATE(A1175, ""en"", ""te"")"),"జిఆర్‌బి బొంబాయి హల్వా")</f>
        <v>జిఆర్‌బి బొంబాయి హల్వా</v>
      </c>
      <c r="C1175" s="4" t="str">
        <f>IFERROR(__xludf.DUMMYFUNCTION("GOOGLETRANSLATE(A1175, ""en"", ""hi"")"),"जीआरबी बॉम्बे हलवा")</f>
        <v>जीआरबी बॉम्बे हलवा</v>
      </c>
      <c r="D1175" s="2" t="s">
        <v>4054</v>
      </c>
      <c r="E1175" s="2" t="s">
        <v>3438</v>
      </c>
      <c r="F1175" s="1">
        <v>3.0</v>
      </c>
      <c r="G1175" s="3" t="s">
        <v>29</v>
      </c>
    </row>
    <row r="1176">
      <c r="A1176" s="3" t="s">
        <v>7076</v>
      </c>
      <c r="B1176" s="4" t="str">
        <f>IFERROR(__xludf.DUMMYFUNCTION("GOOGLETRANSLATE(A1176, ""en"", ""te"")"),"జి.ఆర్.బి ఖర్జూరాల హల్వా")</f>
        <v>జి.ఆర్.బి ఖర్జూరాల హల్వా</v>
      </c>
      <c r="C1176" s="4" t="str">
        <f>IFERROR(__xludf.DUMMYFUNCTION("GOOGLETRANSLATE(A1176, ""en"", ""hi"")"),"जीआरबी खजूर हलवा")</f>
        <v>जीआरबी खजूर हलवा</v>
      </c>
      <c r="D1176" s="2" t="s">
        <v>7062</v>
      </c>
      <c r="E1176" s="2" t="s">
        <v>3438</v>
      </c>
      <c r="F1176" s="1">
        <v>3.0</v>
      </c>
      <c r="G1176" s="3" t="s">
        <v>29</v>
      </c>
    </row>
    <row r="1177">
      <c r="A1177" s="3" t="s">
        <v>7077</v>
      </c>
      <c r="B1177" s="4" t="str">
        <f>IFERROR(__xludf.DUMMYFUNCTION("GOOGLETRANSLATE(A1177, ""en"", ""te"")"),"జామరి సుప్రీం డింక్ లడ్డు")</f>
        <v>జామరి సుప్రీం డింక్ లడ్డు</v>
      </c>
      <c r="C1177" s="4" t="str">
        <f>IFERROR(__xludf.DUMMYFUNCTION("GOOGLETRANSLATE(A1177, ""en"", ""hi"")"),"जमारी सुप्रीम डिंक लड्डू")</f>
        <v>जमारी सुप्रीम डिंक लड्डू</v>
      </c>
      <c r="D1177" s="5"/>
      <c r="E1177" s="2" t="s">
        <v>3438</v>
      </c>
      <c r="F1177" s="1">
        <v>3.0</v>
      </c>
      <c r="G1177" s="3" t="s">
        <v>29</v>
      </c>
    </row>
    <row r="1178">
      <c r="A1178" s="3" t="s">
        <v>7061</v>
      </c>
      <c r="B1178" s="4" t="str">
        <f>IFERROR(__xludf.DUMMYFUNCTION("GOOGLETRANSLATE(A1178, ""en"", ""te"")"),"అల్ మదీనా ఖర్జూరాలు")</f>
        <v>అల్ మదీనా ఖర్జూరాలు</v>
      </c>
      <c r="C1178" s="4" t="str">
        <f>IFERROR(__xludf.DUMMYFUNCTION("GOOGLETRANSLATE(A1178, ""en"", ""hi"")"),"अल मदीना खजूर")</f>
        <v>अल मदीना खजूर</v>
      </c>
      <c r="D1178" s="2" t="s">
        <v>7062</v>
      </c>
      <c r="E1178" s="2" t="s">
        <v>2700</v>
      </c>
      <c r="F1178" s="1">
        <v>3.0</v>
      </c>
      <c r="G1178" s="3" t="s">
        <v>29</v>
      </c>
    </row>
    <row r="1179">
      <c r="A1179" s="3" t="s">
        <v>7078</v>
      </c>
      <c r="B1179" s="4" t="str">
        <f>IFERROR(__xludf.DUMMYFUNCTION("GOOGLETRANSLATE(A1179, ""en"", ""te"")"),"కరాచీ బేకరీ చక్కెర రహిత జీడిపప్పు బిస్కెట్")</f>
        <v>కరాచీ బేకరీ చక్కెర రహిత జీడిపప్పు బిస్కెట్</v>
      </c>
      <c r="C1179" s="4" t="str">
        <f>IFERROR(__xludf.DUMMYFUNCTION("GOOGLETRANSLATE(A1179, ""en"", ""hi"")"),"कराची बेकरी शुगर फ्री काजू बिस्किट")</f>
        <v>कराची बेकरी शुगर फ्री काजू बिस्किट</v>
      </c>
      <c r="D1179" s="2" t="s">
        <v>7079</v>
      </c>
      <c r="E1179" s="2" t="s">
        <v>4100</v>
      </c>
      <c r="F1179" s="1">
        <v>3.0</v>
      </c>
      <c r="G1179" s="3" t="s">
        <v>39</v>
      </c>
    </row>
    <row r="1180">
      <c r="A1180" s="3" t="s">
        <v>7080</v>
      </c>
      <c r="B1180" s="4" t="str">
        <f>IFERROR(__xludf.DUMMYFUNCTION("GOOGLETRANSLATE(A1180, ""en"", ""te"")"),"కరాచీ బేకరీ ప్రీమియం ఫ్రూట్ రస్క్")</f>
        <v>కరాచీ బేకరీ ప్రీమియం ఫ్రూట్ రస్క్</v>
      </c>
      <c r="C1180" s="4" t="str">
        <f>IFERROR(__xludf.DUMMYFUNCTION("GOOGLETRANSLATE(A1180, ""en"", ""hi"")"),"कराची बेकरी प्रीमियम फ्रूट रस्क")</f>
        <v>कराची बेकरी प्रीमियम फ्रूट रस्क</v>
      </c>
      <c r="D1180" s="2" t="s">
        <v>7081</v>
      </c>
      <c r="E1180" s="2" t="s">
        <v>4100</v>
      </c>
      <c r="F1180" s="1">
        <v>3.0</v>
      </c>
      <c r="G1180" s="3" t="s">
        <v>39</v>
      </c>
    </row>
    <row r="1181">
      <c r="A1181" s="3" t="s">
        <v>7082</v>
      </c>
      <c r="B1181" s="4" t="str">
        <f>IFERROR(__xludf.DUMMYFUNCTION("GOOGLETRANSLATE(A1181, ""en"", ""te"")"),"కరాచీ బటర్‌ఫ్లై ఉస్మానియా బిస్కెట్")</f>
        <v>కరాచీ బటర్‌ఫ్లై ఉస్మానియా బిస్కెట్</v>
      </c>
      <c r="C1181" s="4" t="str">
        <f>IFERROR(__xludf.DUMMYFUNCTION("GOOGLETRANSLATE(A1181, ""en"", ""hi"")"),"कराची का बटरली उस्मानिया बिस्किट")</f>
        <v>कराची का बटरली उस्मानिया बिस्किट</v>
      </c>
      <c r="D1181" s="2" t="s">
        <v>7083</v>
      </c>
      <c r="E1181" s="2" t="s">
        <v>4100</v>
      </c>
      <c r="F1181" s="1">
        <v>3.0</v>
      </c>
      <c r="G1181" s="3" t="s">
        <v>39</v>
      </c>
    </row>
    <row r="1182">
      <c r="A1182" s="3" t="s">
        <v>7065</v>
      </c>
      <c r="B1182" s="4" t="str">
        <f>IFERROR(__xludf.DUMMYFUNCTION("GOOGLETRANSLATE(A1182, ""en"", ""te"")"),"మన్నా హెల్త్ మిక్స్")</f>
        <v>మన్నా హెల్త్ మిక్స్</v>
      </c>
      <c r="C1182" s="4" t="str">
        <f>IFERROR(__xludf.DUMMYFUNCTION("GOOGLETRANSLATE(A1182, ""en"", ""hi"")"),"मन्ना हेल्थ मिक्स")</f>
        <v>मन्ना हेल्थ मिक्स</v>
      </c>
      <c r="D1182" s="5"/>
      <c r="E1182" s="2" t="s">
        <v>940</v>
      </c>
      <c r="F1182" s="1">
        <v>3.0</v>
      </c>
      <c r="G1182" s="3" t="s">
        <v>194</v>
      </c>
    </row>
    <row r="1183">
      <c r="A1183" s="3" t="s">
        <v>7084</v>
      </c>
      <c r="B1183" s="4" t="str">
        <f>IFERROR(__xludf.DUMMYFUNCTION("GOOGLETRANSLATE(A1183, ""en"", ""te"")"),"పార్లే-జి రాయల్ బిస్కెట్లు")</f>
        <v>పార్లే-జి రాయల్ బిస్కెట్లు</v>
      </c>
      <c r="C1183" s="4" t="str">
        <f>IFERROR(__xludf.DUMMYFUNCTION("GOOGLETRANSLATE(A1183, ""en"", ""hi"")"),"पार्ले-जी रॉयल बिस्कुट")</f>
        <v>पार्ले-जी रॉयल बिस्कुट</v>
      </c>
      <c r="D1183" s="2" t="s">
        <v>7050</v>
      </c>
      <c r="E1183" s="2" t="s">
        <v>4100</v>
      </c>
      <c r="F1183" s="1">
        <v>3.0</v>
      </c>
      <c r="G1183" s="3" t="s">
        <v>240</v>
      </c>
    </row>
    <row r="1184">
      <c r="A1184" s="3" t="s">
        <v>7085</v>
      </c>
      <c r="B1184" s="4" t="str">
        <f>IFERROR(__xludf.DUMMYFUNCTION("GOOGLETRANSLATE(A1184, ""en"", ""te"")"),"పార్లే హైడ్ &amp; సీక్ బ్లాక్ బోర్బన్ చోకో")</f>
        <v>పార్లే హైడ్ &amp; సీక్ బ్లాక్ బోర్బన్ చోకో</v>
      </c>
      <c r="C1184" s="4" t="str">
        <f>IFERROR(__xludf.DUMMYFUNCTION("GOOGLETRANSLATE(A1184, ""en"", ""hi"")"),"पार्ले हाइड एंड सीक ब्लैक बोर्बन चोको")</f>
        <v>पार्ले हाइड एंड सीक ब्लैक बोर्बन चोको</v>
      </c>
      <c r="D1184" s="5"/>
      <c r="E1184" s="2" t="s">
        <v>4100</v>
      </c>
      <c r="F1184" s="1">
        <v>3.0</v>
      </c>
      <c r="G1184" s="3" t="s">
        <v>240</v>
      </c>
    </row>
    <row r="1185">
      <c r="A1185" s="3" t="s">
        <v>7086</v>
      </c>
      <c r="B1185" s="4" t="str">
        <f>IFERROR(__xludf.DUMMYFUNCTION("GOOGLETRANSLATE(A1185, ""en"", ""te"")"),"పార్లే హైడ్ &amp; సీక్ బ్లాక్ బోర్బన్ వెనిలా")</f>
        <v>పార్లే హైడ్ &amp; సీక్ బ్లాక్ బోర్బన్ వెనిలా</v>
      </c>
      <c r="C1185" s="4" t="str">
        <f>IFERROR(__xludf.DUMMYFUNCTION("GOOGLETRANSLATE(A1185, ""en"", ""hi"")"),"पार्ले हाइड एंड सीक ब्लैक बोर्बन वैनिला")</f>
        <v>पार्ले हाइड एंड सीक ब्लैक बोर्बन वैनिला</v>
      </c>
      <c r="D1185" s="5"/>
      <c r="E1185" s="2" t="s">
        <v>4100</v>
      </c>
      <c r="F1185" s="1">
        <v>3.0</v>
      </c>
      <c r="G1185" s="3" t="s">
        <v>240</v>
      </c>
    </row>
    <row r="1186">
      <c r="A1186" s="3" t="s">
        <v>7087</v>
      </c>
      <c r="B1186" s="4" t="str">
        <f>IFERROR(__xludf.DUMMYFUNCTION("GOOGLETRANSLATE(A1186, ""en"", ""te"")"),"పార్లే హైడ్ &amp; సీక్ సెంటర్ ఫిల్డ్ చాకో కుకీస్")</f>
        <v>పార్లే హైడ్ &amp; సీక్ సెంటర్ ఫిల్డ్ చాకో కుకీస్</v>
      </c>
      <c r="C1186" s="4" t="str">
        <f>IFERROR(__xludf.DUMMYFUNCTION("GOOGLETRANSLATE(A1186, ""en"", ""hi"")"),"पार्ले हाइड एंड सीक सेंटर फिल्ड चोको कुकीज़")</f>
        <v>पार्ले हाइड एंड सीक सेंटर फिल्ड चोको कुकीज़</v>
      </c>
      <c r="D1186" s="2" t="s">
        <v>7088</v>
      </c>
      <c r="E1186" s="2" t="s">
        <v>4100</v>
      </c>
      <c r="F1186" s="1">
        <v>3.0</v>
      </c>
      <c r="G1186" s="3" t="s">
        <v>240</v>
      </c>
    </row>
    <row r="1187">
      <c r="A1187" s="3" t="s">
        <v>7089</v>
      </c>
      <c r="B1187" s="4" t="str">
        <f>IFERROR(__xludf.DUMMYFUNCTION("GOOGLETRANSLATE(A1187, ""en"", ""te"")"),"పార్లే హైడ్ &amp; సీక్ క్రెస్ట్ కలెక్షన్")</f>
        <v>పార్లే హైడ్ &amp; సీక్ క్రెస్ట్ కలెక్షన్</v>
      </c>
      <c r="C1187" s="4" t="str">
        <f>IFERROR(__xludf.DUMMYFUNCTION("GOOGLETRANSLATE(A1187, ""en"", ""hi"")"),"पार्ले हाइड एंड सीक क्रेस्ट कलेक्शन")</f>
        <v>पार्ले हाइड एंड सीक क्रेस्ट कलेक्शन</v>
      </c>
      <c r="D1187" s="5"/>
      <c r="E1187" s="2" t="s">
        <v>4100</v>
      </c>
      <c r="F1187" s="1">
        <v>3.0</v>
      </c>
      <c r="G1187" s="3" t="s">
        <v>240</v>
      </c>
    </row>
    <row r="1188">
      <c r="A1188" s="3" t="s">
        <v>7090</v>
      </c>
      <c r="B1188" s="4" t="str">
        <f>IFERROR(__xludf.DUMMYFUNCTION("GOOGLETRANSLATE(A1188, ""en"", ""te"")"),"ప్రోటినెక్స్ హెల్త్ డ్రింక్")</f>
        <v>ప్రోటినెక్స్ హెల్త్ డ్రింక్</v>
      </c>
      <c r="C1188" s="4" t="str">
        <f>IFERROR(__xludf.DUMMYFUNCTION("GOOGLETRANSLATE(A1188, ""en"", ""hi"")"),"प्रोटीनेक्स हेल्थ ड्रिंक")</f>
        <v>प्रोटीनेक्स हेल्थ ड्रिंक</v>
      </c>
      <c r="D1188" s="5"/>
      <c r="E1188" s="2" t="s">
        <v>2369</v>
      </c>
      <c r="F1188" s="1">
        <v>3.0</v>
      </c>
      <c r="G1188" s="3" t="s">
        <v>240</v>
      </c>
    </row>
    <row r="1189">
      <c r="A1189" s="3" t="s">
        <v>7091</v>
      </c>
      <c r="B1189" s="4" t="str">
        <f>IFERROR(__xludf.DUMMYFUNCTION("GOOGLETRANSLATE(A1189, ""en"", ""te"")"),"క్రౌన్ కేక్ రస్క్")</f>
        <v>క్రౌన్ కేక్ రస్క్</v>
      </c>
      <c r="C1189" s="4" t="str">
        <f>IFERROR(__xludf.DUMMYFUNCTION("GOOGLETRANSLATE(A1189, ""en"", ""hi"")"),"क्राउन केक रस्क")</f>
        <v>क्राउन केक रस्क</v>
      </c>
      <c r="D1189" s="2" t="s">
        <v>7092</v>
      </c>
      <c r="E1189" s="2" t="s">
        <v>4100</v>
      </c>
      <c r="F1189" s="1">
        <v>3.0</v>
      </c>
      <c r="G1189" s="3" t="s">
        <v>258</v>
      </c>
    </row>
    <row r="1190">
      <c r="A1190" s="3" t="s">
        <v>7093</v>
      </c>
      <c r="B1190" s="4" t="str">
        <f>IFERROR(__xludf.DUMMYFUNCTION("GOOGLETRANSLATE(A1190, ""en"", ""te"")"),"పార్లే హైడ్ &amp; సీక్ చాకో రోల్స్")</f>
        <v>పార్లే హైడ్ &amp; సీక్ చాకో రోల్స్</v>
      </c>
      <c r="C1190" s="4" t="str">
        <f>IFERROR(__xludf.DUMMYFUNCTION("GOOGLETRANSLATE(A1190, ""en"", ""hi"")"),"पार्ले हाइड एंड सीक चोको रोल्स")</f>
        <v>पार्ले हाइड एंड सीक चोको रोल्स</v>
      </c>
      <c r="D1190" s="5"/>
      <c r="E1190" s="2" t="s">
        <v>4100</v>
      </c>
      <c r="F1190" s="1">
        <v>3.0</v>
      </c>
      <c r="G1190" s="3" t="s">
        <v>258</v>
      </c>
    </row>
    <row r="1191">
      <c r="A1191" s="3" t="s">
        <v>7094</v>
      </c>
      <c r="B1191" s="4" t="str">
        <f>IFERROR(__xludf.DUMMYFUNCTION("GOOGLETRANSLATE(A1191, ""en"", ""te"")"),"కామధేను మిల్క్ హల్వా")</f>
        <v>కామధేను మిల్క్ హల్వా</v>
      </c>
      <c r="C1191" s="4" t="str">
        <f>IFERROR(__xludf.DUMMYFUNCTION("GOOGLETRANSLATE(A1191, ""en"", ""hi"")"),"कामधेनु मिल्क हलवा")</f>
        <v>कामधेनु मिल्क हलवा</v>
      </c>
      <c r="D1191" s="5"/>
      <c r="E1191" s="2" t="s">
        <v>3438</v>
      </c>
      <c r="F1191" s="1">
        <v>3.0</v>
      </c>
      <c r="G1191" s="3" t="s">
        <v>20</v>
      </c>
    </row>
    <row r="1192">
      <c r="A1192" s="3" t="s">
        <v>7095</v>
      </c>
      <c r="B1192" s="4" t="str">
        <f>IFERROR(__xludf.DUMMYFUNCTION("GOOGLETRANSLATE(A1192, ""en"", ""te"")"),"త్రెప్టిన్ డిస్కెట్లు")</f>
        <v>త్రెప్టిన్ డిస్కెట్లు</v>
      </c>
      <c r="C1192" s="4" t="str">
        <f>IFERROR(__xludf.DUMMYFUNCTION("GOOGLETRANSLATE(A1192, ""en"", ""hi"")"),"थ्रेप्टिन डिस्केट्स")</f>
        <v>थ्रेप्टिन डिस्केट्स</v>
      </c>
      <c r="D1192" s="5"/>
      <c r="E1192" s="2" t="s">
        <v>1038</v>
      </c>
      <c r="F1192" s="1">
        <v>3.0</v>
      </c>
      <c r="G1192" s="3" t="s">
        <v>20</v>
      </c>
    </row>
    <row r="1193">
      <c r="A1193" s="3" t="s">
        <v>7096</v>
      </c>
      <c r="B1193" s="4" t="str">
        <f>IFERROR(__xludf.DUMMYFUNCTION("GOOGLETRANSLATE(A1193, ""en"", ""te"")"),"జిఆర్‌బి నెయ్యి పైనాపిల్ హల్వా")</f>
        <v>జిఆర్‌బి నెయ్యి పైనాపిల్ హల్వా</v>
      </c>
      <c r="C1193" s="4" t="str">
        <f>IFERROR(__xludf.DUMMYFUNCTION("GOOGLETRANSLATE(A1193, ""en"", ""hi"")"),"जीआरबी घी अनानास हलवा")</f>
        <v>जीआरबी घी अनानास हलवा</v>
      </c>
      <c r="D1193" s="5"/>
      <c r="E1193" s="2" t="s">
        <v>3438</v>
      </c>
      <c r="F1193" s="1">
        <v>3.0</v>
      </c>
      <c r="G1193" s="3" t="s">
        <v>29</v>
      </c>
    </row>
    <row r="1194">
      <c r="A1194" s="3" t="s">
        <v>7097</v>
      </c>
      <c r="B1194" s="4" t="str">
        <f>IFERROR(__xludf.DUMMYFUNCTION("GOOGLETRANSLATE(A1194, ""en"", ""te"")"),"జిఆర్‌బి ఘీ బొంబాయి హల్వా")</f>
        <v>జిఆర్‌బి ఘీ బొంబాయి హల్వా</v>
      </c>
      <c r="C1194" s="4" t="str">
        <f>IFERROR(__xludf.DUMMYFUNCTION("GOOGLETRANSLATE(A1194, ""en"", ""hi"")"),"जीआरबी घी बॉम्बे हलवा")</f>
        <v>जीआरबी घी बॉम्बे हलवा</v>
      </c>
      <c r="D1194" s="5"/>
      <c r="E1194" s="2" t="s">
        <v>3438</v>
      </c>
      <c r="F1194" s="1">
        <v>3.0</v>
      </c>
      <c r="G1194" s="3" t="s">
        <v>29</v>
      </c>
    </row>
    <row r="1195">
      <c r="A1195" s="3" t="s">
        <v>7098</v>
      </c>
      <c r="B1195" s="4" t="str">
        <f>IFERROR(__xludf.DUMMYFUNCTION("GOOGLETRANSLATE(A1195, ""en"", ""te"")"),"జి.ఆర్.బి. నెయ్యి ఖర్జూరాల హల్వా")</f>
        <v>జి.ఆర్.బి. నెయ్యి ఖర్జూరాల హల్వా</v>
      </c>
      <c r="C1195" s="4" t="str">
        <f>IFERROR(__xludf.DUMMYFUNCTION("GOOGLETRANSLATE(A1195, ""en"", ""hi"")"),"जीआरबी घी खजूर हलवा")</f>
        <v>जीआरबी घी खजूर हलवा</v>
      </c>
      <c r="D1195" s="5"/>
      <c r="E1195" s="2" t="s">
        <v>3438</v>
      </c>
      <c r="F1195" s="1">
        <v>3.0</v>
      </c>
      <c r="G1195" s="3" t="s">
        <v>29</v>
      </c>
    </row>
    <row r="1196">
      <c r="A1196" s="3" t="s">
        <v>7099</v>
      </c>
      <c r="B1196" s="4" t="str">
        <f>IFERROR(__xludf.DUMMYFUNCTION("GOOGLETRANSLATE(A1196, ""en"", ""te"")"),"జవారీ సుప్రీం డింక్ లడు")</f>
        <v>జవారీ సుప్రీం డింక్ లడు</v>
      </c>
      <c r="C1196" s="4" t="str">
        <f>IFERROR(__xludf.DUMMYFUNCTION("GOOGLETRANSLATE(A1196, ""en"", ""hi"")"),"जवारी सुप्रीम डिंक लाडू")</f>
        <v>जवारी सुप्रीम डिंक लाडू</v>
      </c>
      <c r="D1196" s="2" t="s">
        <v>7100</v>
      </c>
      <c r="E1196" s="2" t="s">
        <v>3438</v>
      </c>
      <c r="F1196" s="1">
        <v>3.0</v>
      </c>
      <c r="G1196" s="3" t="s">
        <v>29</v>
      </c>
    </row>
    <row r="1197">
      <c r="A1197" s="3" t="s">
        <v>7101</v>
      </c>
      <c r="B1197" s="4" t="str">
        <f>IFERROR(__xludf.DUMMYFUNCTION("GOOGLETRANSLATE(A1197, ""en"", ""te"")"),"పరాచీ ప్రీమియం ఫ్రూట్ రస్క్")</f>
        <v>పరాచీ ప్రీమియం ఫ్రూట్ రస్క్</v>
      </c>
      <c r="C1197" s="4" t="str">
        <f>IFERROR(__xludf.DUMMYFUNCTION("GOOGLETRANSLATE(A1197, ""en"", ""hi"")"),"पाराची का प्रीमियम फ्रूट रस्क")</f>
        <v>पाराची का प्रीमियम फ्रूट रस्क</v>
      </c>
      <c r="D1197" s="2" t="s">
        <v>7102</v>
      </c>
      <c r="E1197" s="2" t="s">
        <v>4100</v>
      </c>
      <c r="F1197" s="1">
        <v>3.0</v>
      </c>
      <c r="G1197" s="3" t="s">
        <v>39</v>
      </c>
    </row>
    <row r="1198">
      <c r="A1198" s="3" t="s">
        <v>7103</v>
      </c>
      <c r="B1198" s="4" t="str">
        <f>IFERROR(__xludf.DUMMYFUNCTION("GOOGLETRANSLATE(A1198, ""en"", ""te"")"),"పరాచీ బటర్‌ఫ్లై ఉస్మానియా బిస్కెట్")</f>
        <v>పరాచీ బటర్‌ఫ్లై ఉస్మానియా బిస్కెట్</v>
      </c>
      <c r="C1198" s="4" t="str">
        <f>IFERROR(__xludf.DUMMYFUNCTION("GOOGLETRANSLATE(A1198, ""en"", ""hi"")"),"पाराची का बटरफ्लाई ओस्मानिया बिस्किट")</f>
        <v>पाराची का बटरफ्लाई ओस्मानिया बिस्किट</v>
      </c>
      <c r="D1198" s="2" t="s">
        <v>7057</v>
      </c>
      <c r="E1198" s="2" t="s">
        <v>4100</v>
      </c>
      <c r="F1198" s="1">
        <v>3.0</v>
      </c>
      <c r="G1198" s="3" t="s">
        <v>39</v>
      </c>
    </row>
    <row r="1199">
      <c r="A1199" s="3" t="s">
        <v>7104</v>
      </c>
      <c r="B1199" s="4" t="str">
        <f>IFERROR(__xludf.DUMMYFUNCTION("GOOGLETRANSLATE(A1199, ""en"", ""te"")"),"పార్లే-జి రాయల్ కుకీస్")</f>
        <v>పార్లే-జి రాయల్ కుకీస్</v>
      </c>
      <c r="C1199" s="4" t="str">
        <f>IFERROR(__xludf.DUMMYFUNCTION("GOOGLETRANSLATE(A1199, ""en"", ""hi"")"),"पार्ले-जी रॉयल कुकीज़")</f>
        <v>पार्ले-जी रॉयल कुकीज़</v>
      </c>
      <c r="D1199" s="2" t="s">
        <v>7105</v>
      </c>
      <c r="E1199" s="2" t="s">
        <v>4100</v>
      </c>
      <c r="F1199" s="1">
        <v>3.0</v>
      </c>
      <c r="G1199" s="3" t="s">
        <v>240</v>
      </c>
    </row>
    <row r="1200">
      <c r="A1200" s="3" t="s">
        <v>7106</v>
      </c>
      <c r="B1200" s="4" t="str">
        <f>IFERROR(__xludf.DUMMYFUNCTION("GOOGLETRANSLATE(A1200, ""en"", ""te"")"),"ప్రోటినెక్స్")</f>
        <v>ప్రోటినెక్స్</v>
      </c>
      <c r="C1200" s="4" t="str">
        <f>IFERROR(__xludf.DUMMYFUNCTION("GOOGLETRANSLATE(A1200, ""en"", ""hi"")"),"प्रोटीनेक्स")</f>
        <v>प्रोटीनेक्स</v>
      </c>
      <c r="D1200" s="5"/>
      <c r="E1200" s="2" t="s">
        <v>1038</v>
      </c>
      <c r="F1200" s="1">
        <v>3.0</v>
      </c>
      <c r="G1200" s="3" t="s">
        <v>240</v>
      </c>
    </row>
    <row r="1201">
      <c r="A1201" s="3" t="s">
        <v>7107</v>
      </c>
      <c r="B1201" s="4" t="str">
        <f>IFERROR(__xludf.DUMMYFUNCTION("GOOGLETRANSLATE(A1201, ""en"", ""te"")"),"మఖానా వాలా యొక్క హిమాలయన్ పింక్ సాల్ట్ మఖానా")</f>
        <v>మఖానా వాలా యొక్క హిమాలయన్ పింక్ సాల్ట్ మఖానా</v>
      </c>
      <c r="C1201" s="4" t="str">
        <f>IFERROR(__xludf.DUMMYFUNCTION("GOOGLETRANSLATE(A1201, ""en"", ""hi"")"),"मखाना वाला का हिमालयन गुलाबी नमक मखाना")</f>
        <v>मखाना वाला का हिमालयन गुलाबी नमक मखाना</v>
      </c>
      <c r="D1201" s="5"/>
      <c r="E1201" s="2" t="s">
        <v>2700</v>
      </c>
      <c r="F1201" s="1">
        <v>3.0</v>
      </c>
      <c r="G1201" s="3" t="s">
        <v>20</v>
      </c>
    </row>
    <row r="1202">
      <c r="A1202" s="3" t="s">
        <v>7108</v>
      </c>
      <c r="B1202" s="4" t="str">
        <f>IFERROR(__xludf.DUMMYFUNCTION("GOOGLETRANSLATE(A1202, ""en"", ""te"")"),"జిఆర్‌బి క్రిస్ప్ నెయ్యి మైసూర్ పాక్")</f>
        <v>జిఆర్‌బి క్రిస్ప్ నెయ్యి మైసూర్ పాక్</v>
      </c>
      <c r="C1202" s="4" t="str">
        <f>IFERROR(__xludf.DUMMYFUNCTION("GOOGLETRANSLATE(A1202, ""en"", ""hi"")"),"जीआरबी क्रिस्प घी मैसूर पाक")</f>
        <v>जीआरबी क्रिस्प घी मैसूर पाक</v>
      </c>
      <c r="D1202" s="2" t="s">
        <v>3437</v>
      </c>
      <c r="E1202" s="2" t="s">
        <v>3438</v>
      </c>
      <c r="F1202" s="1">
        <v>3.0</v>
      </c>
      <c r="G1202" s="3" t="s">
        <v>29</v>
      </c>
    </row>
    <row r="1203">
      <c r="A1203" s="3" t="s">
        <v>7109</v>
      </c>
      <c r="B1203" s="4" t="str">
        <f>IFERROR(__xludf.DUMMYFUNCTION("GOOGLETRANSLATE(A1203, ""en"", ""te"")"),"జి.ఆర్.బి. నెయ్యి డ్రై ఫ్రూట్స్ హల్వా")</f>
        <v>జి.ఆర్.బి. నెయ్యి డ్రై ఫ్రూట్స్ హల్వా</v>
      </c>
      <c r="C1203" s="4" t="str">
        <f>IFERROR(__xludf.DUMMYFUNCTION("GOOGLETRANSLATE(A1203, ""en"", ""hi"")"),"जीआरबी घी ड्राई फ्रूट्स हलवा")</f>
        <v>जीआरबी घी ड्राई फ्रूट्स हलवा</v>
      </c>
      <c r="D1203" s="5"/>
      <c r="E1203" s="2" t="s">
        <v>3438</v>
      </c>
      <c r="F1203" s="1">
        <v>3.0</v>
      </c>
      <c r="G1203" s="3" t="s">
        <v>29</v>
      </c>
    </row>
    <row r="1204">
      <c r="A1204" s="3" t="s">
        <v>7110</v>
      </c>
      <c r="B1204" s="4" t="str">
        <f>IFERROR(__xludf.DUMMYFUNCTION("GOOGLETRANSLATE(A1204, ""en"", ""te"")"),"కరాచీ బేకరీ టూ మెజెస్టిక్ కుకీస్")</f>
        <v>కరాచీ బేకరీ టూ మెజెస్టిక్ కుకీస్</v>
      </c>
      <c r="C1204" s="4" t="str">
        <f>IFERROR(__xludf.DUMMYFUNCTION("GOOGLETRANSLATE(A1204, ""en"", ""hi"")"),"कराची बेकरी टू मैजेस्टिक कुकीज़")</f>
        <v>कराची बेकरी टू मैजेस्टिक कुकीज़</v>
      </c>
      <c r="D1204" s="2" t="s">
        <v>7105</v>
      </c>
      <c r="E1204" s="2" t="s">
        <v>4100</v>
      </c>
      <c r="F1204" s="1">
        <v>3.0</v>
      </c>
      <c r="G1204" s="3" t="s">
        <v>39</v>
      </c>
    </row>
    <row r="1205">
      <c r="A1205" s="3" t="s">
        <v>7111</v>
      </c>
      <c r="B1205" s="4" t="str">
        <f>IFERROR(__xludf.DUMMYFUNCTION("GOOGLETRANSLATE(A1205, ""en"", ""te"")"),"కరాచీ బేకరీ బటర్‌ఫ్లై ఉస్మానియా బిస్కెట్")</f>
        <v>కరాచీ బేకరీ బటర్‌ఫ్లై ఉస్మానియా బిస్కెట్</v>
      </c>
      <c r="C1205" s="4" t="str">
        <f>IFERROR(__xludf.DUMMYFUNCTION("GOOGLETRANSLATE(A1205, ""en"", ""hi"")"),"कराची बेकरी बटरली उस्मानिया बिस्किट")</f>
        <v>कराची बेकरी बटरली उस्मानिया बिस्किट</v>
      </c>
      <c r="D1205" s="2" t="s">
        <v>7083</v>
      </c>
      <c r="E1205" s="2" t="s">
        <v>4100</v>
      </c>
      <c r="F1205" s="1">
        <v>3.0</v>
      </c>
      <c r="G1205" s="3" t="s">
        <v>39</v>
      </c>
    </row>
    <row r="1206">
      <c r="A1206" s="3" t="s">
        <v>7112</v>
      </c>
      <c r="B1206" s="4" t="str">
        <f>IFERROR(__xludf.DUMMYFUNCTION("GOOGLETRANSLATE(A1206, ""en"", ""te"")"),"పార్లే హైడ్ &amp; సీక్ చాక్లెట్ చిప్ కుకీస్")</f>
        <v>పార్లే హైడ్ &amp; సీక్ చాక్లెట్ చిప్ కుకీస్</v>
      </c>
      <c r="C1206" s="4" t="str">
        <f>IFERROR(__xludf.DUMMYFUNCTION("GOOGLETRANSLATE(A1206, ""en"", ""hi"")"),"पार्ले हाइड एंड सीक चॉकलेट चिप कुकीज़")</f>
        <v>पार्ले हाइड एंड सीक चॉकलेट चिप कुकीज़</v>
      </c>
      <c r="D1206" s="2" t="s">
        <v>7105</v>
      </c>
      <c r="E1206" s="2" t="s">
        <v>4100</v>
      </c>
      <c r="F1206" s="1">
        <v>3.0</v>
      </c>
      <c r="G1206" s="3" t="s">
        <v>240</v>
      </c>
    </row>
    <row r="1207">
      <c r="A1207" s="3" t="s">
        <v>7113</v>
      </c>
      <c r="B1207" s="4" t="str">
        <f>IFERROR(__xludf.DUMMYFUNCTION("GOOGLETRANSLATE(A1207, ""en"", ""te"")"),"చింగ్స్ సీక్రెట్ వెజ్ హక్కా నూడుల్స్ బాక్స్")</f>
        <v>చింగ్స్ సీక్రెట్ వెజ్ హక్కా నూడుల్స్ బాక్స్</v>
      </c>
      <c r="C1207" s="4" t="str">
        <f>IFERROR(__xludf.DUMMYFUNCTION("GOOGLETRANSLATE(A1207, ""en"", ""hi"")"),"चिंग का सीक्रेट वेज हक्का नूडल्स बॉक्स")</f>
        <v>चिंग का सीक्रेट वेज हक्का नूडल्स बॉक्स</v>
      </c>
      <c r="D1207" s="2" t="s">
        <v>2291</v>
      </c>
      <c r="E1207" s="2" t="s">
        <v>9</v>
      </c>
      <c r="F1207" s="1">
        <v>3.0</v>
      </c>
      <c r="G1207" s="3" t="s">
        <v>292</v>
      </c>
    </row>
    <row r="1208">
      <c r="A1208" s="3" t="s">
        <v>7114</v>
      </c>
      <c r="B1208" s="4" t="str">
        <f>IFERROR(__xludf.DUMMYFUNCTION("GOOGLETRANSLATE(A1208, ""en"", ""te"")"),"మఖానా వాలా యొక్క హిమాలయన్ పింక్ సాల్ట్ కాల్చిన మఖానా")</f>
        <v>మఖానా వాలా యొక్క హిమాలయన్ పింక్ సాల్ట్ కాల్చిన మఖానా</v>
      </c>
      <c r="C1208" s="4" t="str">
        <f>IFERROR(__xludf.DUMMYFUNCTION("GOOGLETRANSLATE(A1208, ""en"", ""hi"")"),"मखाना वाला का हिमालयन गुलाबी नमक भुना हुआ मखाना")</f>
        <v>मखाना वाला का हिमालयन गुलाबी नमक भुना हुआ मखाना</v>
      </c>
      <c r="D1208" s="5"/>
      <c r="E1208" s="2" t="s">
        <v>2700</v>
      </c>
      <c r="F1208" s="1">
        <v>3.0</v>
      </c>
      <c r="G1208" s="3" t="s">
        <v>292</v>
      </c>
    </row>
    <row r="1209">
      <c r="A1209" s="3" t="s">
        <v>7115</v>
      </c>
      <c r="B1209" s="4" t="str">
        <f>IFERROR(__xludf.DUMMYFUNCTION("GOOGLETRANSLATE(A1209, ""en"", ""te"")"),"జిఆర్‌బి సోన్ కేక్")</f>
        <v>జిఆర్‌బి సోన్ కేక్</v>
      </c>
      <c r="C1209" s="4" t="str">
        <f>IFERROR(__xludf.DUMMYFUNCTION("GOOGLETRANSLATE(A1209, ""en"", ""hi"")"),"जीआरबी सोआन केक")</f>
        <v>जीआरबी सोआन केक</v>
      </c>
      <c r="D1209" s="2" t="s">
        <v>7116</v>
      </c>
      <c r="E1209" s="2" t="s">
        <v>4100</v>
      </c>
      <c r="F1209" s="1">
        <v>3.0</v>
      </c>
      <c r="G1209" s="3" t="s">
        <v>7053</v>
      </c>
    </row>
    <row r="1210">
      <c r="A1210" s="3" t="s">
        <v>7117</v>
      </c>
      <c r="B1210" s="4" t="str">
        <f>IFERROR(__xludf.DUMMYFUNCTION("GOOGLETRANSLATE(A1210, ""en"", ""te"")"),"జిఆర్‌బి క్రిస్పీ ఘీ మైసూర్ పాక్")</f>
        <v>జిఆర్‌బి క్రిస్పీ ఘీ మైసూర్ పాక్</v>
      </c>
      <c r="C1210" s="4" t="str">
        <f>IFERROR(__xludf.DUMMYFUNCTION("GOOGLETRANSLATE(A1210, ""en"", ""hi"")"),"जीआरबी क्रिस्पी घी मैसूर पाक")</f>
        <v>जीआरबी क्रिस्पी घी मैसूर पाक</v>
      </c>
      <c r="D1210" s="5"/>
      <c r="E1210" s="2" t="s">
        <v>3438</v>
      </c>
      <c r="F1210" s="1">
        <v>3.0</v>
      </c>
      <c r="G1210" s="3" t="s">
        <v>7053</v>
      </c>
    </row>
    <row r="1211">
      <c r="A1211" s="3" t="s">
        <v>7072</v>
      </c>
      <c r="B1211" s="4" t="str">
        <f>IFERROR(__xludf.DUMMYFUNCTION("GOOGLETRANSLATE(A1211, ""en"", ""te"")"),"జిఆర్‌బి డ్రై ఫ్రూట్స్ హల్వా")</f>
        <v>జిఆర్‌బి డ్రై ఫ్రూట్స్ హల్వా</v>
      </c>
      <c r="C1211" s="4" t="str">
        <f>IFERROR(__xludf.DUMMYFUNCTION("GOOGLETRANSLATE(A1211, ""en"", ""hi"")"),"जीआरबी ड्राई फ्रूट्स हलवा")</f>
        <v>जीआरबी ड्राई फ्रूट्स हलवा</v>
      </c>
      <c r="D1211" s="5"/>
      <c r="E1211" s="2" t="s">
        <v>3438</v>
      </c>
      <c r="F1211" s="1">
        <v>3.0</v>
      </c>
      <c r="G1211" s="3" t="s">
        <v>7053</v>
      </c>
    </row>
    <row r="1212">
      <c r="A1212" s="3" t="s">
        <v>7096</v>
      </c>
      <c r="B1212" s="4" t="str">
        <f>IFERROR(__xludf.DUMMYFUNCTION("GOOGLETRANSLATE(A1212, ""en"", ""te"")"),"జిఆర్‌బి నెయ్యి పైనాపిల్ హల్వా")</f>
        <v>జిఆర్‌బి నెయ్యి పైనాపిల్ హల్వా</v>
      </c>
      <c r="C1212" s="4" t="str">
        <f>IFERROR(__xludf.DUMMYFUNCTION("GOOGLETRANSLATE(A1212, ""en"", ""hi"")"),"जीआरबी घी अनानास हलवा")</f>
        <v>जीआरबी घी अनानास हलवा</v>
      </c>
      <c r="D1212" s="5"/>
      <c r="E1212" s="2" t="s">
        <v>3438</v>
      </c>
      <c r="F1212" s="1">
        <v>3.0</v>
      </c>
      <c r="G1212" s="3" t="s">
        <v>7053</v>
      </c>
    </row>
    <row r="1213">
      <c r="A1213" s="3" t="s">
        <v>7118</v>
      </c>
      <c r="B1213" s="4" t="str">
        <f>IFERROR(__xludf.DUMMYFUNCTION("GOOGLETRANSLATE(A1213, ""en"", ""te"")"),"కరాచీ బేకరీ జీరా బిస్కెట్లు")</f>
        <v>కరాచీ బేకరీ జీరా బిస్కెట్లు</v>
      </c>
      <c r="C1213" s="4" t="str">
        <f>IFERROR(__xludf.DUMMYFUNCTION("GOOGLETRANSLATE(A1213, ""en"", ""hi"")"),"कराची बेकरी जीरा बिस्कुट")</f>
        <v>कराची बेकरी जीरा बिस्कुट</v>
      </c>
      <c r="D1213" s="2" t="s">
        <v>7119</v>
      </c>
      <c r="E1213" s="2" t="s">
        <v>4100</v>
      </c>
      <c r="F1213" s="1">
        <v>3.0</v>
      </c>
      <c r="G1213" s="3" t="s">
        <v>4469</v>
      </c>
    </row>
    <row r="1214">
      <c r="A1214" s="3" t="s">
        <v>7120</v>
      </c>
      <c r="B1214" s="4" t="str">
        <f>IFERROR(__xludf.DUMMYFUNCTION("GOOGLETRANSLATE(A1214, ""en"", ""te"")"),"కరాచీ బేకరీ టూ మెజెస్టిక్ బిస్కెట్స్")</f>
        <v>కరాచీ బేకరీ టూ మెజెస్టిక్ బిస్కెట్స్</v>
      </c>
      <c r="C1214" s="4" t="str">
        <f>IFERROR(__xludf.DUMMYFUNCTION("GOOGLETRANSLATE(A1214, ""en"", ""hi"")"),"कराची बेकरी के दो शानदार बिस्कुट")</f>
        <v>कराची बेकरी के दो शानदार बिस्कुट</v>
      </c>
      <c r="D1214" s="2" t="s">
        <v>7121</v>
      </c>
      <c r="E1214" s="2" t="s">
        <v>4100</v>
      </c>
      <c r="F1214" s="1">
        <v>3.0</v>
      </c>
      <c r="G1214" s="3" t="s">
        <v>4469</v>
      </c>
    </row>
    <row r="1215">
      <c r="A1215" s="3" t="s">
        <v>7078</v>
      </c>
      <c r="B1215" s="4" t="str">
        <f>IFERROR(__xludf.DUMMYFUNCTION("GOOGLETRANSLATE(A1215, ""en"", ""te"")"),"కరాచీ బేకరీ చక్కెర రహిత జీడిపప్పు బిస్కెట్")</f>
        <v>కరాచీ బేకరీ చక్కెర రహిత జీడిపప్పు బిస్కెట్</v>
      </c>
      <c r="C1215" s="4" t="str">
        <f>IFERROR(__xludf.DUMMYFUNCTION("GOOGLETRANSLATE(A1215, ""en"", ""hi"")"),"कराची बेकरी शुगर फ्री काजू बिस्किट")</f>
        <v>कराची बेकरी शुगर फ्री काजू बिस्किट</v>
      </c>
      <c r="D1215" s="2" t="s">
        <v>7079</v>
      </c>
      <c r="E1215" s="2" t="s">
        <v>4100</v>
      </c>
      <c r="F1215" s="1">
        <v>3.0</v>
      </c>
      <c r="G1215" s="3" t="s">
        <v>4469</v>
      </c>
    </row>
    <row r="1216">
      <c r="A1216" s="3" t="s">
        <v>7122</v>
      </c>
      <c r="B1216" s="4" t="str">
        <f>IFERROR(__xludf.DUMMYFUNCTION("GOOGLETRANSLATE(A1216, ""en"", ""te"")"),"కరాచీ బేకరీ ఫ్రూట్ రస్క్")</f>
        <v>కరాచీ బేకరీ ఫ్రూట్ రస్క్</v>
      </c>
      <c r="C1216" s="4" t="str">
        <f>IFERROR(__xludf.DUMMYFUNCTION("GOOGLETRANSLATE(A1216, ""en"", ""hi"")"),"कराची बेकरी फ्रूट रस्क")</f>
        <v>कराची बेकरी फ्रूट रस्क</v>
      </c>
      <c r="D1216" s="2" t="s">
        <v>7123</v>
      </c>
      <c r="E1216" s="2" t="s">
        <v>4100</v>
      </c>
      <c r="F1216" s="1">
        <v>3.0</v>
      </c>
      <c r="G1216" s="3" t="s">
        <v>4469</v>
      </c>
    </row>
    <row r="1217">
      <c r="A1217" s="3" t="s">
        <v>7124</v>
      </c>
      <c r="B1217" s="4" t="str">
        <f>IFERROR(__xludf.DUMMYFUNCTION("GOOGLETRANSLATE(A1217, ""en"", ""te"")"),"కరాచీ బేకరీ సాల్టెడ్ జీరా బిస్కెట్లు")</f>
        <v>కరాచీ బేకరీ సాల్టెడ్ జీరా బిస్కెట్లు</v>
      </c>
      <c r="C1217" s="4" t="str">
        <f>IFERROR(__xludf.DUMMYFUNCTION("GOOGLETRANSLATE(A1217, ""en"", ""hi"")"),"कराची बेकरी के नमकीन जीरा बिस्कुट")</f>
        <v>कराची बेकरी के नमकीन जीरा बिस्कुट</v>
      </c>
      <c r="D1217" s="2" t="s">
        <v>7125</v>
      </c>
      <c r="E1217" s="2" t="s">
        <v>4100</v>
      </c>
      <c r="F1217" s="1">
        <v>3.0</v>
      </c>
      <c r="G1217" s="3" t="s">
        <v>4480</v>
      </c>
    </row>
    <row r="1218">
      <c r="A1218" s="3" t="s">
        <v>7126</v>
      </c>
      <c r="B1218" s="4" t="str">
        <f>IFERROR(__xludf.DUMMYFUNCTION("GOOGLETRANSLATE(A1218, ""en"", ""te"")"),"కరాచీ బేకరీ ఎలైచి బిస్కెట్లు")</f>
        <v>కరాచీ బేకరీ ఎలైచి బిస్కెట్లు</v>
      </c>
      <c r="C1218" s="4" t="str">
        <f>IFERROR(__xludf.DUMMYFUNCTION("GOOGLETRANSLATE(A1218, ""en"", ""hi"")"),"कराची बेकरी इलाइची बिस्कुट")</f>
        <v>कराची बेकरी इलाइची बिस्कुट</v>
      </c>
      <c r="D1218" s="2" t="s">
        <v>7127</v>
      </c>
      <c r="E1218" s="2" t="s">
        <v>4100</v>
      </c>
      <c r="F1218" s="1">
        <v>3.0</v>
      </c>
      <c r="G1218" s="3" t="s">
        <v>4480</v>
      </c>
    </row>
    <row r="1219">
      <c r="A1219" s="3" t="s">
        <v>7128</v>
      </c>
      <c r="B1219" s="4" t="str">
        <f>IFERROR(__xludf.DUMMYFUNCTION("GOOGLETRANSLATE(A1219, ""en"", ""te"")"),"కరాచీ బేకరీ ఫ్రూట్ బిస్కెట్లు")</f>
        <v>కరాచీ బేకరీ ఫ్రూట్ బిస్కెట్లు</v>
      </c>
      <c r="C1219" s="4" t="str">
        <f>IFERROR(__xludf.DUMMYFUNCTION("GOOGLETRANSLATE(A1219, ""en"", ""hi"")"),"कराची बेकरी फ्रूट बिस्कुट")</f>
        <v>कराची बेकरी फ्रूट बिस्कुट</v>
      </c>
      <c r="D1219" s="2" t="s">
        <v>7083</v>
      </c>
      <c r="E1219" s="2" t="s">
        <v>4100</v>
      </c>
      <c r="F1219" s="1">
        <v>3.0</v>
      </c>
      <c r="G1219" s="3" t="s">
        <v>4480</v>
      </c>
    </row>
    <row r="1220">
      <c r="A1220" s="3" t="s">
        <v>7129</v>
      </c>
      <c r="B1220" s="4" t="str">
        <f>IFERROR(__xludf.DUMMYFUNCTION("GOOGLETRANSLATE(A1220, ""en"", ""te"")"),"కరాచీ బేకరీ ప్రీమియం కేక్ రస్క్")</f>
        <v>కరాచీ బేకరీ ప్రీమియం కేక్ రస్క్</v>
      </c>
      <c r="C1220" s="4" t="str">
        <f>IFERROR(__xludf.DUMMYFUNCTION("GOOGLETRANSLATE(A1220, ""en"", ""hi"")"),"कराची बेकरी प्रीमियम केक रस्क")</f>
        <v>कराची बेकरी प्रीमियम केक रस्क</v>
      </c>
      <c r="D1220" s="2" t="s">
        <v>7092</v>
      </c>
      <c r="E1220" s="2" t="s">
        <v>4100</v>
      </c>
      <c r="F1220" s="1">
        <v>3.0</v>
      </c>
      <c r="G1220" s="3" t="s">
        <v>4480</v>
      </c>
    </row>
    <row r="1221">
      <c r="A1221" s="3" t="s">
        <v>7130</v>
      </c>
      <c r="B1221" s="4" t="str">
        <f>IFERROR(__xludf.DUMMYFUNCTION("GOOGLETRANSLATE(A1221, ""en"", ""te"")"),"పార్లే పార్లే-జి గోల్డ్ కుకీస్")</f>
        <v>పార్లే పార్లే-జి గోల్డ్ కుకీస్</v>
      </c>
      <c r="C1221" s="4" t="str">
        <f>IFERROR(__xludf.DUMMYFUNCTION("GOOGLETRANSLATE(A1221, ""en"", ""hi"")"),"पार्ले पार्ले-जी गोल्ड कुकीज़")</f>
        <v>पार्ले पार्ले-जी गोल्ड कुकीज़</v>
      </c>
      <c r="D1221" s="2" t="s">
        <v>7105</v>
      </c>
      <c r="E1221" s="2" t="s">
        <v>4100</v>
      </c>
      <c r="F1221" s="1">
        <v>3.0</v>
      </c>
      <c r="G1221" s="3" t="s">
        <v>4692</v>
      </c>
    </row>
    <row r="1222">
      <c r="A1222" s="3" t="s">
        <v>7112</v>
      </c>
      <c r="B1222" s="4" t="str">
        <f>IFERROR(__xludf.DUMMYFUNCTION("GOOGLETRANSLATE(A1222, ""en"", ""te"")"),"పార్లే హైడ్ &amp; సీక్ చాక్లెట్ చిప్ కుకీస్")</f>
        <v>పార్లే హైడ్ &amp; సీక్ చాక్లెట్ చిప్ కుకీస్</v>
      </c>
      <c r="C1222" s="4" t="str">
        <f>IFERROR(__xludf.DUMMYFUNCTION("GOOGLETRANSLATE(A1222, ""en"", ""hi"")"),"पार्ले हाइड एंड सीक चॉकलेट चिप कुकीज़")</f>
        <v>पार्ले हाइड एंड सीक चॉकलेट चिप कुकीज़</v>
      </c>
      <c r="D1222" s="2" t="s">
        <v>7105</v>
      </c>
      <c r="E1222" s="2" t="s">
        <v>4100</v>
      </c>
      <c r="F1222" s="1">
        <v>3.0</v>
      </c>
      <c r="G1222" s="3" t="s">
        <v>4692</v>
      </c>
    </row>
    <row r="1223">
      <c r="A1223" s="3" t="s">
        <v>7131</v>
      </c>
      <c r="B1223" s="4" t="str">
        <f>IFERROR(__xludf.DUMMYFUNCTION("GOOGLETRANSLATE(A1223, ""en"", ""te"")"),"పార్లే పార్లే-జి రాయల్ కుకీస్")</f>
        <v>పార్లే పార్లే-జి రాయల్ కుకీస్</v>
      </c>
      <c r="C1223" s="4" t="str">
        <f>IFERROR(__xludf.DUMMYFUNCTION("GOOGLETRANSLATE(A1223, ""en"", ""hi"")"),"पार्ले पार्ले-जी रॉयल कुकीज़")</f>
        <v>पार्ले पार्ले-जी रॉयल कुकीज़</v>
      </c>
      <c r="D1223" s="2" t="s">
        <v>7105</v>
      </c>
      <c r="E1223" s="2" t="s">
        <v>4100</v>
      </c>
      <c r="F1223" s="1">
        <v>3.0</v>
      </c>
      <c r="G1223" s="3" t="s">
        <v>4692</v>
      </c>
    </row>
    <row r="1224">
      <c r="A1224" s="3" t="s">
        <v>7132</v>
      </c>
      <c r="B1224" s="4" t="str">
        <f>IFERROR(__xludf.DUMMYFUNCTION("GOOGLETRANSLATE(A1224, ""en"", ""te"")"),"పార్లే హైడ్ &amp; సీక్ బ్లాక్ బోర్బన్ కుకీస్")</f>
        <v>పార్లే హైడ్ &amp; సీక్ బ్లాక్ బోర్బన్ కుకీస్</v>
      </c>
      <c r="C1224" s="4" t="str">
        <f>IFERROR(__xludf.DUMMYFUNCTION("GOOGLETRANSLATE(A1224, ""en"", ""hi"")"),"पार्ले हाइड एंड सीक ब्लैक बोर्बन कुकीज़")</f>
        <v>पार्ले हाइड एंड सीक ब्लैक बोर्बन कुकीज़</v>
      </c>
      <c r="D1224" s="2" t="s">
        <v>7088</v>
      </c>
      <c r="E1224" s="2" t="s">
        <v>4100</v>
      </c>
      <c r="F1224" s="1">
        <v>3.0</v>
      </c>
      <c r="G1224" s="3" t="s">
        <v>4692</v>
      </c>
    </row>
    <row r="1225">
      <c r="A1225" s="3" t="s">
        <v>7133</v>
      </c>
      <c r="B1225" s="4" t="str">
        <f>IFERROR(__xludf.DUMMYFUNCTION("GOOGLETRANSLATE(A1225, ""en"", ""te"")"),"పార్లే హైడ్ &amp; సీక్ క్లాసిక్ బోర్బన్ కుకీస్")</f>
        <v>పార్లే హైడ్ &amp; సీక్ క్లాసిక్ బోర్బన్ కుకీస్</v>
      </c>
      <c r="C1225" s="4" t="str">
        <f>IFERROR(__xludf.DUMMYFUNCTION("GOOGLETRANSLATE(A1225, ""en"", ""hi"")"),"पार्ले हाइड एंड सीक क्लासिक बोर्बन कुकीज़")</f>
        <v>पार्ले हाइड एंड सीक क्लासिक बोर्बन कुकीज़</v>
      </c>
      <c r="D1225" s="2" t="s">
        <v>7088</v>
      </c>
      <c r="E1225" s="2" t="s">
        <v>4100</v>
      </c>
      <c r="F1225" s="1">
        <v>3.0</v>
      </c>
      <c r="G1225" s="3" t="s">
        <v>4692</v>
      </c>
    </row>
    <row r="1226">
      <c r="A1226" s="3" t="s">
        <v>2287</v>
      </c>
      <c r="B1226" s="4" t="str">
        <f>IFERROR(__xludf.DUMMYFUNCTION("GOOGLETRANSLATE(A1226, ""en"", ""te"")"),"చింగ్స్ సీక్రెట్ వెజ్ హక్కా నూడుల్స్")</f>
        <v>చింగ్స్ సీక్రెట్ వెజ్ హక్కా నూడుల్స్</v>
      </c>
      <c r="C1226" s="4" t="str">
        <f>IFERROR(__xludf.DUMMYFUNCTION("GOOGLETRANSLATE(A1226, ""en"", ""hi"")"),"चिंग के सीक्रेट वेज हक्का नूडल्स")</f>
        <v>चिंग के सीक्रेट वेज हक्का नूडल्स</v>
      </c>
      <c r="D1226" s="2" t="s">
        <v>2291</v>
      </c>
      <c r="E1226" s="2" t="s">
        <v>9</v>
      </c>
      <c r="F1226" s="1">
        <v>3.0</v>
      </c>
      <c r="G1226" s="3" t="s">
        <v>292</v>
      </c>
    </row>
    <row r="1227">
      <c r="A1227" s="3" t="s">
        <v>7134</v>
      </c>
      <c r="B1227" s="4" t="str">
        <f>IFERROR(__xludf.DUMMYFUNCTION("GOOGLETRANSLATE(A1227, ""en"", ""te"")"),"రోస్ట్ మఖానా")</f>
        <v>రోస్ట్ మఖానా</v>
      </c>
      <c r="C1227" s="4" t="str">
        <f>IFERROR(__xludf.DUMMYFUNCTION("GOOGLETRANSLATE(A1227, ""en"", ""hi"")"),"भुने हुए मखाने")</f>
        <v>भुने हुए मखाने</v>
      </c>
      <c r="D1227" s="5"/>
      <c r="E1227" s="2" t="s">
        <v>2700</v>
      </c>
      <c r="F1227" s="1">
        <v>3.0</v>
      </c>
      <c r="G1227" s="3" t="s">
        <v>292</v>
      </c>
    </row>
    <row r="1228">
      <c r="A1228" s="3" t="s">
        <v>7135</v>
      </c>
      <c r="B1228" s="4" t="str">
        <f>IFERROR(__xludf.DUMMYFUNCTION("GOOGLETRANSLATE(A1228, ""en"", ""te"")"),"బికాజీ బేసన్ లడ్డూ")</f>
        <v>బికాజీ బేసన్ లడ్డూ</v>
      </c>
      <c r="C1228" s="4" t="str">
        <f>IFERROR(__xludf.DUMMYFUNCTION("GOOGLETRANSLATE(A1228, ""en"", ""hi"")"),"बिकाजी बेसन लड्डू")</f>
        <v>बिकाजी बेसन लड्डू</v>
      </c>
      <c r="D1228" s="2" t="s">
        <v>7136</v>
      </c>
      <c r="E1228" s="2" t="s">
        <v>3438</v>
      </c>
      <c r="F1228" s="1">
        <v>3.0</v>
      </c>
      <c r="G1228" s="3" t="s">
        <v>7053</v>
      </c>
    </row>
    <row r="1229">
      <c r="A1229" s="3" t="s">
        <v>7137</v>
      </c>
      <c r="B1229" s="4" t="str">
        <f>IFERROR(__xludf.DUMMYFUNCTION("GOOGLETRANSLATE(A1229, ""en"", ""te"")"),"బికానో ఆరెంజ్ సోన్ పాప్డి")</f>
        <v>బికానో ఆరెంజ్ సోన్ పాప్డి</v>
      </c>
      <c r="C1229" s="4" t="str">
        <f>IFERROR(__xludf.DUMMYFUNCTION("GOOGLETRANSLATE(A1229, ""en"", ""hi"")"),"बिकानो ऑरेंज सोआन पापड़ी")</f>
        <v>बिकानो ऑरेंज सोआन पापड़ी</v>
      </c>
      <c r="D1229" s="5"/>
      <c r="E1229" s="2" t="s">
        <v>3438</v>
      </c>
      <c r="F1229" s="1">
        <v>3.0</v>
      </c>
      <c r="G1229" s="3" t="s">
        <v>7053</v>
      </c>
    </row>
    <row r="1230">
      <c r="A1230" s="3" t="s">
        <v>7138</v>
      </c>
      <c r="B1230" s="4" t="str">
        <f>IFERROR(__xludf.DUMMYFUNCTION("GOOGLETRANSLATE(A1230, ""en"", ""te"")"),"జిఆర్‌బి ఆరెంజ్ సోన్ పాప్డి")</f>
        <v>జిఆర్‌బి ఆరెంజ్ సోన్ పాప్డి</v>
      </c>
      <c r="C1230" s="4" t="str">
        <f>IFERROR(__xludf.DUMMYFUNCTION("GOOGLETRANSLATE(A1230, ""en"", ""hi"")"),"जीआरबी ऑरेंज सोहन पापड़ी")</f>
        <v>जीआरबी ऑरेंज सोहन पापड़ी</v>
      </c>
      <c r="D1230" s="5"/>
      <c r="E1230" s="2" t="s">
        <v>3438</v>
      </c>
      <c r="F1230" s="1">
        <v>3.0</v>
      </c>
      <c r="G1230" s="3" t="s">
        <v>7053</v>
      </c>
    </row>
    <row r="1231">
      <c r="A1231" s="3" t="s">
        <v>7128</v>
      </c>
      <c r="B1231" s="4" t="str">
        <f>IFERROR(__xludf.DUMMYFUNCTION("GOOGLETRANSLATE(A1231, ""en"", ""te"")"),"కరాచీ బేకరీ ఫ్రూట్ బిస్కెట్లు")</f>
        <v>కరాచీ బేకరీ ఫ్రూట్ బిస్కెట్లు</v>
      </c>
      <c r="C1231" s="4" t="str">
        <f>IFERROR(__xludf.DUMMYFUNCTION("GOOGLETRANSLATE(A1231, ""en"", ""hi"")"),"कराची बेकरी फ्रूट बिस्कुट")</f>
        <v>कराची बेकरी फ्रूट बिस्कुट</v>
      </c>
      <c r="D1231" s="2" t="s">
        <v>7083</v>
      </c>
      <c r="E1231" s="2" t="s">
        <v>4100</v>
      </c>
      <c r="F1231" s="1">
        <v>3.0</v>
      </c>
      <c r="G1231" s="3" t="s">
        <v>4469</v>
      </c>
    </row>
    <row r="1232">
      <c r="A1232" s="3" t="s">
        <v>7139</v>
      </c>
      <c r="B1232" s="4" t="str">
        <f>IFERROR(__xludf.DUMMYFUNCTION("GOOGLETRANSLATE(A1232, ""en"", ""te"")"),"కరాచీ బేకరీ పిస్తా బిస్కెట్లు")</f>
        <v>కరాచీ బేకరీ పిస్తా బిస్కెట్లు</v>
      </c>
      <c r="C1232" s="4" t="str">
        <f>IFERROR(__xludf.DUMMYFUNCTION("GOOGLETRANSLATE(A1232, ""en"", ""hi"")"),"कराची बेकरी पिस्ता बिस्कुट")</f>
        <v>कराची बेकरी पिस्ता बिस्कुट</v>
      </c>
      <c r="D1232" s="2" t="s">
        <v>7140</v>
      </c>
      <c r="E1232" s="2" t="s">
        <v>4100</v>
      </c>
      <c r="F1232" s="1">
        <v>3.0</v>
      </c>
      <c r="G1232" s="3" t="s">
        <v>4469</v>
      </c>
    </row>
    <row r="1233">
      <c r="A1233" s="3" t="s">
        <v>7141</v>
      </c>
      <c r="B1233" s="4" t="str">
        <f>IFERROR(__xludf.DUMMYFUNCTION("GOOGLETRANSLATE(A1233, ""en"", ""te"")"),"కరాచీ బేకరీ కుకీలు")</f>
        <v>కరాచీ బేకరీ కుకీలు</v>
      </c>
      <c r="C1233" s="4" t="str">
        <f>IFERROR(__xludf.DUMMYFUNCTION("GOOGLETRANSLATE(A1233, ""en"", ""hi"")"),"कराची बेकरी कुकीज़")</f>
        <v>कराची बेकरी कुकीज़</v>
      </c>
      <c r="D1233" s="2" t="s">
        <v>7105</v>
      </c>
      <c r="E1233" s="2" t="s">
        <v>4100</v>
      </c>
      <c r="F1233" s="1">
        <v>3.0</v>
      </c>
      <c r="G1233" s="3" t="s">
        <v>4469</v>
      </c>
    </row>
    <row r="1234">
      <c r="A1234" s="3" t="s">
        <v>7049</v>
      </c>
      <c r="B1234" s="4" t="str">
        <f>IFERROR(__xludf.DUMMYFUNCTION("GOOGLETRANSLATE(A1234, ""en"", ""te"")"),"ఖారీ బిస్కెట్లు")</f>
        <v>ఖారీ బిస్కెట్లు</v>
      </c>
      <c r="C1234" s="4" t="str">
        <f>IFERROR(__xludf.DUMMYFUNCTION("GOOGLETRANSLATE(A1234, ""en"", ""hi"")"),"खारी बिस्कुट")</f>
        <v>खारी बिस्कुट</v>
      </c>
      <c r="D1234" s="2" t="s">
        <v>7050</v>
      </c>
      <c r="E1234" s="2" t="s">
        <v>4100</v>
      </c>
      <c r="F1234" s="1">
        <v>3.0</v>
      </c>
      <c r="G1234" s="3" t="s">
        <v>4480</v>
      </c>
    </row>
    <row r="1235">
      <c r="A1235" s="3" t="s">
        <v>7142</v>
      </c>
      <c r="B1235" s="4" t="str">
        <f>IFERROR(__xludf.DUMMYFUNCTION("GOOGLETRANSLATE(A1235, ""en"", ""te"")"),"పార్లే-జి ఒరిజినల్ గ్లూకో బిస్కెట్లు")</f>
        <v>పార్లే-జి ఒరిజినల్ గ్లూకో బిస్కెట్లు</v>
      </c>
      <c r="C1235" s="4" t="str">
        <f>IFERROR(__xludf.DUMMYFUNCTION("GOOGLETRANSLATE(A1235, ""en"", ""hi"")"),"पार्ले-जी ओरिजिनल ग्लूको बिस्कुट")</f>
        <v>पार्ले-जी ओरिजिनल ग्लूको बिस्कुट</v>
      </c>
      <c r="D1235" s="2" t="s">
        <v>7083</v>
      </c>
      <c r="E1235" s="2" t="s">
        <v>4100</v>
      </c>
      <c r="F1235" s="1">
        <v>3.0</v>
      </c>
      <c r="G1235" s="3" t="s">
        <v>4692</v>
      </c>
    </row>
    <row r="1236">
      <c r="A1236" s="3" t="s">
        <v>7143</v>
      </c>
      <c r="B1236" s="4" t="str">
        <f>IFERROR(__xludf.DUMMYFUNCTION("GOOGLETRANSLATE(A1236, ""en"", ""te"")"),"పార్లే-జి గోల్డ్ కుకీస్")</f>
        <v>పార్లే-జి గోల్డ్ కుకీస్</v>
      </c>
      <c r="C1236" s="4" t="str">
        <f>IFERROR(__xludf.DUMMYFUNCTION("GOOGLETRANSLATE(A1236, ""en"", ""hi"")"),"पार्ले-जी गोल्ड कुकीज़")</f>
        <v>पार्ले-जी गोल्ड कुकीज़</v>
      </c>
      <c r="D1236" s="2" t="s">
        <v>7105</v>
      </c>
      <c r="E1236" s="2" t="s">
        <v>4100</v>
      </c>
      <c r="F1236" s="1">
        <v>3.0</v>
      </c>
      <c r="G1236" s="3" t="s">
        <v>4692</v>
      </c>
    </row>
    <row r="1237">
      <c r="A1237" s="3" t="s">
        <v>7058</v>
      </c>
      <c r="B1237" s="4" t="str">
        <f>IFERROR(__xludf.DUMMYFUNCTION("GOOGLETRANSLATE(A1237, ""en"", ""te"")"),"పార్లే-జి బిస్కెట్లు")</f>
        <v>పార్లే-జి బిస్కెట్లు</v>
      </c>
      <c r="C1237" s="4" t="str">
        <f>IFERROR(__xludf.DUMMYFUNCTION("GOOGLETRANSLATE(A1237, ""en"", ""hi"")"),"पार्ले-जी बिस्कुट")</f>
        <v>पार्ले-जी बिस्कुट</v>
      </c>
      <c r="D1237" s="2" t="s">
        <v>7057</v>
      </c>
      <c r="E1237" s="2" t="s">
        <v>4100</v>
      </c>
      <c r="F1237" s="1">
        <v>3.0</v>
      </c>
      <c r="G1237" s="3" t="s">
        <v>4924</v>
      </c>
    </row>
    <row r="1238">
      <c r="A1238" s="3" t="s">
        <v>7144</v>
      </c>
      <c r="B1238" s="4" t="str">
        <f>IFERROR(__xludf.DUMMYFUNCTION("GOOGLETRANSLATE(A1238, ""en"", ""te"")"),"బికాజీ అట్టా లడ్డూ")</f>
        <v>బికాజీ అట్టా లడ్డూ</v>
      </c>
      <c r="C1238" s="4" t="str">
        <f>IFERROR(__xludf.DUMMYFUNCTION("GOOGLETRANSLATE(A1238, ""en"", ""hi"")"),"बिकाजी आटा लड्डू")</f>
        <v>बिकाजी आटा लड्डू</v>
      </c>
      <c r="D1238" s="2" t="s">
        <v>7100</v>
      </c>
      <c r="E1238" s="2" t="s">
        <v>3438</v>
      </c>
      <c r="F1238" s="1">
        <v>3.0</v>
      </c>
      <c r="G1238" s="3" t="s">
        <v>292</v>
      </c>
    </row>
    <row r="1239">
      <c r="A1239" s="3" t="s">
        <v>7145</v>
      </c>
      <c r="B1239" s="4" t="str">
        <f>IFERROR(__xludf.DUMMYFUNCTION("GOOGLETRANSLATE(A1239, ""en"", ""te"")"),"బికాజీ బేసన్ బర్ఫీ")</f>
        <v>బికాజీ బేసన్ బర్ఫీ</v>
      </c>
      <c r="C1239" s="4" t="str">
        <f>IFERROR(__xludf.DUMMYFUNCTION("GOOGLETRANSLATE(A1239, ""en"", ""hi"")"),"बिकाजी बेसन बर्फी")</f>
        <v>बिकाजी बेसन बर्फी</v>
      </c>
      <c r="D1239" s="2" t="s">
        <v>7052</v>
      </c>
      <c r="E1239" s="2" t="s">
        <v>3438</v>
      </c>
      <c r="F1239" s="1">
        <v>3.0</v>
      </c>
      <c r="G1239" s="3" t="s">
        <v>292</v>
      </c>
    </row>
    <row r="1240">
      <c r="A1240" s="3" t="s">
        <v>7135</v>
      </c>
      <c r="B1240" s="4" t="str">
        <f>IFERROR(__xludf.DUMMYFUNCTION("GOOGLETRANSLATE(A1240, ""en"", ""te"")"),"బికాజీ బేసన్ లడ్డూ")</f>
        <v>బికాజీ బేసన్ లడ్డూ</v>
      </c>
      <c r="C1240" s="4" t="str">
        <f>IFERROR(__xludf.DUMMYFUNCTION("GOOGLETRANSLATE(A1240, ""en"", ""hi"")"),"बिकाजी बेसन लड्डू")</f>
        <v>बिकाजी बेसन लड्डू</v>
      </c>
      <c r="D1240" s="2" t="s">
        <v>7136</v>
      </c>
      <c r="E1240" s="2" t="s">
        <v>3438</v>
      </c>
      <c r="F1240" s="1">
        <v>3.0</v>
      </c>
      <c r="G1240" s="3" t="s">
        <v>292</v>
      </c>
    </row>
    <row r="1241">
      <c r="A1241" s="3" t="s">
        <v>7138</v>
      </c>
      <c r="B1241" s="4" t="str">
        <f>IFERROR(__xludf.DUMMYFUNCTION("GOOGLETRANSLATE(A1241, ""en"", ""te"")"),"జిఆర్‌బి ఆరెంజ్ సోన్ పాప్డి")</f>
        <v>జిఆర్‌బి ఆరెంజ్ సోన్ పాప్డి</v>
      </c>
      <c r="C1241" s="4" t="str">
        <f>IFERROR(__xludf.DUMMYFUNCTION("GOOGLETRANSLATE(A1241, ""en"", ""hi"")"),"जीआरबी ऑरेंज सोहन पापड़ी")</f>
        <v>जीआरबी ऑरेंज सोहन पापड़ी</v>
      </c>
      <c r="D1241" s="5"/>
      <c r="E1241" s="2" t="s">
        <v>3438</v>
      </c>
      <c r="F1241" s="1">
        <v>3.0</v>
      </c>
      <c r="G1241" s="3" t="s">
        <v>292</v>
      </c>
    </row>
    <row r="1242">
      <c r="A1242" s="3" t="s">
        <v>7146</v>
      </c>
      <c r="B1242" s="4" t="str">
        <f>IFERROR(__xludf.DUMMYFUNCTION("GOOGLETRANSLATE(A1242, ""en"", ""te"")"),"కరాచీ బేకరీ బెల్లం పిండి బిస్కెట్లు")</f>
        <v>కరాచీ బేకరీ బెల్లం పిండి బిస్కెట్లు</v>
      </c>
      <c r="C1242" s="4" t="str">
        <f>IFERROR(__xludf.DUMMYFUNCTION("GOOGLETRANSLATE(A1242, ""en"", ""hi"")"),"कराची बेकरी गुड़ के आटे के बिस्कुट")</f>
        <v>कराची बेकरी गुड़ के आटे के बिस्कुट</v>
      </c>
      <c r="D1242" s="2" t="s">
        <v>7147</v>
      </c>
      <c r="E1242" s="2" t="s">
        <v>4100</v>
      </c>
      <c r="F1242" s="1">
        <v>3.0</v>
      </c>
      <c r="G1242" s="3" t="s">
        <v>7053</v>
      </c>
    </row>
    <row r="1243">
      <c r="A1243" s="3" t="s">
        <v>7148</v>
      </c>
      <c r="B1243" s="4" t="str">
        <f>IFERROR(__xludf.DUMMYFUNCTION("GOOGLETRANSLATE(A1243, ""en"", ""te"")"),"కరాచీ బేకరీ మిల్లెట్ బిస్కెట్లు")</f>
        <v>కరాచీ బేకరీ మిల్లెట్ బిస్కెట్లు</v>
      </c>
      <c r="C1243" s="4" t="str">
        <f>IFERROR(__xludf.DUMMYFUNCTION("GOOGLETRANSLATE(A1243, ""en"", ""hi"")"),"कराची बेकरी बाजरे के बिस्कुट")</f>
        <v>कराची बेकरी बाजरे के बिस्कुट</v>
      </c>
      <c r="D1243" s="5"/>
      <c r="E1243" s="2" t="s">
        <v>4100</v>
      </c>
      <c r="F1243" s="1">
        <v>3.0</v>
      </c>
      <c r="G1243" s="3" t="s">
        <v>7053</v>
      </c>
    </row>
    <row r="1244">
      <c r="A1244" s="3" t="s">
        <v>7128</v>
      </c>
      <c r="B1244" s="4" t="str">
        <f>IFERROR(__xludf.DUMMYFUNCTION("GOOGLETRANSLATE(A1244, ""en"", ""te"")"),"కరాచీ బేకరీ ఫ్రూట్ బిస్కెట్లు")</f>
        <v>కరాచీ బేకరీ ఫ్రూట్ బిస్కెట్లు</v>
      </c>
      <c r="C1244" s="4" t="str">
        <f>IFERROR(__xludf.DUMMYFUNCTION("GOOGLETRANSLATE(A1244, ""en"", ""hi"")"),"कराची बेकरी फ्रूट बिस्कुट")</f>
        <v>कराची बेकरी फ्रूट बिस्कुट</v>
      </c>
      <c r="D1244" s="2" t="s">
        <v>7083</v>
      </c>
      <c r="E1244" s="2" t="s">
        <v>4100</v>
      </c>
      <c r="F1244" s="1">
        <v>3.0</v>
      </c>
      <c r="G1244" s="3" t="s">
        <v>7053</v>
      </c>
    </row>
    <row r="1245">
      <c r="A1245" s="3" t="s">
        <v>7139</v>
      </c>
      <c r="B1245" s="4" t="str">
        <f>IFERROR(__xludf.DUMMYFUNCTION("GOOGLETRANSLATE(A1245, ""en"", ""te"")"),"కరాచీ బేకరీ పిస్తా బిస్కెట్లు")</f>
        <v>కరాచీ బేకరీ పిస్తా బిస్కెట్లు</v>
      </c>
      <c r="C1245" s="4" t="str">
        <f>IFERROR(__xludf.DUMMYFUNCTION("GOOGLETRANSLATE(A1245, ""en"", ""hi"")"),"कराची बेकरी पिस्ता बिस्कुट")</f>
        <v>कराची बेकरी पिस्ता बिस्कुट</v>
      </c>
      <c r="D1245" s="2" t="s">
        <v>7140</v>
      </c>
      <c r="E1245" s="2" t="s">
        <v>4100</v>
      </c>
      <c r="F1245" s="1">
        <v>3.0</v>
      </c>
      <c r="G1245" s="3" t="s">
        <v>7053</v>
      </c>
    </row>
    <row r="1246">
      <c r="A1246" s="3" t="s">
        <v>7118</v>
      </c>
      <c r="B1246" s="4" t="str">
        <f>IFERROR(__xludf.DUMMYFUNCTION("GOOGLETRANSLATE(A1246, ""en"", ""te"")"),"కరాచీ బేకరీ జీరా బిస్కెట్లు")</f>
        <v>కరాచీ బేకరీ జీరా బిస్కెట్లు</v>
      </c>
      <c r="C1246" s="4" t="str">
        <f>IFERROR(__xludf.DUMMYFUNCTION("GOOGLETRANSLATE(A1246, ""en"", ""hi"")"),"कराची बेकरी जीरा बिस्कुट")</f>
        <v>कराची बेकरी जीरा बिस्कुट</v>
      </c>
      <c r="D1246" s="2" t="s">
        <v>7119</v>
      </c>
      <c r="E1246" s="2" t="s">
        <v>4100</v>
      </c>
      <c r="F1246" s="1">
        <v>3.0</v>
      </c>
      <c r="G1246" s="3" t="s">
        <v>7053</v>
      </c>
    </row>
    <row r="1247">
      <c r="A1247" s="3" t="s">
        <v>7149</v>
      </c>
      <c r="B1247" s="4" t="str">
        <f>IFERROR(__xludf.DUMMYFUNCTION("GOOGLETRANSLATE(A1247, ""en"", ""te"")"),"విద్యా క్రీమీ రోల్స్")</f>
        <v>విద్యా క్రీమీ రోల్స్</v>
      </c>
      <c r="C1247" s="4" t="str">
        <f>IFERROR(__xludf.DUMMYFUNCTION("GOOGLETRANSLATE(A1247, ""en"", ""hi"")"),"विद्या क्रीमी रोल्स")</f>
        <v>विद्या क्रीमी रोल्स</v>
      </c>
      <c r="D1247" s="5"/>
      <c r="E1247" s="2" t="s">
        <v>1294</v>
      </c>
      <c r="F1247" s="1">
        <v>3.0</v>
      </c>
      <c r="G1247" s="3" t="s">
        <v>4469</v>
      </c>
    </row>
    <row r="1248">
      <c r="A1248" s="3" t="s">
        <v>7150</v>
      </c>
      <c r="B1248" s="4" t="str">
        <f>IFERROR(__xludf.DUMMYFUNCTION("GOOGLETRANSLATE(A1248, ""en"", ""te"")"),"రజనీ బిస్కెట్లు")</f>
        <v>రజనీ బిస్కెట్లు</v>
      </c>
      <c r="C1248" s="4" t="str">
        <f>IFERROR(__xludf.DUMMYFUNCTION("GOOGLETRANSLATE(A1248, ""en"", ""hi"")"),"रजनी बिस्कुट")</f>
        <v>रजनी बिस्कुट</v>
      </c>
      <c r="D1248" s="5"/>
      <c r="E1248" s="2" t="s">
        <v>4100</v>
      </c>
      <c r="F1248" s="1">
        <v>3.0</v>
      </c>
      <c r="G1248" s="3" t="s">
        <v>4469</v>
      </c>
    </row>
    <row r="1249">
      <c r="A1249" s="3" t="s">
        <v>7151</v>
      </c>
      <c r="B1249" s="4" t="str">
        <f>IFERROR(__xludf.DUMMYFUNCTION("GOOGLETRANSLATE(A1249, ""en"", ""te"")"),"పంజాబీ బిస్కెట్లు")</f>
        <v>పంజాబీ బిస్కెట్లు</v>
      </c>
      <c r="C1249" s="4" t="str">
        <f>IFERROR(__xludf.DUMMYFUNCTION("GOOGLETRANSLATE(A1249, ""en"", ""hi"")"),"पंजाबी बिस्कुट")</f>
        <v>पंजाबी बिस्कुट</v>
      </c>
      <c r="D1249" s="2" t="s">
        <v>7152</v>
      </c>
      <c r="E1249" s="2" t="s">
        <v>4100</v>
      </c>
      <c r="F1249" s="1">
        <v>3.0</v>
      </c>
      <c r="G1249" s="3" t="s">
        <v>4469</v>
      </c>
    </row>
    <row r="1250">
      <c r="A1250" s="3" t="s">
        <v>7153</v>
      </c>
      <c r="B1250" s="4" t="str">
        <f>IFERROR(__xludf.DUMMYFUNCTION("GOOGLETRANSLATE(A1250, ""en"", ""te"")"),"పార్లే మొనాకో బిస్కెట్లు")</f>
        <v>పార్లే మొనాకో బిస్కెట్లు</v>
      </c>
      <c r="C1250" s="4" t="str">
        <f>IFERROR(__xludf.DUMMYFUNCTION("GOOGLETRANSLATE(A1250, ""en"", ""hi"")"),"पार्ले मोनाको बिस्कुट")</f>
        <v>पार्ले मोनाको बिस्कुट</v>
      </c>
      <c r="D1250" s="2" t="s">
        <v>7057</v>
      </c>
      <c r="E1250" s="2" t="s">
        <v>4100</v>
      </c>
      <c r="F1250" s="1">
        <v>3.0</v>
      </c>
      <c r="G1250" s="3" t="s">
        <v>4480</v>
      </c>
    </row>
    <row r="1251">
      <c r="A1251" s="3" t="s">
        <v>7154</v>
      </c>
      <c r="B1251" s="4" t="str">
        <f>IFERROR(__xludf.DUMMYFUNCTION("GOOGLETRANSLATE(A1251, ""en"", ""te"")"),"పార్లే-జి గ్లూకో బిస్కెట్స్ మల్టీప్యాక్")</f>
        <v>పార్లే-జి గ్లూకో బిస్కెట్స్ మల్టీప్యాక్</v>
      </c>
      <c r="C1251" s="4" t="str">
        <f>IFERROR(__xludf.DUMMYFUNCTION("GOOGLETRANSLATE(A1251, ""en"", ""hi"")"),"पार्ले-जी ग्लूको बिस्कुट मल्टीपैक")</f>
        <v>पार्ले-जी ग्लूको बिस्कुट मल्टीपैक</v>
      </c>
      <c r="D1251" s="5"/>
      <c r="E1251" s="2" t="s">
        <v>4100</v>
      </c>
      <c r="F1251" s="1">
        <v>3.0</v>
      </c>
      <c r="G1251" s="3" t="s">
        <v>4480</v>
      </c>
    </row>
    <row r="1252">
      <c r="A1252" s="3" t="s">
        <v>7155</v>
      </c>
      <c r="B1252" s="4" t="str">
        <f>IFERROR(__xludf.DUMMYFUNCTION("GOOGLETRANSLATE(A1252, ""en"", ""te"")"),"పార్లే క్రాక్‌జాక్")</f>
        <v>పార్లే క్రాక్‌జాక్</v>
      </c>
      <c r="C1252" s="4" t="str">
        <f>IFERROR(__xludf.DUMMYFUNCTION("GOOGLETRANSLATE(A1252, ""en"", ""hi"")"),"पार्ले क्रैकजैक")</f>
        <v>पार्ले क्रैकजैक</v>
      </c>
      <c r="D1252" s="5"/>
      <c r="E1252" s="2" t="s">
        <v>4100</v>
      </c>
      <c r="F1252" s="1">
        <v>3.0</v>
      </c>
      <c r="G1252" s="3" t="s">
        <v>4480</v>
      </c>
    </row>
    <row r="1253">
      <c r="A1253" s="3" t="s">
        <v>7143</v>
      </c>
      <c r="B1253" s="4" t="str">
        <f>IFERROR(__xludf.DUMMYFUNCTION("GOOGLETRANSLATE(A1253, ""en"", ""te"")"),"పార్లే-జి గోల్డ్ కుకీస్")</f>
        <v>పార్లే-జి గోల్డ్ కుకీస్</v>
      </c>
      <c r="C1253" s="4" t="str">
        <f>IFERROR(__xludf.DUMMYFUNCTION("GOOGLETRANSLATE(A1253, ""en"", ""hi"")"),"पार्ले-जी गोल्ड कुकीज़")</f>
        <v>पार्ले-जी गोल्ड कुकीज़</v>
      </c>
      <c r="D1253" s="2" t="s">
        <v>7105</v>
      </c>
      <c r="E1253" s="2" t="s">
        <v>4100</v>
      </c>
      <c r="F1253" s="1">
        <v>3.0</v>
      </c>
      <c r="G1253" s="3" t="s">
        <v>4480</v>
      </c>
    </row>
    <row r="1254">
      <c r="A1254" s="3" t="s">
        <v>7156</v>
      </c>
      <c r="B1254" s="4" t="str">
        <f>IFERROR(__xludf.DUMMYFUNCTION("GOOGLETRANSLATE(A1254, ""en"", ""te"")"),"పార్లే మొనాకో బిస్కెట్ల డబ్బా")</f>
        <v>పార్లే మొనాకో బిస్కెట్ల డబ్బా</v>
      </c>
      <c r="C1254" s="4" t="str">
        <f>IFERROR(__xludf.DUMMYFUNCTION("GOOGLETRANSLATE(A1254, ""en"", ""hi"")"),"पार्ले मोनाको बिस्कुट बिन")</f>
        <v>पार्ले मोनाको बिस्कुट बिन</v>
      </c>
      <c r="D1254" s="5"/>
      <c r="E1254" s="2" t="s">
        <v>4100</v>
      </c>
      <c r="F1254" s="1">
        <v>3.0</v>
      </c>
      <c r="G1254" s="3" t="s">
        <v>4446</v>
      </c>
    </row>
    <row r="1255">
      <c r="A1255" s="3" t="s">
        <v>7157</v>
      </c>
      <c r="B1255" s="4" t="str">
        <f>IFERROR(__xludf.DUMMYFUNCTION("GOOGLETRANSLATE(A1255, ""en"", ""te"")"),"పార్లే-జి బిస్కెట్ల డబ్బా")</f>
        <v>పార్లే-జి బిస్కెట్ల డబ్బా</v>
      </c>
      <c r="C1255" s="4" t="str">
        <f>IFERROR(__xludf.DUMMYFUNCTION("GOOGLETRANSLATE(A1255, ""en"", ""hi"")"),"पार्ले-जी बिस्कुट बिन")</f>
        <v>पार्ले-जी बिस्कुट बिन</v>
      </c>
      <c r="D1255" s="2" t="s">
        <v>7057</v>
      </c>
      <c r="E1255" s="2" t="s">
        <v>4100</v>
      </c>
      <c r="F1255" s="1">
        <v>3.0</v>
      </c>
      <c r="G1255" s="3" t="s">
        <v>4692</v>
      </c>
    </row>
    <row r="1256">
      <c r="A1256" s="3" t="s">
        <v>7158</v>
      </c>
      <c r="B1256" s="4" t="str">
        <f>IFERROR(__xludf.DUMMYFUNCTION("GOOGLETRANSLATE(A1256, ""en"", ""te"")"),"పార్లే క్రాక్‌జాక్ బిస్కెట్ల డబ్బా")</f>
        <v>పార్లే క్రాక్‌జాక్ బిస్కెట్ల డబ్బా</v>
      </c>
      <c r="C1256" s="4" t="str">
        <f>IFERROR(__xludf.DUMMYFUNCTION("GOOGLETRANSLATE(A1256, ""en"", ""hi"")"),"पारले क्रैकजैक बिस्कुट बिन")</f>
        <v>पारले क्रैकजैक बिस्कुट बिन</v>
      </c>
      <c r="D1256" s="2" t="s">
        <v>7057</v>
      </c>
      <c r="E1256" s="2" t="s">
        <v>4100</v>
      </c>
      <c r="F1256" s="1">
        <v>3.0</v>
      </c>
      <c r="G1256" s="3" t="s">
        <v>4692</v>
      </c>
    </row>
    <row r="1257">
      <c r="A1257" s="3" t="s">
        <v>7159</v>
      </c>
      <c r="B1257" s="4" t="str">
        <f>IFERROR(__xludf.DUMMYFUNCTION("GOOGLETRANSLATE(A1257, ""en"", ""te"")"),"హల్దీరామ్స్ మల్టీగ్రెయిన్ ఖారి")</f>
        <v>హల్దీరామ్స్ మల్టీగ్రెయిన్ ఖారి</v>
      </c>
      <c r="C1257" s="4" t="str">
        <f>IFERROR(__xludf.DUMMYFUNCTION("GOOGLETRANSLATE(A1257, ""en"", ""hi"")"),"हल्दीराम का मल्टीग्रेन खारी")</f>
        <v>हल्दीराम का मल्टीग्रेन खारी</v>
      </c>
      <c r="D1257" s="2" t="s">
        <v>7160</v>
      </c>
      <c r="E1257" s="2" t="s">
        <v>4100</v>
      </c>
      <c r="F1257" s="1">
        <v>3.0</v>
      </c>
      <c r="G1257" s="3" t="s">
        <v>4933</v>
      </c>
    </row>
    <row r="1258">
      <c r="A1258" s="3" t="s">
        <v>7161</v>
      </c>
      <c r="B1258" s="4" t="str">
        <f>IFERROR(__xludf.DUMMYFUNCTION("GOOGLETRANSLATE(A1258, ""en"", ""te"")"),"హల్దీరామ్స్ ఒరిజినల్ ఖారి")</f>
        <v>హల్దీరామ్స్ ఒరిజినల్ ఖారి</v>
      </c>
      <c r="C1258" s="4" t="str">
        <f>IFERROR(__xludf.DUMMYFUNCTION("GOOGLETRANSLATE(A1258, ""en"", ""hi"")"),"हल्दीराम की ओरिजिनल खारी")</f>
        <v>हल्दीराम की ओरिजिनल खारी</v>
      </c>
      <c r="D1258" s="2" t="s">
        <v>7160</v>
      </c>
      <c r="E1258" s="2" t="s">
        <v>4100</v>
      </c>
      <c r="F1258" s="1">
        <v>3.0</v>
      </c>
      <c r="G1258" s="3" t="s">
        <v>4933</v>
      </c>
    </row>
    <row r="1259">
      <c r="A1259" s="3" t="s">
        <v>2287</v>
      </c>
      <c r="B1259" s="4" t="str">
        <f>IFERROR(__xludf.DUMMYFUNCTION("GOOGLETRANSLATE(A1259, ""en"", ""te"")"),"చింగ్స్ సీక్రెట్ వెజ్ హక్కా నూడుల్స్")</f>
        <v>చింగ్స్ సీక్రెట్ వెజ్ హక్కా నూడుల్స్</v>
      </c>
      <c r="C1259" s="4" t="str">
        <f>IFERROR(__xludf.DUMMYFUNCTION("GOOGLETRANSLATE(A1259, ""en"", ""hi"")"),"चिंग के सीक्रेट वेज हक्का नूडल्स")</f>
        <v>चिंग के सीक्रेट वेज हक्का नूडल्स</v>
      </c>
      <c r="D1259" s="2" t="s">
        <v>2291</v>
      </c>
      <c r="E1259" s="2" t="s">
        <v>9</v>
      </c>
      <c r="F1259" s="1">
        <v>3.0</v>
      </c>
      <c r="G1259" s="3" t="s">
        <v>4933</v>
      </c>
    </row>
    <row r="1260">
      <c r="A1260" s="3" t="s">
        <v>7162</v>
      </c>
      <c r="B1260" s="4" t="str">
        <f>IFERROR(__xludf.DUMMYFUNCTION("GOOGLETRANSLATE(A1260, ""en"", ""te"")"),"బికాజీ డ్రై పేతా")</f>
        <v>బికాజీ డ్రై పేతా</v>
      </c>
      <c r="C1260" s="4" t="str">
        <f>IFERROR(__xludf.DUMMYFUNCTION("GOOGLETRANSLATE(A1260, ""en"", ""hi"")"),"बिकाजी ड्राई पेठा")</f>
        <v>बिकाजी ड्राई पेठा</v>
      </c>
      <c r="D1260" s="5"/>
      <c r="E1260" s="2" t="s">
        <v>3438</v>
      </c>
      <c r="F1260" s="1">
        <v>3.0</v>
      </c>
      <c r="G1260" s="3" t="s">
        <v>7163</v>
      </c>
    </row>
    <row r="1261">
      <c r="A1261" s="3" t="s">
        <v>7144</v>
      </c>
      <c r="B1261" s="4" t="str">
        <f>IFERROR(__xludf.DUMMYFUNCTION("GOOGLETRANSLATE(A1261, ""en"", ""te"")"),"బికాజీ అట్టా లడ్డూ")</f>
        <v>బికాజీ అట్టా లడ్డూ</v>
      </c>
      <c r="C1261" s="4" t="str">
        <f>IFERROR(__xludf.DUMMYFUNCTION("GOOGLETRANSLATE(A1261, ""en"", ""hi"")"),"बिकाजी आटा लड्डू")</f>
        <v>बिकाजी आटा लड्डू</v>
      </c>
      <c r="D1261" s="2" t="s">
        <v>7100</v>
      </c>
      <c r="E1261" s="2" t="s">
        <v>3438</v>
      </c>
      <c r="F1261" s="1">
        <v>3.0</v>
      </c>
      <c r="G1261" s="3" t="s">
        <v>7163</v>
      </c>
    </row>
    <row r="1262">
      <c r="A1262" s="3" t="s">
        <v>7145</v>
      </c>
      <c r="B1262" s="4" t="str">
        <f>IFERROR(__xludf.DUMMYFUNCTION("GOOGLETRANSLATE(A1262, ""en"", ""te"")"),"బికాజీ బేసన్ బర్ఫీ")</f>
        <v>బికాజీ బేసన్ బర్ఫీ</v>
      </c>
      <c r="C1262" s="4" t="str">
        <f>IFERROR(__xludf.DUMMYFUNCTION("GOOGLETRANSLATE(A1262, ""en"", ""hi"")"),"बिकाजी बेसन बर्फी")</f>
        <v>बिकाजी बेसन बर्फी</v>
      </c>
      <c r="D1262" s="2" t="s">
        <v>7052</v>
      </c>
      <c r="E1262" s="2" t="s">
        <v>3438</v>
      </c>
      <c r="F1262" s="1">
        <v>3.0</v>
      </c>
      <c r="G1262" s="3" t="s">
        <v>7163</v>
      </c>
    </row>
    <row r="1263">
      <c r="A1263" s="3" t="s">
        <v>7135</v>
      </c>
      <c r="B1263" s="4" t="str">
        <f>IFERROR(__xludf.DUMMYFUNCTION("GOOGLETRANSLATE(A1263, ""en"", ""te"")"),"బికాజీ బేసన్ లడ్డూ")</f>
        <v>బికాజీ బేసన్ లడ్డూ</v>
      </c>
      <c r="C1263" s="4" t="str">
        <f>IFERROR(__xludf.DUMMYFUNCTION("GOOGLETRANSLATE(A1263, ""en"", ""hi"")"),"बिकाजी बेसन लड्डू")</f>
        <v>बिकाजी बेसन लड्डू</v>
      </c>
      <c r="D1263" s="2" t="s">
        <v>7136</v>
      </c>
      <c r="E1263" s="2" t="s">
        <v>3438</v>
      </c>
      <c r="F1263" s="1">
        <v>3.0</v>
      </c>
      <c r="G1263" s="3" t="s">
        <v>7163</v>
      </c>
    </row>
    <row r="1264">
      <c r="A1264" s="3" t="s">
        <v>7164</v>
      </c>
      <c r="B1264" s="4" t="str">
        <f>IFERROR(__xludf.DUMMYFUNCTION("GOOGLETRANSLATE(A1264, ""en"", ""te"")"),"కరాచీ బేకరీ చాయ్ బిస్కెట్")</f>
        <v>కరాచీ బేకరీ చాయ్ బిస్కెట్</v>
      </c>
      <c r="C1264" s="4" t="str">
        <f>IFERROR(__xludf.DUMMYFUNCTION("GOOGLETRANSLATE(A1264, ""en"", ""hi"")"),"कराची बेकरी चाय बिस्कुट")</f>
        <v>कराची बेकरी चाय बिस्कुट</v>
      </c>
      <c r="D1264" s="5"/>
      <c r="E1264" s="2" t="s">
        <v>4100</v>
      </c>
      <c r="F1264" s="1">
        <v>3.0</v>
      </c>
      <c r="G1264" s="3" t="s">
        <v>4419</v>
      </c>
    </row>
    <row r="1265">
      <c r="A1265" s="3" t="s">
        <v>7165</v>
      </c>
      <c r="B1265" s="4" t="str">
        <f>IFERROR(__xludf.DUMMYFUNCTION("GOOGLETRANSLATE(A1265, ""en"", ""te"")"),"కరాచీ బేకరీ బెల్లం పిండి బిస్కెట్")</f>
        <v>కరాచీ బేకరీ బెల్లం పిండి బిస్కెట్</v>
      </c>
      <c r="C1265" s="4" t="str">
        <f>IFERROR(__xludf.DUMMYFUNCTION("GOOGLETRANSLATE(A1265, ""en"", ""hi"")"),"कराची बेकरी गुड़ (गुड़) आटा बिस्किट")</f>
        <v>कराची बेकरी गुड़ (गुड़) आटा बिस्किट</v>
      </c>
      <c r="D1265" s="2" t="s">
        <v>7083</v>
      </c>
      <c r="E1265" s="2" t="s">
        <v>4100</v>
      </c>
      <c r="F1265" s="1">
        <v>3.0</v>
      </c>
      <c r="G1265" s="3" t="s">
        <v>4419</v>
      </c>
    </row>
    <row r="1266">
      <c r="A1266" s="3" t="s">
        <v>7166</v>
      </c>
      <c r="B1266" s="4" t="str">
        <f>IFERROR(__xludf.DUMMYFUNCTION("GOOGLETRANSLATE(A1266, ""en"", ""te"")"),"కరాచీ బేకరీ మిల్లెట్ బిస్కెట్")</f>
        <v>కరాచీ బేకరీ మిల్లెట్ బిస్కెట్</v>
      </c>
      <c r="C1266" s="4" t="str">
        <f>IFERROR(__xludf.DUMMYFUNCTION("GOOGLETRANSLATE(A1266, ""en"", ""hi"")"),"कराची बेकरी बाजरे का बिस्कुट")</f>
        <v>कराची बेकरी बाजरे का बिस्कुट</v>
      </c>
      <c r="D1266" s="5"/>
      <c r="E1266" s="2" t="s">
        <v>4100</v>
      </c>
      <c r="F1266" s="1">
        <v>3.0</v>
      </c>
      <c r="G1266" s="3" t="s">
        <v>4419</v>
      </c>
    </row>
    <row r="1267">
      <c r="A1267" s="3" t="s">
        <v>7128</v>
      </c>
      <c r="B1267" s="4" t="str">
        <f>IFERROR(__xludf.DUMMYFUNCTION("GOOGLETRANSLATE(A1267, ""en"", ""te"")"),"కరాచీ బేకరీ ఫ్రూట్ బిస్కెట్లు")</f>
        <v>కరాచీ బేకరీ ఫ్రూట్ బిస్కెట్లు</v>
      </c>
      <c r="C1267" s="4" t="str">
        <f>IFERROR(__xludf.DUMMYFUNCTION("GOOGLETRANSLATE(A1267, ""en"", ""hi"")"),"कराची बेकरी फ्रूट बिस्कुट")</f>
        <v>कराची बेकरी फ्रूट बिस्कुट</v>
      </c>
      <c r="D1267" s="2" t="s">
        <v>7083</v>
      </c>
      <c r="E1267" s="2" t="s">
        <v>4100</v>
      </c>
      <c r="F1267" s="1">
        <v>3.0</v>
      </c>
      <c r="G1267" s="3" t="s">
        <v>4419</v>
      </c>
    </row>
    <row r="1268">
      <c r="A1268" s="3" t="s">
        <v>7149</v>
      </c>
      <c r="B1268" s="4" t="str">
        <f>IFERROR(__xludf.DUMMYFUNCTION("GOOGLETRANSLATE(A1268, ""en"", ""te"")"),"విద్యా క్రీమీ రోల్స్")</f>
        <v>విద్యా క్రీమీ రోల్స్</v>
      </c>
      <c r="C1268" s="4" t="str">
        <f>IFERROR(__xludf.DUMMYFUNCTION("GOOGLETRANSLATE(A1268, ""en"", ""hi"")"),"विद्या क्रीमी रोल्स")</f>
        <v>विद्या क्रीमी रोल्स</v>
      </c>
      <c r="D1268" s="5"/>
      <c r="E1268" s="2" t="s">
        <v>1294</v>
      </c>
      <c r="F1268" s="1">
        <v>3.0</v>
      </c>
      <c r="G1268" s="3" t="s">
        <v>4434</v>
      </c>
    </row>
    <row r="1269">
      <c r="A1269" s="3" t="s">
        <v>7128</v>
      </c>
      <c r="B1269" s="4" t="str">
        <f>IFERROR(__xludf.DUMMYFUNCTION("GOOGLETRANSLATE(A1269, ""en"", ""te"")"),"కరాచీ బేకరీ ఫ్రూట్ బిస్కెట్లు")</f>
        <v>కరాచీ బేకరీ ఫ్రూట్ బిస్కెట్లు</v>
      </c>
      <c r="C1269" s="4" t="str">
        <f>IFERROR(__xludf.DUMMYFUNCTION("GOOGLETRANSLATE(A1269, ""en"", ""hi"")"),"कराची बेकरी फ्रूट बिस्कुट")</f>
        <v>कराची बेकरी फ्रूट बिस्कुट</v>
      </c>
      <c r="D1269" s="2" t="s">
        <v>7083</v>
      </c>
      <c r="E1269" s="2" t="s">
        <v>4100</v>
      </c>
      <c r="F1269" s="1">
        <v>3.0</v>
      </c>
      <c r="G1269" s="3" t="s">
        <v>4434</v>
      </c>
    </row>
    <row r="1270">
      <c r="A1270" s="3" t="s">
        <v>7167</v>
      </c>
      <c r="B1270" s="4" t="str">
        <f>IFERROR(__xludf.DUMMYFUNCTION("GOOGLETRANSLATE(A1270, ""en"", ""te"")"),"బ్రిటానియా న్యూట్రిచాయిస్ డైజెస్టివ్స్")</f>
        <v>బ్రిటానియా న్యూట్రిచాయిస్ డైజెస్టివ్స్</v>
      </c>
      <c r="C1270" s="4" t="str">
        <f>IFERROR(__xludf.DUMMYFUNCTION("GOOGLETRANSLATE(A1270, ""en"", ""hi"")"),"ब्रिटानिया न्यूट्रीचॉइस डाइजेस्टिव")</f>
        <v>ब्रिटानिया न्यूट्रीचॉइस डाइजेस्टिव</v>
      </c>
      <c r="D1270" s="2" t="s">
        <v>7168</v>
      </c>
      <c r="E1270" s="2" t="s">
        <v>4100</v>
      </c>
      <c r="F1270" s="1">
        <v>3.0</v>
      </c>
      <c r="G1270" s="3" t="s">
        <v>4446</v>
      </c>
    </row>
    <row r="1271">
      <c r="A1271" s="3" t="s">
        <v>7169</v>
      </c>
      <c r="B1271" s="4" t="str">
        <f>IFERROR(__xludf.DUMMYFUNCTION("GOOGLETRANSLATE(A1271, ""en"", ""te"")"),"బ్రిటానియా గుడ్ డే జీడిపప్పు కుకీలు")</f>
        <v>బ్రిటానియా గుడ్ డే జీడిపప్పు కుకీలు</v>
      </c>
      <c r="C1271" s="4" t="str">
        <f>IFERROR(__xludf.DUMMYFUNCTION("GOOGLETRANSLATE(A1271, ""en"", ""hi"")"),"ब्रिटानिया गुड डे काजू कुकीज़")</f>
        <v>ब्रिटानिया गुड डे काजू कुकीज़</v>
      </c>
      <c r="D1271" s="2" t="s">
        <v>7088</v>
      </c>
      <c r="E1271" s="2" t="s">
        <v>4100</v>
      </c>
      <c r="F1271" s="1">
        <v>3.0</v>
      </c>
      <c r="G1271" s="3" t="s">
        <v>4446</v>
      </c>
    </row>
    <row r="1272">
      <c r="A1272" s="3" t="s">
        <v>1531</v>
      </c>
      <c r="B1272" s="4" t="str">
        <f>IFERROR(__xludf.DUMMYFUNCTION("GOOGLETRANSLATE(A1272, ""en"", ""te"")"),"బ్రిటానియా మిల్క్ బికీస్")</f>
        <v>బ్రిటానియా మిల్క్ బికీస్</v>
      </c>
      <c r="C1272" s="4" t="str">
        <f>IFERROR(__xludf.DUMMYFUNCTION("GOOGLETRANSLATE(A1272, ""en"", ""hi"")"),"ब्रिटानिया मिल्क बिकिस")</f>
        <v>ब्रिटानिया मिल्क बिकिस</v>
      </c>
      <c r="D1272" s="2" t="s">
        <v>7170</v>
      </c>
      <c r="E1272" s="2" t="s">
        <v>4100</v>
      </c>
      <c r="F1272" s="1">
        <v>3.0</v>
      </c>
      <c r="G1272" s="3" t="s">
        <v>4446</v>
      </c>
    </row>
    <row r="1273">
      <c r="A1273" s="3" t="s">
        <v>5249</v>
      </c>
      <c r="B1273" s="4" t="str">
        <f>IFERROR(__xludf.DUMMYFUNCTION("GOOGLETRANSLATE(A1273, ""en"", ""te"")"),"పార్లే మొనాకో")</f>
        <v>పార్లే మొనాకో</v>
      </c>
      <c r="C1273" s="4" t="str">
        <f>IFERROR(__xludf.DUMMYFUNCTION("GOOGLETRANSLATE(A1273, ""en"", ""hi"")"),"पार्ले मोनाको")</f>
        <v>पार्ले मोनाको</v>
      </c>
      <c r="D1273" s="5"/>
      <c r="E1273" s="2" t="s">
        <v>4100</v>
      </c>
      <c r="F1273" s="1">
        <v>3.0</v>
      </c>
      <c r="G1273" s="3" t="s">
        <v>4446</v>
      </c>
    </row>
    <row r="1274">
      <c r="A1274" s="3" t="s">
        <v>7142</v>
      </c>
      <c r="B1274" s="4" t="str">
        <f>IFERROR(__xludf.DUMMYFUNCTION("GOOGLETRANSLATE(A1274, ""en"", ""te"")"),"పార్లే-జి ఒరిజినల్ గ్లూకో బిస్కెట్లు")</f>
        <v>పార్లే-జి ఒరిజినల్ గ్లూకో బిస్కెట్లు</v>
      </c>
      <c r="C1274" s="4" t="str">
        <f>IFERROR(__xludf.DUMMYFUNCTION("GOOGLETRANSLATE(A1274, ""en"", ""hi"")"),"पार्ले-जी ओरिजिनल ग्लूको बिस्कुट")</f>
        <v>पार्ले-जी ओरिजिनल ग्लूको बिस्कुट</v>
      </c>
      <c r="D1274" s="2" t="s">
        <v>7083</v>
      </c>
      <c r="E1274" s="2" t="s">
        <v>4100</v>
      </c>
      <c r="F1274" s="1">
        <v>3.0</v>
      </c>
      <c r="G1274" s="3" t="s">
        <v>4446</v>
      </c>
    </row>
    <row r="1275">
      <c r="A1275" s="3" t="s">
        <v>5249</v>
      </c>
      <c r="B1275" s="4" t="str">
        <f>IFERROR(__xludf.DUMMYFUNCTION("GOOGLETRANSLATE(A1275, ""en"", ""te"")"),"పార్లే మొనాకో")</f>
        <v>పార్లే మొనాకో</v>
      </c>
      <c r="C1275" s="4" t="str">
        <f>IFERROR(__xludf.DUMMYFUNCTION("GOOGLETRANSLATE(A1275, ""en"", ""hi"")"),"पार्ले मोनाको")</f>
        <v>पार्ले मोनाको</v>
      </c>
      <c r="D1275" s="5"/>
      <c r="E1275" s="2" t="s">
        <v>4100</v>
      </c>
      <c r="F1275" s="1">
        <v>3.0</v>
      </c>
      <c r="G1275" s="3" t="s">
        <v>329</v>
      </c>
    </row>
    <row r="1276">
      <c r="A1276" s="3" t="s">
        <v>7142</v>
      </c>
      <c r="B1276" s="4" t="str">
        <f>IFERROR(__xludf.DUMMYFUNCTION("GOOGLETRANSLATE(A1276, ""en"", ""te"")"),"పార్లే-జి ఒరిజినల్ గ్లూకో బిస్కెట్లు")</f>
        <v>పార్లే-జి ఒరిజినల్ గ్లూకో బిస్కెట్లు</v>
      </c>
      <c r="C1276" s="4" t="str">
        <f>IFERROR(__xludf.DUMMYFUNCTION("GOOGLETRANSLATE(A1276, ""en"", ""hi"")"),"पार्ले-जी ओरिजिनल ग्लूको बिस्कुट")</f>
        <v>पार्ले-जी ओरिजिनल ग्लूको बिस्कुट</v>
      </c>
      <c r="D1276" s="2" t="s">
        <v>7083</v>
      </c>
      <c r="E1276" s="2" t="s">
        <v>4100</v>
      </c>
      <c r="F1276" s="1">
        <v>3.0</v>
      </c>
      <c r="G1276" s="3" t="s">
        <v>329</v>
      </c>
    </row>
    <row r="1277">
      <c r="A1277" s="3" t="s">
        <v>7171</v>
      </c>
      <c r="B1277" s="4" t="str">
        <f>IFERROR(__xludf.DUMMYFUNCTION("GOOGLETRANSLATE(A1277, ""en"", ""te"")"),"హల్దీరామ్స్ క్లాసిక్ ఖారి")</f>
        <v>హల్దీరామ్స్ క్లాసిక్ ఖారి</v>
      </c>
      <c r="C1277" s="4" t="str">
        <f>IFERROR(__xludf.DUMMYFUNCTION("GOOGLETRANSLATE(A1277, ""en"", ""hi"")"),"हल्दीराम की क्लासिक खारी")</f>
        <v>हल्दीराम की क्लासिक खारी</v>
      </c>
      <c r="D1277" s="2" t="s">
        <v>7172</v>
      </c>
      <c r="E1277" s="2" t="s">
        <v>1294</v>
      </c>
      <c r="F1277" s="1">
        <v>3.0</v>
      </c>
      <c r="G1277" s="3" t="s">
        <v>4933</v>
      </c>
    </row>
    <row r="1278">
      <c r="A1278" s="3" t="s">
        <v>7173</v>
      </c>
      <c r="B1278" s="4" t="str">
        <f>IFERROR(__xludf.DUMMYFUNCTION("GOOGLETRANSLATE(A1278, ""en"", ""te"")"),"బికాజీ గుర్ రెవారి")</f>
        <v>బికాజీ గుర్ రెవారి</v>
      </c>
      <c r="C1278" s="4" t="str">
        <f>IFERROR(__xludf.DUMMYFUNCTION("GOOGLETRANSLATE(A1278, ""en"", ""hi"")"),"बिकाजी गुर रेवाड़ी")</f>
        <v>बिकाजी गुर रेवाड़ी</v>
      </c>
      <c r="D1278" s="2" t="s">
        <v>7174</v>
      </c>
      <c r="E1278" s="2" t="s">
        <v>3438</v>
      </c>
      <c r="F1278" s="1">
        <v>3.0</v>
      </c>
      <c r="G1278" s="3" t="s">
        <v>7163</v>
      </c>
    </row>
    <row r="1279">
      <c r="A1279" s="3" t="s">
        <v>7175</v>
      </c>
      <c r="B1279" s="4" t="str">
        <f>IFERROR(__xludf.DUMMYFUNCTION("GOOGLETRANSLATE(A1279, ""en"", ""te"")"),"లోట్టే చోకో పై")</f>
        <v>లోట్టే చోకో పై</v>
      </c>
      <c r="C1279" s="4" t="str">
        <f>IFERROR(__xludf.DUMMYFUNCTION("GOOGLETRANSLATE(A1279, ""en"", ""hi"")"),"लोटे चोको पाई")</f>
        <v>लोटे चोको पाई</v>
      </c>
      <c r="D1279" s="2" t="s">
        <v>7083</v>
      </c>
      <c r="E1279" s="2" t="s">
        <v>4100</v>
      </c>
      <c r="F1279" s="1">
        <v>3.0</v>
      </c>
      <c r="G1279" s="3" t="s">
        <v>4419</v>
      </c>
    </row>
    <row r="1280">
      <c r="A1280" s="3" t="s">
        <v>7176</v>
      </c>
      <c r="B1280" s="4" t="str">
        <f>IFERROR(__xludf.DUMMYFUNCTION("GOOGLETRANSLATE(A1280, ""en"", ""te"")"),"అట్టా బిస్కెట్")</f>
        <v>అట్టా బిస్కెట్</v>
      </c>
      <c r="C1280" s="4" t="str">
        <f>IFERROR(__xludf.DUMMYFUNCTION("GOOGLETRANSLATE(A1280, ""en"", ""hi"")"),"आटा बिस्कुट")</f>
        <v>आटा बिस्कुट</v>
      </c>
      <c r="D1280" s="2" t="s">
        <v>7177</v>
      </c>
      <c r="E1280" s="2" t="s">
        <v>4100</v>
      </c>
      <c r="F1280" s="1">
        <v>3.0</v>
      </c>
      <c r="G1280" s="3" t="s">
        <v>4419</v>
      </c>
    </row>
    <row r="1281">
      <c r="A1281" s="3" t="s">
        <v>7178</v>
      </c>
      <c r="B1281" s="4" t="str">
        <f>IFERROR(__xludf.DUMMYFUNCTION("GOOGLETRANSLATE(A1281, ""en"", ""te"")"),"చాయ్ బిస్కెట్")</f>
        <v>చాయ్ బిస్కెట్</v>
      </c>
      <c r="C1281" s="4" t="str">
        <f>IFERROR(__xludf.DUMMYFUNCTION("GOOGLETRANSLATE(A1281, ""en"", ""hi"")"),"चाय बिस्कुट")</f>
        <v>चाय बिस्कुट</v>
      </c>
      <c r="D1281" s="2" t="s">
        <v>7050</v>
      </c>
      <c r="E1281" s="2" t="s">
        <v>4100</v>
      </c>
      <c r="F1281" s="1">
        <v>3.0</v>
      </c>
      <c r="G1281" s="3" t="s">
        <v>4419</v>
      </c>
    </row>
    <row r="1282">
      <c r="A1282" s="3" t="s">
        <v>7179</v>
      </c>
      <c r="B1282" s="4" t="str">
        <f>IFERROR(__xludf.DUMMYFUNCTION("GOOGLETRANSLATE(A1282, ""en"", ""te"")"),"కరాచీ బెల్లం పిండి బిస్కెట్")</f>
        <v>కరాచీ బెల్లం పిండి బిస్కెట్</v>
      </c>
      <c r="C1282" s="4" t="str">
        <f>IFERROR(__xludf.DUMMYFUNCTION("GOOGLETRANSLATE(A1282, ""en"", ""hi"")"),"कराची का गुड़ (गुड़) आटा बिस्किट")</f>
        <v>कराची का गुड़ (गुड़) आटा बिस्किट</v>
      </c>
      <c r="D1282" s="2" t="s">
        <v>7180</v>
      </c>
      <c r="E1282" s="2" t="s">
        <v>4100</v>
      </c>
      <c r="F1282" s="1">
        <v>3.0</v>
      </c>
      <c r="G1282" s="3" t="s">
        <v>4419</v>
      </c>
    </row>
    <row r="1283">
      <c r="A1283" s="3" t="s">
        <v>7181</v>
      </c>
      <c r="B1283" s="4" t="str">
        <f>IFERROR(__xludf.DUMMYFUNCTION("GOOGLETRANSLATE(A1283, ""en"", ""te"")"),"కరాచీ మిల్లెట్ ఫైబర్ బిస్కెట్")</f>
        <v>కరాచీ మిల్లెట్ ఫైబర్ బిస్కెట్</v>
      </c>
      <c r="C1283" s="4" t="str">
        <f>IFERROR(__xludf.DUMMYFUNCTION("GOOGLETRANSLATE(A1283, ""en"", ""hi"")"),"कराची का बाजरा फाइबर बिस्कुट")</f>
        <v>कराची का बाजरा फाइबर बिस्कुट</v>
      </c>
      <c r="D1283" s="2" t="s">
        <v>7182</v>
      </c>
      <c r="E1283" s="2" t="s">
        <v>4100</v>
      </c>
      <c r="F1283" s="1">
        <v>3.0</v>
      </c>
      <c r="G1283" s="3" t="s">
        <v>4419</v>
      </c>
    </row>
    <row r="1284">
      <c r="A1284" s="3" t="s">
        <v>7183</v>
      </c>
      <c r="B1284" s="4" t="str">
        <f>IFERROR(__xludf.DUMMYFUNCTION("GOOGLETRANSLATE(A1284, ""en"", ""te"")"),"బ్రిటానియా గుడ్ డే పిస్తా-బాదం")</f>
        <v>బ్రిటానియా గుడ్ డే పిస్తా-బాదం</v>
      </c>
      <c r="C1284" s="4" t="str">
        <f>IFERROR(__xludf.DUMMYFUNCTION("GOOGLETRANSLATE(A1284, ""en"", ""hi"")"),"ब्रिटानिया गुड डे पिस्ता-बादाम")</f>
        <v>ब्रिटानिया गुड डे पिस्ता-बादाम</v>
      </c>
      <c r="D1284" s="2" t="s">
        <v>7184</v>
      </c>
      <c r="E1284" s="2" t="s">
        <v>4100</v>
      </c>
      <c r="F1284" s="1">
        <v>3.0</v>
      </c>
      <c r="G1284" s="3" t="s">
        <v>4434</v>
      </c>
    </row>
    <row r="1285">
      <c r="A1285" s="3" t="s">
        <v>7185</v>
      </c>
      <c r="B1285" s="4" t="str">
        <f>IFERROR(__xludf.DUMMYFUNCTION("GOOGLETRANSLATE(A1285, ""en"", ""te"")"),"డే జీడిపప్పు కుకీలు")</f>
        <v>డే జీడిపప్పు కుకీలు</v>
      </c>
      <c r="C1285" s="4" t="str">
        <f>IFERROR(__xludf.DUMMYFUNCTION("GOOGLETRANSLATE(A1285, ""en"", ""hi"")"),"दिन के काजू कुकीज़")</f>
        <v>दिन के काजू कुकीज़</v>
      </c>
      <c r="D1285" s="2" t="s">
        <v>7186</v>
      </c>
      <c r="E1285" s="2" t="s">
        <v>4100</v>
      </c>
      <c r="F1285" s="1">
        <v>3.0</v>
      </c>
      <c r="G1285" s="3" t="s">
        <v>4434</v>
      </c>
    </row>
    <row r="1286">
      <c r="A1286" s="3" t="s">
        <v>1531</v>
      </c>
      <c r="B1286" s="4" t="str">
        <f>IFERROR(__xludf.DUMMYFUNCTION("GOOGLETRANSLATE(A1286, ""en"", ""te"")"),"బ్రిటానియా మిల్క్ బికీస్")</f>
        <v>బ్రిటానియా మిల్క్ బికీస్</v>
      </c>
      <c r="C1286" s="4" t="str">
        <f>IFERROR(__xludf.DUMMYFUNCTION("GOOGLETRANSLATE(A1286, ""en"", ""hi"")"),"ब्रिटानिया मिल्क बिकिस")</f>
        <v>ब्रिटानिया मिल्क बिकिस</v>
      </c>
      <c r="D1286" s="2" t="s">
        <v>7170</v>
      </c>
      <c r="E1286" s="2" t="s">
        <v>4100</v>
      </c>
      <c r="F1286" s="1">
        <v>3.0</v>
      </c>
      <c r="G1286" s="3" t="s">
        <v>4434</v>
      </c>
    </row>
    <row r="1287">
      <c r="A1287" s="3" t="s">
        <v>7187</v>
      </c>
      <c r="B1287" s="4" t="str">
        <f>IFERROR(__xludf.DUMMYFUNCTION("GOOGLETRANSLATE(A1287, ""en"", ""te"")"),"పార్లే మొనాకో క్లాసిక్")</f>
        <v>పార్లే మొనాకో క్లాసిక్</v>
      </c>
      <c r="C1287" s="4" t="str">
        <f>IFERROR(__xludf.DUMMYFUNCTION("GOOGLETRANSLATE(A1287, ""en"", ""hi"")"),"पार्ले मोनाको क्लासिक")</f>
        <v>पार्ले मोनाको क्लासिक</v>
      </c>
      <c r="D1287" s="5"/>
      <c r="E1287" s="2" t="s">
        <v>4100</v>
      </c>
      <c r="F1287" s="1">
        <v>3.0</v>
      </c>
      <c r="G1287" s="3" t="s">
        <v>4434</v>
      </c>
    </row>
    <row r="1288">
      <c r="A1288" s="3" t="s">
        <v>7188</v>
      </c>
      <c r="B1288" s="4" t="str">
        <f>IFERROR(__xludf.DUMMYFUNCTION("GOOGLETRANSLATE(A1288, ""en"", ""te"")"),"పార్లే-జి")</f>
        <v>పార్లే-జి</v>
      </c>
      <c r="C1288" s="4" t="str">
        <f>IFERROR(__xludf.DUMMYFUNCTION("GOOGLETRANSLATE(A1288, ""en"", ""hi"")"),"पार्ले-जी")</f>
        <v>पार्ले-जी</v>
      </c>
      <c r="D1288" s="5"/>
      <c r="E1288" s="2" t="s">
        <v>4100</v>
      </c>
      <c r="F1288" s="1">
        <v>3.0</v>
      </c>
      <c r="G1288" s="3" t="s">
        <v>4446</v>
      </c>
    </row>
    <row r="1289">
      <c r="A1289" s="3" t="s">
        <v>7189</v>
      </c>
      <c r="B1289" s="4" t="str">
        <f>IFERROR(__xludf.DUMMYFUNCTION("GOOGLETRANSLATE(A1289, ""en"", ""te"")"),"హల్దీరామ్ యొక్క ఖరీ మసాలా క్రిస్పీ పఫ్స్")</f>
        <v>హల్దీరామ్ యొక్క ఖరీ మసాలా క్రిస్పీ పఫ్స్</v>
      </c>
      <c r="C1289" s="4" t="str">
        <f>IFERROR(__xludf.DUMMYFUNCTION("GOOGLETRANSLATE(A1289, ""en"", ""hi"")"),"हल्दीराम की खरी मसाला क्रिस्पी पफ्स")</f>
        <v>हल्दीराम की खरी मसाला क्रिस्पी पफ्स</v>
      </c>
      <c r="D1289" s="5"/>
      <c r="E1289" s="2" t="s">
        <v>1294</v>
      </c>
      <c r="F1289" s="1">
        <v>3.0</v>
      </c>
      <c r="G1289" s="3" t="s">
        <v>4933</v>
      </c>
    </row>
    <row r="1290">
      <c r="A1290" s="3" t="s">
        <v>7190</v>
      </c>
      <c r="B1290" s="4" t="str">
        <f>IFERROR(__xludf.DUMMYFUNCTION("GOOGLETRANSLATE(A1290, ""en"", ""te"")"),"హల్దీరామ్స్ ఖారీ క్లాసిక్")</f>
        <v>హల్దీరామ్స్ ఖారీ క్లాసిక్</v>
      </c>
      <c r="C1290" s="4" t="str">
        <f>IFERROR(__xludf.DUMMYFUNCTION("GOOGLETRANSLATE(A1290, ""en"", ""hi"")"),"हल्दीराम की खारी क्लासिक")</f>
        <v>हल्दीराम की खारी क्लासिक</v>
      </c>
      <c r="D1290" s="2" t="s">
        <v>7160</v>
      </c>
      <c r="E1290" s="2" t="s">
        <v>1294</v>
      </c>
      <c r="F1290" s="1">
        <v>3.0</v>
      </c>
      <c r="G1290" s="3" t="s">
        <v>4933</v>
      </c>
    </row>
    <row r="1291">
      <c r="A1291" s="3" t="s">
        <v>7191</v>
      </c>
      <c r="B1291" s="4" t="str">
        <f>IFERROR(__xludf.DUMMYFUNCTION("GOOGLETRANSLATE(A1291, ""en"", ""te"")"),"హల్దీరామ్ ఖారి")</f>
        <v>హల్దీరామ్ ఖారి</v>
      </c>
      <c r="C1291" s="4" t="str">
        <f>IFERROR(__xludf.DUMMYFUNCTION("GOOGLETRANSLATE(A1291, ""en"", ""hi"")"),"हल्दीराम की खारी")</f>
        <v>हल्दीराम की खारी</v>
      </c>
      <c r="D1291" s="2" t="s">
        <v>7160</v>
      </c>
      <c r="E1291" s="2" t="s">
        <v>1294</v>
      </c>
      <c r="F1291" s="1">
        <v>3.0</v>
      </c>
      <c r="G1291" s="3" t="s">
        <v>4933</v>
      </c>
    </row>
    <row r="1292">
      <c r="A1292" s="3" t="s">
        <v>7175</v>
      </c>
      <c r="B1292" s="4" t="str">
        <f>IFERROR(__xludf.DUMMYFUNCTION("GOOGLETRANSLATE(A1292, ""en"", ""te"")"),"లోట్టే చోకో పై")</f>
        <v>లోట్టే చోకో పై</v>
      </c>
      <c r="C1292" s="4" t="str">
        <f>IFERROR(__xludf.DUMMYFUNCTION("GOOGLETRANSLATE(A1292, ""en"", ""hi"")"),"लोटे चोको पाई")</f>
        <v>लोटे चोको पाई</v>
      </c>
      <c r="D1292" s="2" t="s">
        <v>7083</v>
      </c>
      <c r="E1292" s="2" t="s">
        <v>4100</v>
      </c>
      <c r="F1292" s="1">
        <v>3.0</v>
      </c>
      <c r="G1292" s="3" t="s">
        <v>418</v>
      </c>
    </row>
    <row r="1293">
      <c r="A1293" s="3" t="s">
        <v>7192</v>
      </c>
      <c r="B1293" s="4" t="str">
        <f>IFERROR(__xludf.DUMMYFUNCTION("GOOGLETRANSLATE(A1293, ""en"", ""te"")"),"బెల్లం పిండి బిస్కెట్")</f>
        <v>బెల్లం పిండి బిస్కెట్</v>
      </c>
      <c r="C1293" s="4" t="str">
        <f>IFERROR(__xludf.DUMMYFUNCTION("GOOGLETRANSLATE(A1293, ""en"", ""hi"")"),"गुड़ आटा बिस्कुट")</f>
        <v>गुड़ आटा बिस्कुट</v>
      </c>
      <c r="D1293" s="5"/>
      <c r="E1293" s="2" t="s">
        <v>4100</v>
      </c>
      <c r="F1293" s="1">
        <v>3.0</v>
      </c>
      <c r="G1293" s="3" t="s">
        <v>4419</v>
      </c>
    </row>
    <row r="1294">
      <c r="A1294" s="3" t="s">
        <v>7193</v>
      </c>
      <c r="B1294" s="4" t="str">
        <f>IFERROR(__xludf.DUMMYFUNCTION("GOOGLETRANSLATE(A1294, ""en"", ""te"")"),"బ్రిటానియా డైజెస్టివ్ బిస్కెట్లు")</f>
        <v>బ్రిటానియా డైజెస్టివ్ బిస్కెట్లు</v>
      </c>
      <c r="C1294" s="4" t="str">
        <f>IFERROR(__xludf.DUMMYFUNCTION("GOOGLETRANSLATE(A1294, ""en"", ""hi"")"),"ब्रिटानिया डाइजेस्टिव बिस्कुट")</f>
        <v>ब्रिटानिया डाइजेस्टिव बिस्कुट</v>
      </c>
      <c r="D1294" s="2" t="s">
        <v>7057</v>
      </c>
      <c r="E1294" s="2" t="s">
        <v>4100</v>
      </c>
      <c r="F1294" s="1">
        <v>3.0</v>
      </c>
      <c r="G1294" s="3" t="s">
        <v>437</v>
      </c>
    </row>
    <row r="1295">
      <c r="A1295" s="3" t="s">
        <v>7194</v>
      </c>
      <c r="B1295" s="4" t="str">
        <f>IFERROR(__xludf.DUMMYFUNCTION("GOOGLETRANSLATE(A1295, ""en"", ""te"")"),"బ్రిటానియా గుడ్ డే పిస్తా-బాదం కుకీలు")</f>
        <v>బ్రిటానియా గుడ్ డే పిస్తా-బాదం కుకీలు</v>
      </c>
      <c r="C1295" s="4" t="str">
        <f>IFERROR(__xludf.DUMMYFUNCTION("GOOGLETRANSLATE(A1295, ""en"", ""hi"")"),"ब्रिटानिया गुड डे पिस्ता-बादाम कुकीज़")</f>
        <v>ब्रिटानिया गुड डे पिस्ता-बादाम कुकीज़</v>
      </c>
      <c r="D1295" s="2" t="s">
        <v>7195</v>
      </c>
      <c r="E1295" s="2" t="s">
        <v>4100</v>
      </c>
      <c r="F1295" s="1">
        <v>3.0</v>
      </c>
      <c r="G1295" s="3" t="s">
        <v>446</v>
      </c>
    </row>
    <row r="1296">
      <c r="A1296" s="3" t="s">
        <v>7153</v>
      </c>
      <c r="B1296" s="4" t="str">
        <f>IFERROR(__xludf.DUMMYFUNCTION("GOOGLETRANSLATE(A1296, ""en"", ""te"")"),"పార్లే మొనాకో బిస్కెట్లు")</f>
        <v>పార్లే మొనాకో బిస్కెట్లు</v>
      </c>
      <c r="C1296" s="4" t="str">
        <f>IFERROR(__xludf.DUMMYFUNCTION("GOOGLETRANSLATE(A1296, ""en"", ""hi"")"),"पार्ले मोनाको बिस्कुट")</f>
        <v>पार्ले मोनाको बिस्कुट</v>
      </c>
      <c r="D1296" s="2" t="s">
        <v>7057</v>
      </c>
      <c r="E1296" s="2" t="s">
        <v>4100</v>
      </c>
      <c r="F1296" s="1">
        <v>3.0</v>
      </c>
      <c r="G1296" s="3" t="s">
        <v>4446</v>
      </c>
    </row>
    <row r="1297">
      <c r="A1297" s="3" t="s">
        <v>7196</v>
      </c>
      <c r="B1297" s="4" t="str">
        <f>IFERROR(__xludf.DUMMYFUNCTION("GOOGLETRANSLATE(A1297, ""en"", ""te"")"),"హల్దీరామ్ యొక్క టీ టైమ్ ఖరీ హోల్ జీరా క్రిస్పీ పఫ్స్")</f>
        <v>హల్దీరామ్ యొక్క టీ టైమ్ ఖరీ హోల్ జీరా క్రిస్పీ పఫ్స్</v>
      </c>
      <c r="C1297" s="4" t="str">
        <f>IFERROR(__xludf.DUMMYFUNCTION("GOOGLETRANSLATE(A1297, ""en"", ""hi"")"),"हल्दीराम की चाय के समय की खरी साबुत जीरा क्रिस्पी पफ्स")</f>
        <v>हल्दीराम की चाय के समय की खरी साबुत जीरा क्रिस्पी पफ्स</v>
      </c>
      <c r="D1297" s="2" t="s">
        <v>440</v>
      </c>
      <c r="E1297" s="2" t="s">
        <v>1294</v>
      </c>
      <c r="F1297" s="1">
        <v>3.0</v>
      </c>
      <c r="G1297" s="3" t="s">
        <v>350</v>
      </c>
    </row>
    <row r="1298">
      <c r="A1298" s="3" t="s">
        <v>7197</v>
      </c>
      <c r="B1298" s="4" t="str">
        <f>IFERROR(__xludf.DUMMYFUNCTION("GOOGLETRANSLATE(A1298, ""en"", ""te"")"),"హల్దీరామ్ యొక్క టీ టైమ్ ఖారీ మసాలా క్రిస్పీ పఫ్స్")</f>
        <v>హల్దీరామ్ యొక్క టీ టైమ్ ఖారీ మసాలా క్రిస్పీ పఫ్స్</v>
      </c>
      <c r="C1298" s="4" t="str">
        <f>IFERROR(__xludf.DUMMYFUNCTION("GOOGLETRANSLATE(A1298, ""en"", ""hi"")"),"हल्दीराम की चाय के समय की खरी मसाला क्रिस्पी पफ्स")</f>
        <v>हल्दीराम की चाय के समय की खरी मसाला क्रिस्पी पफ्स</v>
      </c>
      <c r="D1298" s="2" t="s">
        <v>4401</v>
      </c>
      <c r="E1298" s="2" t="s">
        <v>1294</v>
      </c>
      <c r="F1298" s="1">
        <v>3.0</v>
      </c>
      <c r="G1298" s="3" t="s">
        <v>350</v>
      </c>
    </row>
    <row r="1299">
      <c r="A1299" s="3" t="s">
        <v>7171</v>
      </c>
      <c r="B1299" s="4" t="str">
        <f>IFERROR(__xludf.DUMMYFUNCTION("GOOGLETRANSLATE(A1299, ""en"", ""te"")"),"హల్దీరామ్స్ క్లాసిక్ ఖారి")</f>
        <v>హల్దీరామ్స్ క్లాసిక్ ఖారి</v>
      </c>
      <c r="C1299" s="4" t="str">
        <f>IFERROR(__xludf.DUMMYFUNCTION("GOOGLETRANSLATE(A1299, ""en"", ""hi"")"),"हल्दीराम की क्लासिक खारी")</f>
        <v>हल्दीराम की क्लासिक खारी</v>
      </c>
      <c r="D1299" s="2" t="s">
        <v>7172</v>
      </c>
      <c r="E1299" s="2" t="s">
        <v>1294</v>
      </c>
      <c r="F1299" s="1">
        <v>3.0</v>
      </c>
      <c r="G1299" s="3" t="s">
        <v>350</v>
      </c>
    </row>
    <row r="1300">
      <c r="A1300" s="3" t="s">
        <v>7198</v>
      </c>
      <c r="B1300" s="4" t="str">
        <f>IFERROR(__xludf.DUMMYFUNCTION("GOOGLETRANSLATE(A1300, ""en"", ""te"")"),"జాబ్సన్ షాహి గజక్")</f>
        <v>జాబ్సన్ షాహి గజక్</v>
      </c>
      <c r="C1300" s="4" t="str">
        <f>IFERROR(__xludf.DUMMYFUNCTION("GOOGLETRANSLATE(A1300, ""en"", ""hi"")"),"जैब्सन का शाही गजक")</f>
        <v>जैब्सन का शाही गजक</v>
      </c>
      <c r="D1300" s="5"/>
      <c r="E1300" s="2" t="s">
        <v>3438</v>
      </c>
      <c r="F1300" s="1">
        <v>3.0</v>
      </c>
      <c r="G1300" s="3" t="s">
        <v>389</v>
      </c>
    </row>
    <row r="1301">
      <c r="A1301" s="3" t="s">
        <v>7199</v>
      </c>
      <c r="B1301" s="4" t="str">
        <f>IFERROR(__xludf.DUMMYFUNCTION("GOOGLETRANSLATE(A1301, ""en"", ""te"")"),"జాబ్సన్ యొక్క రకరకాల చిక్కీలు")</f>
        <v>జాబ్సన్ యొక్క రకరకాల చిక్కీలు</v>
      </c>
      <c r="C1301" s="4" t="str">
        <f>IFERROR(__xludf.DUMMYFUNCTION("GOOGLETRANSLATE(A1301, ""en"", ""hi"")"),"जैब्सन के मिश्रित चिक्की")</f>
        <v>जैब्सन के मिश्रित चिक्की</v>
      </c>
      <c r="D1301" s="2" t="s">
        <v>7200</v>
      </c>
      <c r="E1301" s="2" t="s">
        <v>1294</v>
      </c>
      <c r="F1301" s="1">
        <v>3.0</v>
      </c>
      <c r="G1301" s="3" t="s">
        <v>389</v>
      </c>
    </row>
    <row r="1302">
      <c r="A1302" s="3" t="s">
        <v>7173</v>
      </c>
      <c r="B1302" s="4" t="str">
        <f>IFERROR(__xludf.DUMMYFUNCTION("GOOGLETRANSLATE(A1302, ""en"", ""te"")"),"బికాజీ గుర్ రెవారి")</f>
        <v>బికాజీ గుర్ రెవారి</v>
      </c>
      <c r="C1302" s="4" t="str">
        <f>IFERROR(__xludf.DUMMYFUNCTION("GOOGLETRANSLATE(A1302, ""en"", ""hi"")"),"बिकाजी गुर रेवाड़ी")</f>
        <v>बिकाजी गुर रेवाड़ी</v>
      </c>
      <c r="D1302" s="2" t="s">
        <v>7174</v>
      </c>
      <c r="E1302" s="2" t="s">
        <v>3438</v>
      </c>
      <c r="F1302" s="1">
        <v>3.0</v>
      </c>
      <c r="G1302" s="3" t="s">
        <v>389</v>
      </c>
    </row>
    <row r="1303">
      <c r="A1303" s="3" t="s">
        <v>7201</v>
      </c>
      <c r="B1303" s="4" t="str">
        <f>IFERROR(__xludf.DUMMYFUNCTION("GOOGLETRANSLATE(A1303, ""en"", ""te"")"),"లోట్టే హ్యాపీ పై")</f>
        <v>లోట్టే హ్యాపీ పై</v>
      </c>
      <c r="C1303" s="4" t="str">
        <f>IFERROR(__xludf.DUMMYFUNCTION("GOOGLETRANSLATE(A1303, ""en"", ""hi"")"),"लोटे हैप्पी पाई")</f>
        <v>लोटे हैप्पी पाई</v>
      </c>
      <c r="D1303" s="5"/>
      <c r="E1303" s="2" t="s">
        <v>3438</v>
      </c>
      <c r="F1303" s="1">
        <v>3.0</v>
      </c>
      <c r="G1303" s="3" t="s">
        <v>418</v>
      </c>
    </row>
    <row r="1304">
      <c r="A1304" s="3" t="s">
        <v>7202</v>
      </c>
      <c r="B1304" s="4" t="str">
        <f>IFERROR(__xludf.DUMMYFUNCTION("GOOGLETRANSLATE(A1304, ""en"", ""te"")"),"హల్దీరామ్స్ అట్టా బిస్కెట్")</f>
        <v>హల్దీరామ్స్ అట్టా బిస్కెట్</v>
      </c>
      <c r="C1304" s="4" t="str">
        <f>IFERROR(__xludf.DUMMYFUNCTION("GOOGLETRANSLATE(A1304, ""en"", ""hi"")"),"हल्दीराम का आटा बिस्किट")</f>
        <v>हल्दीराम का आटा बिस्किट</v>
      </c>
      <c r="D1304" s="2" t="s">
        <v>7203</v>
      </c>
      <c r="E1304" s="2" t="s">
        <v>4100</v>
      </c>
      <c r="F1304" s="1">
        <v>3.0</v>
      </c>
      <c r="G1304" s="3" t="s">
        <v>418</v>
      </c>
    </row>
    <row r="1305">
      <c r="A1305" s="3" t="s">
        <v>7169</v>
      </c>
      <c r="B1305" s="4" t="str">
        <f>IFERROR(__xludf.DUMMYFUNCTION("GOOGLETRANSLATE(A1305, ""en"", ""te"")"),"బ్రిటానియా గుడ్ డే జీడిపప్పు కుకీలు")</f>
        <v>బ్రిటానియా గుడ్ డే జీడిపప్పు కుకీలు</v>
      </c>
      <c r="C1305" s="4" t="str">
        <f>IFERROR(__xludf.DUMMYFUNCTION("GOOGLETRANSLATE(A1305, ""en"", ""hi"")"),"ब्रिटानिया गुड डे काजू कुकीज़")</f>
        <v>ब्रिटानिया गुड डे काजू कुकीज़</v>
      </c>
      <c r="D1305" s="2" t="s">
        <v>7088</v>
      </c>
      <c r="E1305" s="2" t="s">
        <v>4100</v>
      </c>
      <c r="F1305" s="1">
        <v>3.0</v>
      </c>
      <c r="G1305" s="3" t="s">
        <v>437</v>
      </c>
    </row>
    <row r="1306">
      <c r="A1306" s="3" t="s">
        <v>7204</v>
      </c>
      <c r="B1306" s="4" t="str">
        <f>IFERROR(__xludf.DUMMYFUNCTION("GOOGLETRANSLATE(A1306, ""en"", ""te"")"),"మెక్‌విటీస్ డైజెస్టివ్స్ ఒరిజినల్")</f>
        <v>మెక్‌విటీస్ డైజెస్టివ్స్ ఒరిజినల్</v>
      </c>
      <c r="C1306" s="4" t="str">
        <f>IFERROR(__xludf.DUMMYFUNCTION("GOOGLETRANSLATE(A1306, ""en"", ""hi"")"),"मैकविटिज डाइजेस्टिव ओरिजिनल")</f>
        <v>मैकविटिज डाइजेस्टिव ओरिजिनल</v>
      </c>
      <c r="D1306" s="2" t="s">
        <v>7168</v>
      </c>
      <c r="E1306" s="2" t="s">
        <v>4100</v>
      </c>
      <c r="F1306" s="1">
        <v>3.0</v>
      </c>
      <c r="G1306" s="3" t="s">
        <v>437</v>
      </c>
    </row>
    <row r="1307">
      <c r="A1307" s="3" t="s">
        <v>7205</v>
      </c>
      <c r="B1307" s="4" t="str">
        <f>IFERROR(__xludf.DUMMYFUNCTION("GOOGLETRANSLATE(A1307, ""en"", ""te"")"),"బ్రిటానియా స్వీట్ &amp; సాల్టీ బిస్కెట్లు")</f>
        <v>బ్రిటానియా స్వీట్ &amp; సాల్టీ బిస్కెట్లు</v>
      </c>
      <c r="C1307" s="4" t="str">
        <f>IFERROR(__xludf.DUMMYFUNCTION("GOOGLETRANSLATE(A1307, ""en"", ""hi"")"),"ब्रिटानिया मीठे और नमकीन बिस्कुट")</f>
        <v>ब्रिटानिया मीठे और नमकीन बिस्कुट</v>
      </c>
      <c r="D1307" s="2" t="s">
        <v>7055</v>
      </c>
      <c r="E1307" s="2" t="s">
        <v>4100</v>
      </c>
      <c r="F1307" s="1">
        <v>3.0</v>
      </c>
      <c r="G1307" s="3" t="s">
        <v>446</v>
      </c>
    </row>
    <row r="1308">
      <c r="A1308" s="3" t="s">
        <v>7206</v>
      </c>
      <c r="B1308" s="4" t="str">
        <f>IFERROR(__xludf.DUMMYFUNCTION("GOOGLETRANSLATE(A1308, ""en"", ""te"")"),"బ్రిటానియా 50-50 మాస్కా చాస్కా")</f>
        <v>బ్రిటానియా 50-50 మాస్కా చాస్కా</v>
      </c>
      <c r="C1308" s="4" t="str">
        <f>IFERROR(__xludf.DUMMYFUNCTION("GOOGLETRANSLATE(A1308, ""en"", ""hi"")"),"ब्रिटानिया 50-50 मस्का चस्का")</f>
        <v>ब्रिटानिया 50-50 मस्का चस्का</v>
      </c>
      <c r="D1308" s="2" t="s">
        <v>7207</v>
      </c>
      <c r="E1308" s="2" t="s">
        <v>4100</v>
      </c>
      <c r="F1308" s="1">
        <v>3.0</v>
      </c>
      <c r="G1308" s="3" t="s">
        <v>446</v>
      </c>
    </row>
    <row r="1309">
      <c r="A1309" s="3" t="s">
        <v>7208</v>
      </c>
      <c r="B1309" s="4" t="str">
        <f>IFERROR(__xludf.DUMMYFUNCTION("GOOGLETRANSLATE(A1309, ""en"", ""te"")"),"బ్రిటానియా నైస్ టైమ్ కొబ్బరి బిస్కెట్లు")</f>
        <v>బ్రిటానియా నైస్ టైమ్ కొబ్బరి బిస్కెట్లు</v>
      </c>
      <c r="C1309" s="4" t="str">
        <f>IFERROR(__xludf.DUMMYFUNCTION("GOOGLETRANSLATE(A1309, ""en"", ""hi"")"),"ब्रिटानिया नाइस टाइम नारियल बिस्कुट")</f>
        <v>ब्रिटानिया नाइस टाइम नारियल बिस्कुट</v>
      </c>
      <c r="D1309" s="2" t="s">
        <v>7209</v>
      </c>
      <c r="E1309" s="2" t="s">
        <v>4100</v>
      </c>
      <c r="F1309" s="1">
        <v>3.0</v>
      </c>
      <c r="G1309" s="3" t="s">
        <v>446</v>
      </c>
    </row>
    <row r="1310">
      <c r="A1310" s="3" t="s">
        <v>7210</v>
      </c>
      <c r="B1310" s="4" t="str">
        <f>IFERROR(__xludf.DUMMYFUNCTION("GOOGLETRANSLATE(A1310, ""en"", ""te"")"),"బ్రిటానియా గుడ్ డే పిస్తా బాదం కుకీలు")</f>
        <v>బ్రిటానియా గుడ్ డే పిస్తా బాదం కుకీలు</v>
      </c>
      <c r="C1310" s="4" t="str">
        <f>IFERROR(__xludf.DUMMYFUNCTION("GOOGLETRANSLATE(A1310, ""en"", ""hi"")"),"ब्रिटानिया गुड डे पिस्ता बादाम कुकीज़")</f>
        <v>ब्रिटानिया गुड डे पिस्ता बादाम कुकीज़</v>
      </c>
      <c r="D1310" s="2" t="s">
        <v>7195</v>
      </c>
      <c r="E1310" s="2" t="s">
        <v>4100</v>
      </c>
      <c r="F1310" s="1">
        <v>3.0</v>
      </c>
      <c r="G1310" s="3" t="s">
        <v>446</v>
      </c>
    </row>
    <row r="1311">
      <c r="A1311" s="3" t="s">
        <v>1493</v>
      </c>
      <c r="B1311" s="4" t="str">
        <f>IFERROR(__xludf.DUMMYFUNCTION("GOOGLETRANSLATE(A1311, ""en"", ""te"")"),"బ్రిటానియా గుడ్ డే బటర్ కుకీస్")</f>
        <v>బ్రిటానియా గుడ్ డే బటర్ కుకీస్</v>
      </c>
      <c r="C1311" s="4" t="str">
        <f>IFERROR(__xludf.DUMMYFUNCTION("GOOGLETRANSLATE(A1311, ""en"", ""hi"")"),"ब्रिटानिया गुड डे बटर कुकीज़")</f>
        <v>ब्रिटानिया गुड डे बटर कुकीज़</v>
      </c>
      <c r="D1311" s="2" t="s">
        <v>7211</v>
      </c>
      <c r="E1311" s="2" t="s">
        <v>4100</v>
      </c>
      <c r="F1311" s="1">
        <v>3.0</v>
      </c>
      <c r="G1311" s="3" t="s">
        <v>446</v>
      </c>
    </row>
    <row r="1312">
      <c r="A1312" s="3" t="s">
        <v>7212</v>
      </c>
      <c r="B1312" s="4" t="str">
        <f>IFERROR(__xludf.DUMMYFUNCTION("GOOGLETRANSLATE(A1312, ""en"", ""te"")"),"బ్రిటానియా 50-50 పొటాజోస్")</f>
        <v>బ్రిటానియా 50-50 పొటాజోస్</v>
      </c>
      <c r="C1312" s="4" t="str">
        <f>IFERROR(__xludf.DUMMYFUNCTION("GOOGLETRANSLATE(A1312, ""en"", ""hi"")"),"ब्रिटानिया 50-50 पोटाज़ोस")</f>
        <v>ब्रिटानिया 50-50 पोटाज़ोस</v>
      </c>
      <c r="D1312" s="5"/>
      <c r="E1312" s="2" t="s">
        <v>4100</v>
      </c>
      <c r="F1312" s="1">
        <v>3.0</v>
      </c>
      <c r="G1312" s="3" t="s">
        <v>492</v>
      </c>
    </row>
    <row r="1313">
      <c r="A1313" s="3" t="s">
        <v>7213</v>
      </c>
      <c r="B1313" s="4" t="str">
        <f>IFERROR(__xludf.DUMMYFUNCTION("GOOGLETRANSLATE(A1313, ""en"", ""te"")"),"బ్రిటానియా 50-50 క్రాకర్స్")</f>
        <v>బ్రిటానియా 50-50 క్రాకర్స్</v>
      </c>
      <c r="C1313" s="4" t="str">
        <f>IFERROR(__xludf.DUMMYFUNCTION("GOOGLETRANSLATE(A1313, ""en"", ""hi"")"),"ब्रिटानिया 50-50 क्रैकर्स")</f>
        <v>ब्रिटानिया 50-50 क्रैकर्स</v>
      </c>
      <c r="D1313" s="5"/>
      <c r="E1313" s="2" t="s">
        <v>4100</v>
      </c>
      <c r="F1313" s="1">
        <v>3.0</v>
      </c>
      <c r="G1313" s="3" t="s">
        <v>492</v>
      </c>
    </row>
    <row r="1314">
      <c r="A1314" s="3" t="s">
        <v>7214</v>
      </c>
      <c r="B1314" s="4" t="str">
        <f>IFERROR(__xludf.DUMMYFUNCTION("GOOGLETRANSLATE(A1314, ""en"", ""te"")"),"దీప్ ఖారీ మసాలా")</f>
        <v>దీప్ ఖారీ మసాలా</v>
      </c>
      <c r="C1314" s="4" t="str">
        <f>IFERROR(__xludf.DUMMYFUNCTION("GOOGLETRANSLATE(A1314, ""en"", ""hi"")"),"दीप खारी मसाला")</f>
        <v>दीप खारी मसाला</v>
      </c>
      <c r="D1314" s="2" t="s">
        <v>1655</v>
      </c>
      <c r="E1314" s="2" t="s">
        <v>442</v>
      </c>
      <c r="F1314" s="1">
        <v>3.0</v>
      </c>
      <c r="G1314" s="3" t="s">
        <v>350</v>
      </c>
    </row>
    <row r="1315">
      <c r="A1315" s="3" t="s">
        <v>7215</v>
      </c>
      <c r="B1315" s="4" t="str">
        <f>IFERROR(__xludf.DUMMYFUNCTION("GOOGLETRANSLATE(A1315, ""en"", ""te"")"),"హల్దీరామ్ యొక్క టీ టైమ్ ఖరీ జీరా క్రిస్పీ పఫ్స్")</f>
        <v>హల్దీరామ్ యొక్క టీ టైమ్ ఖరీ జీరా క్రిస్పీ పఫ్స్</v>
      </c>
      <c r="C1315" s="4" t="str">
        <f>IFERROR(__xludf.DUMMYFUNCTION("GOOGLETRANSLATE(A1315, ""en"", ""hi"")"),"हल्दीराम की चाय के समय खरी जीरा क्रिस्पी पफ्स")</f>
        <v>हल्दीराम की चाय के समय खरी जीरा क्रिस्पी पफ्स</v>
      </c>
      <c r="D1315" s="2" t="s">
        <v>4449</v>
      </c>
      <c r="E1315" s="2" t="s">
        <v>1294</v>
      </c>
      <c r="F1315" s="1">
        <v>3.0</v>
      </c>
      <c r="G1315" s="3" t="s">
        <v>350</v>
      </c>
    </row>
    <row r="1316">
      <c r="A1316" s="3" t="s">
        <v>7191</v>
      </c>
      <c r="B1316" s="4" t="str">
        <f>IFERROR(__xludf.DUMMYFUNCTION("GOOGLETRANSLATE(A1316, ""en"", ""te"")"),"హల్దీరామ్ ఖారి")</f>
        <v>హల్దీరామ్ ఖారి</v>
      </c>
      <c r="C1316" s="4" t="str">
        <f>IFERROR(__xludf.DUMMYFUNCTION("GOOGLETRANSLATE(A1316, ""en"", ""hi"")"),"हल्दीराम की खारी")</f>
        <v>हल्दीराम की खारी</v>
      </c>
      <c r="D1316" s="2" t="s">
        <v>7160</v>
      </c>
      <c r="E1316" s="2" t="s">
        <v>1294</v>
      </c>
      <c r="F1316" s="1">
        <v>3.0</v>
      </c>
      <c r="G1316" s="3" t="s">
        <v>350</v>
      </c>
    </row>
    <row r="1317">
      <c r="A1317" s="3" t="s">
        <v>7216</v>
      </c>
      <c r="B1317" s="4" t="str">
        <f>IFERROR(__xludf.DUMMYFUNCTION("GOOGLETRANSLATE(A1317, ""en"", ""te"")"),"బికానో పాటిసా")</f>
        <v>బికానో పాటిసా</v>
      </c>
      <c r="C1317" s="4" t="str">
        <f>IFERROR(__xludf.DUMMYFUNCTION("GOOGLETRANSLATE(A1317, ""en"", ""hi"")"),"बिकानो पटिसा")</f>
        <v>बिकानो पटिसा</v>
      </c>
      <c r="D1317" s="5"/>
      <c r="E1317" s="2" t="s">
        <v>3438</v>
      </c>
      <c r="F1317" s="1">
        <v>3.0</v>
      </c>
      <c r="G1317" s="3" t="s">
        <v>389</v>
      </c>
    </row>
    <row r="1318">
      <c r="A1318" s="3" t="s">
        <v>7217</v>
      </c>
      <c r="B1318" s="4" t="str">
        <f>IFERROR(__xludf.DUMMYFUNCTION("GOOGLETRANSLATE(A1318, ""en"", ""te"")"),"జాబ్సన్స్ గజక్ రోల్")</f>
        <v>జాబ్సన్స్ గజక్ రోల్</v>
      </c>
      <c r="C1318" s="4" t="str">
        <f>IFERROR(__xludf.DUMMYFUNCTION("GOOGLETRANSLATE(A1318, ""en"", ""hi"")"),"जैब्सन्स गजक रोल")</f>
        <v>जैब्सन्स गजक रोल</v>
      </c>
      <c r="D1318" s="5"/>
      <c r="E1318" s="2" t="s">
        <v>3438</v>
      </c>
      <c r="F1318" s="1">
        <v>3.0</v>
      </c>
      <c r="G1318" s="3" t="s">
        <v>389</v>
      </c>
    </row>
    <row r="1319">
      <c r="A1319" s="3" t="s">
        <v>7218</v>
      </c>
      <c r="B1319" s="4" t="str">
        <f>IFERROR(__xludf.DUMMYFUNCTION("GOOGLETRANSLATE(A1319, ""en"", ""te"")"),"హల్దీరామ్స్ చిక్కీ")</f>
        <v>హల్దీరామ్స్ చిక్కీ</v>
      </c>
      <c r="C1319" s="4" t="str">
        <f>IFERROR(__xludf.DUMMYFUNCTION("GOOGLETRANSLATE(A1319, ""en"", ""hi"")"),"हल्दीराम की चिक्की")</f>
        <v>हल्दीराम की चिक्की</v>
      </c>
      <c r="D1319" s="5"/>
      <c r="E1319" s="2" t="s">
        <v>3438</v>
      </c>
      <c r="F1319" s="1">
        <v>3.0</v>
      </c>
      <c r="G1319" s="3" t="s">
        <v>389</v>
      </c>
    </row>
    <row r="1320">
      <c r="A1320" s="3" t="s">
        <v>1488</v>
      </c>
      <c r="B1320" s="4" t="str">
        <f>IFERROR(__xludf.DUMMYFUNCTION("GOOGLETRANSLATE(A1320, ""en"", ""te"")"),"బ్రిటానియా గుడ్ డే బట్టర్")</f>
        <v>బ్రిటానియా గుడ్ డే బట్టర్</v>
      </c>
      <c r="C1320" s="4" t="str">
        <f>IFERROR(__xludf.DUMMYFUNCTION("GOOGLETRANSLATE(A1320, ""en"", ""hi"")"),"ब्रिटानिया गुड डे बटर")</f>
        <v>ब्रिटानिया गुड डे बटर</v>
      </c>
      <c r="D1320" s="2" t="s">
        <v>7219</v>
      </c>
      <c r="E1320" s="2" t="s">
        <v>4100</v>
      </c>
      <c r="F1320" s="1">
        <v>3.0</v>
      </c>
      <c r="G1320" s="3" t="s">
        <v>437</v>
      </c>
    </row>
    <row r="1321">
      <c r="A1321" s="3" t="s">
        <v>7220</v>
      </c>
      <c r="B1321" s="4" t="str">
        <f>IFERROR(__xludf.DUMMYFUNCTION("GOOGLETRANSLATE(A1321, ""en"", ""te"")"),"బ్రిటానియా డైజెస్టివ్స్")</f>
        <v>బ్రిటానియా డైజెస్టివ్స్</v>
      </c>
      <c r="C1321" s="4" t="str">
        <f>IFERROR(__xludf.DUMMYFUNCTION("GOOGLETRANSLATE(A1321, ""en"", ""hi"")"),"ब्रिटानिया डाइजेस्टिव")</f>
        <v>ब्रिटानिया डाइजेस्टिव</v>
      </c>
      <c r="D1321" s="2" t="s">
        <v>7168</v>
      </c>
      <c r="E1321" s="2" t="s">
        <v>4100</v>
      </c>
      <c r="F1321" s="1">
        <v>3.0</v>
      </c>
      <c r="G1321" s="3" t="s">
        <v>437</v>
      </c>
    </row>
    <row r="1322">
      <c r="A1322" s="3" t="s">
        <v>7221</v>
      </c>
      <c r="B1322" s="4" t="str">
        <f>IFERROR(__xludf.DUMMYFUNCTION("GOOGLETRANSLATE(A1322, ""en"", ""te"")"),"బ్రిటానియా టైగర్ బిస్కెట్")</f>
        <v>బ్రిటానియా టైగర్ బిస్కెట్</v>
      </c>
      <c r="C1322" s="4" t="str">
        <f>IFERROR(__xludf.DUMMYFUNCTION("GOOGLETRANSLATE(A1322, ""en"", ""hi"")"),"ब्रिटानिया टाइगर बिस्कुट")</f>
        <v>ब्रिटानिया टाइगर बिस्कुट</v>
      </c>
      <c r="D1322" s="2" t="s">
        <v>7057</v>
      </c>
      <c r="E1322" s="2" t="s">
        <v>4100</v>
      </c>
      <c r="F1322" s="1">
        <v>3.0</v>
      </c>
      <c r="G1322" s="3" t="s">
        <v>446</v>
      </c>
    </row>
    <row r="1323">
      <c r="A1323" s="3" t="s">
        <v>7222</v>
      </c>
      <c r="B1323" s="4" t="str">
        <f>IFERROR(__xludf.DUMMYFUNCTION("GOOGLETRANSLATE(A1323, ""en"", ""te"")"),"బ్రిటానియా జిమ్ జామ్")</f>
        <v>బ్రిటానియా జిమ్ జామ్</v>
      </c>
      <c r="C1323" s="4" t="str">
        <f>IFERROR(__xludf.DUMMYFUNCTION("GOOGLETRANSLATE(A1323, ""en"", ""hi"")"),"ब्रिटानिया जिम जैम")</f>
        <v>ब्रिटानिया जिम जैम</v>
      </c>
      <c r="D1323" s="5"/>
      <c r="E1323" s="2" t="s">
        <v>4100</v>
      </c>
      <c r="F1323" s="1">
        <v>3.0</v>
      </c>
      <c r="G1323" s="3" t="s">
        <v>446</v>
      </c>
    </row>
    <row r="1324">
      <c r="A1324" s="3" t="s">
        <v>7223</v>
      </c>
      <c r="B1324" s="4" t="str">
        <f>IFERROR(__xludf.DUMMYFUNCTION("GOOGLETRANSLATE(A1324, ""en"", ""te"")"),"బ్రిటానియా 50-50 స్వీట్ &amp; సాల్టీ")</f>
        <v>బ్రిటానియా 50-50 స్వీట్ &amp; సాల్టీ</v>
      </c>
      <c r="C1324" s="4" t="str">
        <f>IFERROR(__xludf.DUMMYFUNCTION("GOOGLETRANSLATE(A1324, ""en"", ""hi"")"),"ब्रिटानिया 50-50 मीठा और नमकीन")</f>
        <v>ब्रिटानिया 50-50 मीठा और नमकीन</v>
      </c>
      <c r="D1324" s="2" t="s">
        <v>7224</v>
      </c>
      <c r="E1324" s="2" t="s">
        <v>4100</v>
      </c>
      <c r="F1324" s="1">
        <v>3.0</v>
      </c>
      <c r="G1324" s="3" t="s">
        <v>446</v>
      </c>
    </row>
    <row r="1325">
      <c r="A1325" s="3" t="s">
        <v>7225</v>
      </c>
      <c r="B1325" s="4" t="str">
        <f>IFERROR(__xludf.DUMMYFUNCTION("GOOGLETRANSLATE(A1325, ""en"", ""te"")"),"బ్రిటానియా గుడ్ డే పిస్తా బాదం")</f>
        <v>బ్రిటానియా గుడ్ డే పిస్తా బాదం</v>
      </c>
      <c r="C1325" s="4" t="str">
        <f>IFERROR(__xludf.DUMMYFUNCTION("GOOGLETRANSLATE(A1325, ""en"", ""hi"")"),"ब्रिटानिया गुड डे पिस्ता बादाम")</f>
        <v>ब्रिटानिया गुड डे पिस्ता बादाम</v>
      </c>
      <c r="D1325" s="2" t="s">
        <v>7184</v>
      </c>
      <c r="E1325" s="2" t="s">
        <v>4100</v>
      </c>
      <c r="F1325" s="1">
        <v>3.0</v>
      </c>
      <c r="G1325" s="3" t="s">
        <v>446</v>
      </c>
    </row>
    <row r="1326">
      <c r="A1326" s="3" t="s">
        <v>7214</v>
      </c>
      <c r="B1326" s="4" t="str">
        <f>IFERROR(__xludf.DUMMYFUNCTION("GOOGLETRANSLATE(A1326, ""en"", ""te"")"),"దీప్ ఖారీ మసాలా")</f>
        <v>దీప్ ఖారీ మసాలా</v>
      </c>
      <c r="C1326" s="4" t="str">
        <f>IFERROR(__xludf.DUMMYFUNCTION("GOOGLETRANSLATE(A1326, ""en"", ""hi"")"),"दीप खारी मसाला")</f>
        <v>दीप खारी मसाला</v>
      </c>
      <c r="D1326" s="2" t="s">
        <v>1655</v>
      </c>
      <c r="E1326" s="2" t="s">
        <v>442</v>
      </c>
      <c r="F1326" s="1">
        <v>3.0</v>
      </c>
      <c r="G1326" s="3" t="s">
        <v>508</v>
      </c>
    </row>
    <row r="1327">
      <c r="A1327" s="3" t="s">
        <v>2543</v>
      </c>
      <c r="B1327" s="4" t="str">
        <f>IFERROR(__xludf.DUMMYFUNCTION("GOOGLETRANSLATE(A1327, ""en"", ""te"")"),"దీప్ ఖరి జీరా")</f>
        <v>దీప్ ఖరి జీరా</v>
      </c>
      <c r="C1327" s="4" t="str">
        <f>IFERROR(__xludf.DUMMYFUNCTION("GOOGLETRANSLATE(A1327, ""en"", ""hi"")"),"दीप खारी जीरा")</f>
        <v>दीप खारी जीरा</v>
      </c>
      <c r="D1327" s="2" t="s">
        <v>7226</v>
      </c>
      <c r="E1327" s="2" t="s">
        <v>1294</v>
      </c>
      <c r="F1327" s="1">
        <v>3.0</v>
      </c>
      <c r="G1327" s="3" t="s">
        <v>508</v>
      </c>
    </row>
    <row r="1328">
      <c r="A1328" s="3" t="s">
        <v>7227</v>
      </c>
      <c r="B1328" s="4" t="str">
        <f>IFERROR(__xludf.DUMMYFUNCTION("GOOGLETRANSLATE(A1328, ""en"", ""te"")"),"హల్దీరామ్ యొక్క టీ టైమ్ ఖరీ జీరా")</f>
        <v>హల్దీరామ్ యొక్క టీ టైమ్ ఖరీ జీరా</v>
      </c>
      <c r="C1328" s="4" t="str">
        <f>IFERROR(__xludf.DUMMYFUNCTION("GOOGLETRANSLATE(A1328, ""en"", ""hi"")"),"हल्दीराम टी टाइम खरी जीरा")</f>
        <v>हल्दीराम टी टाइम खरी जीरा</v>
      </c>
      <c r="D1328" s="2" t="s">
        <v>7226</v>
      </c>
      <c r="E1328" s="2" t="s">
        <v>1294</v>
      </c>
      <c r="F1328" s="1">
        <v>3.0</v>
      </c>
      <c r="G1328" s="3" t="s">
        <v>508</v>
      </c>
    </row>
    <row r="1329">
      <c r="A1329" s="3" t="s">
        <v>7228</v>
      </c>
      <c r="B1329" s="4" t="str">
        <f>IFERROR(__xludf.DUMMYFUNCTION("GOOGLETRANSLATE(A1329, ""en"", ""te"")"),"హల్దీరామ్స్ ఖారీ మసాలా")</f>
        <v>హల్దీరామ్స్ ఖారీ మసాలా</v>
      </c>
      <c r="C1329" s="4" t="str">
        <f>IFERROR(__xludf.DUMMYFUNCTION("GOOGLETRANSLATE(A1329, ""en"", ""hi"")"),"हल्दीराम का खारी मसाला")</f>
        <v>हल्दीराम का खारी मसाला</v>
      </c>
      <c r="D1329" s="2" t="s">
        <v>1655</v>
      </c>
      <c r="E1329" s="2" t="s">
        <v>442</v>
      </c>
      <c r="F1329" s="1">
        <v>3.0</v>
      </c>
      <c r="G1329" s="3" t="s">
        <v>508</v>
      </c>
    </row>
    <row r="1330">
      <c r="A1330" s="3" t="s">
        <v>7229</v>
      </c>
      <c r="B1330" s="4" t="str">
        <f>IFERROR(__xludf.DUMMYFUNCTION("GOOGLETRANSLATE(A1330, ""en"", ""te"")"),"అంజీర్ డ్రై ఫ్రూట్")</f>
        <v>అంజీర్ డ్రై ఫ్రూట్</v>
      </c>
      <c r="C1330" s="4" t="str">
        <f>IFERROR(__xludf.DUMMYFUNCTION("GOOGLETRANSLATE(A1330, ""en"", ""hi"")"),"अंजीर सूखा मेवा")</f>
        <v>अंजीर सूखा मेवा</v>
      </c>
      <c r="D1330" s="5"/>
      <c r="E1330" s="2" t="s">
        <v>2700</v>
      </c>
      <c r="F1330" s="1">
        <v>3.0</v>
      </c>
      <c r="G1330" s="3" t="s">
        <v>518</v>
      </c>
    </row>
    <row r="1331">
      <c r="A1331" s="3" t="s">
        <v>7230</v>
      </c>
      <c r="B1331" s="4" t="str">
        <f>IFERROR(__xludf.DUMMYFUNCTION("GOOGLETRANSLATE(A1331, ""en"", ""te"")"),"ఖర్జూర డ్రై ఫ్రూట్")</f>
        <v>ఖర్జూర డ్రై ఫ్రూట్</v>
      </c>
      <c r="C1331" s="4" t="str">
        <f>IFERROR(__xludf.DUMMYFUNCTION("GOOGLETRANSLATE(A1331, ""en"", ""hi"")"),"खजूर सूखा मेवा")</f>
        <v>खजूर सूखा मेवा</v>
      </c>
      <c r="D1331" s="5"/>
      <c r="E1331" s="2" t="s">
        <v>2700</v>
      </c>
      <c r="F1331" s="1">
        <v>3.0</v>
      </c>
      <c r="G1331" s="3" t="s">
        <v>518</v>
      </c>
    </row>
    <row r="1332">
      <c r="A1332" s="3" t="s">
        <v>7216</v>
      </c>
      <c r="B1332" s="4" t="str">
        <f>IFERROR(__xludf.DUMMYFUNCTION("GOOGLETRANSLATE(A1332, ""en"", ""te"")"),"బికానో పాటిసా")</f>
        <v>బికానో పాటిసా</v>
      </c>
      <c r="C1332" s="4" t="str">
        <f>IFERROR(__xludf.DUMMYFUNCTION("GOOGLETRANSLATE(A1332, ""en"", ""hi"")"),"बिकानो पटिसा")</f>
        <v>बिकानो पटिसा</v>
      </c>
      <c r="D1332" s="5"/>
      <c r="E1332" s="2" t="s">
        <v>3438</v>
      </c>
      <c r="F1332" s="1">
        <v>3.0</v>
      </c>
      <c r="G1332" s="3" t="s">
        <v>518</v>
      </c>
    </row>
    <row r="1333">
      <c r="A1333" s="3" t="s">
        <v>7231</v>
      </c>
      <c r="B1333" s="4" t="str">
        <f>IFERROR(__xludf.DUMMYFUNCTION("GOOGLETRANSLATE(A1333, ""en"", ""te"")"),"జాబ్సన్స్ గజక్ గుడ్ కాజు రోల్")</f>
        <v>జాబ్సన్స్ గజక్ గుడ్ కాజు రోల్</v>
      </c>
      <c r="C1333" s="4" t="str">
        <f>IFERROR(__xludf.DUMMYFUNCTION("GOOGLETRANSLATE(A1333, ""en"", ""hi"")"),"जैब्सन्स गजक गुड काजू रोल")</f>
        <v>जैब्सन्स गजक गुड काजू रोल</v>
      </c>
      <c r="D1333" s="5"/>
      <c r="E1333" s="2" t="s">
        <v>3438</v>
      </c>
      <c r="F1333" s="1">
        <v>3.0</v>
      </c>
      <c r="G1333" s="3" t="s">
        <v>518</v>
      </c>
    </row>
    <row r="1334">
      <c r="A1334" s="3" t="s">
        <v>7232</v>
      </c>
      <c r="B1334" s="4" t="str">
        <f>IFERROR(__xludf.DUMMYFUNCTION("GOOGLETRANSLATE(A1334, ""en"", ""te"")"),"జాబ్సన్స్ చిక్కీస్")</f>
        <v>జాబ్సన్స్ చిక్కీస్</v>
      </c>
      <c r="C1334" s="4" t="str">
        <f>IFERROR(__xludf.DUMMYFUNCTION("GOOGLETRANSLATE(A1334, ""en"", ""hi"")"),"जैब्सन चिक्की")</f>
        <v>जैब्सन चिक्की</v>
      </c>
      <c r="D1334" s="5"/>
      <c r="E1334" s="2" t="s">
        <v>1294</v>
      </c>
      <c r="F1334" s="1">
        <v>3.0</v>
      </c>
      <c r="G1334" s="3" t="s">
        <v>518</v>
      </c>
    </row>
    <row r="1335">
      <c r="A1335" s="3" t="s">
        <v>7233</v>
      </c>
      <c r="B1335" s="4" t="str">
        <f>IFERROR(__xludf.DUMMYFUNCTION("GOOGLETRANSLATE(A1335, ""en"", ""te"")"),"హల్దీరామ్ యొక్క ముంచ్-ఓ-తంత్ర")</f>
        <v>హల్దీరామ్ యొక్క ముంచ్-ఓ-తంత్ర</v>
      </c>
      <c r="C1335" s="4" t="str">
        <f>IFERROR(__xludf.DUMMYFUNCTION("GOOGLETRANSLATE(A1335, ""en"", ""hi"")"),"हल्दिराम का मंच-ओ-तंत्र")</f>
        <v>हल्दिराम का मंच-ओ-तंत्र</v>
      </c>
      <c r="D1335" s="5"/>
      <c r="E1335" s="2" t="s">
        <v>1294</v>
      </c>
      <c r="F1335" s="1">
        <v>3.0</v>
      </c>
      <c r="G1335" s="3" t="s">
        <v>524</v>
      </c>
    </row>
    <row r="1336">
      <c r="A1336" s="3" t="s">
        <v>7112</v>
      </c>
      <c r="B1336" s="4" t="str">
        <f>IFERROR(__xludf.DUMMYFUNCTION("GOOGLETRANSLATE(A1336, ""en"", ""te"")"),"పార్లే హైడ్ &amp; సీక్ చాక్లెట్ చిప్ కుకీస్")</f>
        <v>పార్లే హైడ్ &amp; సీక్ చాక్లెట్ చిప్ కుకీస్</v>
      </c>
      <c r="C1336" s="4" t="str">
        <f>IFERROR(__xludf.DUMMYFUNCTION("GOOGLETRANSLATE(A1336, ""en"", ""hi"")"),"पार्ले हाइड एंड सीक चॉकलेट चिप कुकीज़")</f>
        <v>पार्ले हाइड एंड सीक चॉकलेट चिप कुकीज़</v>
      </c>
      <c r="D1336" s="2" t="s">
        <v>7105</v>
      </c>
      <c r="E1336" s="2" t="s">
        <v>4100</v>
      </c>
      <c r="F1336" s="1">
        <v>3.0</v>
      </c>
      <c r="G1336" s="3" t="s">
        <v>524</v>
      </c>
    </row>
    <row r="1337">
      <c r="A1337" s="3" t="s">
        <v>7175</v>
      </c>
      <c r="B1337" s="4" t="str">
        <f>IFERROR(__xludf.DUMMYFUNCTION("GOOGLETRANSLATE(A1337, ""en"", ""te"")"),"లోట్టే చోకో పై")</f>
        <v>లోట్టే చోకో పై</v>
      </c>
      <c r="C1337" s="4" t="str">
        <f>IFERROR(__xludf.DUMMYFUNCTION("GOOGLETRANSLATE(A1337, ""en"", ""hi"")"),"लोटे चोको पाई")</f>
        <v>लोटे चोको पाई</v>
      </c>
      <c r="D1337" s="2" t="s">
        <v>7083</v>
      </c>
      <c r="E1337" s="2" t="s">
        <v>4100</v>
      </c>
      <c r="F1337" s="1">
        <v>3.0</v>
      </c>
      <c r="G1337" s="3" t="s">
        <v>524</v>
      </c>
    </row>
    <row r="1338">
      <c r="A1338" s="3" t="s">
        <v>7234</v>
      </c>
      <c r="B1338" s="4" t="str">
        <f>IFERROR(__xludf.DUMMYFUNCTION("GOOGLETRANSLATE(A1338, ""en"", ""te"")"),"బ్రిటానియా న్యూట్రి ఛాయిస్ ఓట్స్ కుకీలు")</f>
        <v>బ్రిటానియా న్యూట్రి ఛాయిస్ ఓట్స్ కుకీలు</v>
      </c>
      <c r="C1338" s="4" t="str">
        <f>IFERROR(__xludf.DUMMYFUNCTION("GOOGLETRANSLATE(A1338, ""en"", ""hi"")"),"ब्रिटानिया न्यूट्री चॉइस ओट्स कुकीज़")</f>
        <v>ब्रिटानिया न्यूट्री चॉइस ओट्स कुकीज़</v>
      </c>
      <c r="D1338" s="2" t="s">
        <v>7088</v>
      </c>
      <c r="E1338" s="2" t="s">
        <v>4100</v>
      </c>
      <c r="F1338" s="1">
        <v>3.0</v>
      </c>
      <c r="G1338" s="3" t="s">
        <v>530</v>
      </c>
    </row>
    <row r="1339">
      <c r="A1339" s="3" t="s">
        <v>7235</v>
      </c>
      <c r="B1339" s="4" t="str">
        <f>IFERROR(__xludf.DUMMYFUNCTION("GOOGLETRANSLATE(A1339, ""en"", ""te"")"),"బ్రిటానియా టైగర్ గ్లూకోజ్ బిస్కెట్లు")</f>
        <v>బ్రిటానియా టైగర్ గ్లూకోజ్ బిస్కెట్లు</v>
      </c>
      <c r="C1339" s="4" t="str">
        <f>IFERROR(__xludf.DUMMYFUNCTION("GOOGLETRANSLATE(A1339, ""en"", ""hi"")"),"ब्रिटानिया टाइगर ग्लूकोज बिस्कुट")</f>
        <v>ब्रिटानिया टाइगर ग्लूकोज बिस्कुट</v>
      </c>
      <c r="D1339" s="2" t="s">
        <v>7119</v>
      </c>
      <c r="E1339" s="2" t="s">
        <v>4100</v>
      </c>
      <c r="F1339" s="1">
        <v>3.0</v>
      </c>
      <c r="G1339" s="3" t="s">
        <v>530</v>
      </c>
    </row>
    <row r="1340">
      <c r="A1340" s="3" t="s">
        <v>7236</v>
      </c>
      <c r="B1340" s="4" t="str">
        <f>IFERROR(__xludf.DUMMYFUNCTION("GOOGLETRANSLATE(A1340, ""en"", ""te"")"),"బ్రిటానియా జిమ్ జామ్ బిస్కెట్లు")</f>
        <v>బ్రిటానియా జిమ్ జామ్ బిస్కెట్లు</v>
      </c>
      <c r="C1340" s="4" t="str">
        <f>IFERROR(__xludf.DUMMYFUNCTION("GOOGLETRANSLATE(A1340, ""en"", ""hi"")"),"ब्रिटानिया जिम जैम बिस्कुट")</f>
        <v>ब्रिटानिया जिम जैम बिस्कुट</v>
      </c>
      <c r="D1340" s="5"/>
      <c r="E1340" s="2" t="s">
        <v>4100</v>
      </c>
      <c r="F1340" s="1">
        <v>3.0</v>
      </c>
      <c r="G1340" s="3" t="s">
        <v>530</v>
      </c>
    </row>
    <row r="1341">
      <c r="A1341" s="3" t="s">
        <v>7237</v>
      </c>
      <c r="B1341" s="4" t="str">
        <f>IFERROR(__xludf.DUMMYFUNCTION("GOOGLETRANSLATE(A1341, ""en"", ""te"")"),"బ్రిటానియా 50-50 తీపి &amp; ఉప్పగా ఉండే బిస్కెట్లు")</f>
        <v>బ్రిటానియా 50-50 తీపి &amp; ఉప్పగా ఉండే బిస్కెట్లు</v>
      </c>
      <c r="C1341" s="4" t="str">
        <f>IFERROR(__xludf.DUMMYFUNCTION("GOOGLETRANSLATE(A1341, ""en"", ""hi"")"),"ब्रिटानिया 50-50 मीठे और नमकीन बिस्कुट")</f>
        <v>ब्रिटानिया 50-50 मीठे और नमकीन बिस्कुट</v>
      </c>
      <c r="D1341" s="2" t="s">
        <v>7055</v>
      </c>
      <c r="E1341" s="2" t="s">
        <v>4100</v>
      </c>
      <c r="F1341" s="1">
        <v>3.0</v>
      </c>
      <c r="G1341" s="3" t="s">
        <v>530</v>
      </c>
    </row>
    <row r="1342">
      <c r="A1342" s="3" t="s">
        <v>1493</v>
      </c>
      <c r="B1342" s="4" t="str">
        <f>IFERROR(__xludf.DUMMYFUNCTION("GOOGLETRANSLATE(A1342, ""en"", ""te"")"),"బ్రిటానియా గుడ్ డే బటర్ కుకీస్")</f>
        <v>బ్రిటానియా గుడ్ డే బటర్ కుకీస్</v>
      </c>
      <c r="C1342" s="4" t="str">
        <f>IFERROR(__xludf.DUMMYFUNCTION("GOOGLETRANSLATE(A1342, ""en"", ""hi"")"),"ब्रिटानिया गुड डे बटर कुकीज़")</f>
        <v>ब्रिटानिया गुड डे बटर कुकीज़</v>
      </c>
      <c r="D1342" s="2" t="s">
        <v>7211</v>
      </c>
      <c r="E1342" s="2" t="s">
        <v>4100</v>
      </c>
      <c r="F1342" s="1">
        <v>3.0</v>
      </c>
      <c r="G1342" s="3" t="s">
        <v>530</v>
      </c>
    </row>
    <row r="1343">
      <c r="A1343" s="3" t="s">
        <v>7169</v>
      </c>
      <c r="B1343" s="4" t="str">
        <f>IFERROR(__xludf.DUMMYFUNCTION("GOOGLETRANSLATE(A1343, ""en"", ""te"")"),"బ్రిటానియా గుడ్ డే జీడిపప్పు కుకీలు")</f>
        <v>బ్రిటానియా గుడ్ డే జీడిపప్పు కుకీలు</v>
      </c>
      <c r="C1343" s="4" t="str">
        <f>IFERROR(__xludf.DUMMYFUNCTION("GOOGLETRANSLATE(A1343, ""en"", ""hi"")"),"ब्रिटानिया गुड डे काजू कुकीज़")</f>
        <v>ब्रिटानिया गुड डे काजू कुकीज़</v>
      </c>
      <c r="D1343" s="2" t="s">
        <v>7088</v>
      </c>
      <c r="E1343" s="2" t="s">
        <v>4100</v>
      </c>
      <c r="F1343" s="1">
        <v>3.0</v>
      </c>
      <c r="G1343" s="3" t="s">
        <v>530</v>
      </c>
    </row>
    <row r="1344">
      <c r="A1344" s="3" t="s">
        <v>7238</v>
      </c>
      <c r="B1344" s="4" t="str">
        <f>IFERROR(__xludf.DUMMYFUNCTION("GOOGLETRANSLATE(A1344, ""en"", ""te"")"),"పార్లే-జి గోల్డ్ బిస్కెట్లు")</f>
        <v>పార్లే-జి గోల్డ్ బిస్కెట్లు</v>
      </c>
      <c r="C1344" s="4" t="str">
        <f>IFERROR(__xludf.DUMMYFUNCTION("GOOGLETRANSLATE(A1344, ""en"", ""hi"")"),"पार्ले-जी गोल्ड बिस्कुट")</f>
        <v>पार्ले-जी गोल्ड बिस्कुट</v>
      </c>
      <c r="D1344" s="5"/>
      <c r="E1344" s="2" t="s">
        <v>4100</v>
      </c>
      <c r="F1344" s="1">
        <v>3.0</v>
      </c>
      <c r="G1344" s="3" t="s">
        <v>530</v>
      </c>
    </row>
    <row r="1345">
      <c r="A1345" s="3" t="s">
        <v>7239</v>
      </c>
      <c r="B1345" s="4" t="str">
        <f>IFERROR(__xludf.DUMMYFUNCTION("GOOGLETRANSLATE(A1345, ""en"", ""te"")"),"బ్రిటానియా బోర్బన్ బిస్కెట్లు")</f>
        <v>బ్రిటానియా బోర్బన్ బిస్కెట్లు</v>
      </c>
      <c r="C1345" s="4" t="str">
        <f>IFERROR(__xludf.DUMMYFUNCTION("GOOGLETRANSLATE(A1345, ""en"", ""hi"")"),"ब्रिटानिया बॉर्बन बिस्कुट")</f>
        <v>ब्रिटानिया बॉर्बन बिस्कुट</v>
      </c>
      <c r="D1345" s="5"/>
      <c r="E1345" s="2" t="s">
        <v>4100</v>
      </c>
      <c r="F1345" s="1">
        <v>3.0</v>
      </c>
      <c r="G1345" s="3" t="s">
        <v>449</v>
      </c>
    </row>
    <row r="1346">
      <c r="A1346" s="3" t="s">
        <v>7240</v>
      </c>
      <c r="B1346" s="4" t="str">
        <f>IFERROR(__xludf.DUMMYFUNCTION("GOOGLETRANSLATE(A1346, ""en"", ""te"")"),"పార్లే హైడ్ &amp; సీక్ కుకీస్")</f>
        <v>పార్లే హైడ్ &amp; సీక్ కుకీస్</v>
      </c>
      <c r="C1346" s="4" t="str">
        <f>IFERROR(__xludf.DUMMYFUNCTION("GOOGLETRANSLATE(A1346, ""en"", ""hi"")"),"पार्ले हाइड एंड सीक कुकीज़")</f>
        <v>पार्ले हाइड एंड सीक कुकीज़</v>
      </c>
      <c r="D1346" s="2" t="s">
        <v>7088</v>
      </c>
      <c r="E1346" s="2" t="s">
        <v>4100</v>
      </c>
      <c r="F1346" s="1">
        <v>3.0</v>
      </c>
      <c r="G1346" s="3" t="s">
        <v>449</v>
      </c>
    </row>
    <row r="1347">
      <c r="A1347" s="3" t="s">
        <v>7206</v>
      </c>
      <c r="B1347" s="4" t="str">
        <f>IFERROR(__xludf.DUMMYFUNCTION("GOOGLETRANSLATE(A1347, ""en"", ""te"")"),"బ్రిటానియా 50-50 మాస్కా చాస్కా")</f>
        <v>బ్రిటానియా 50-50 మాస్కా చాస్కా</v>
      </c>
      <c r="C1347" s="4" t="str">
        <f>IFERROR(__xludf.DUMMYFUNCTION("GOOGLETRANSLATE(A1347, ""en"", ""hi"")"),"ब्रिटानिया 50-50 मस्का चस्का")</f>
        <v>ब्रिटानिया 50-50 मस्का चस्का</v>
      </c>
      <c r="D1347" s="2" t="s">
        <v>7207</v>
      </c>
      <c r="E1347" s="2" t="s">
        <v>4100</v>
      </c>
      <c r="F1347" s="1">
        <v>3.0</v>
      </c>
      <c r="G1347" s="3" t="s">
        <v>449</v>
      </c>
    </row>
    <row r="1348">
      <c r="A1348" s="3" t="s">
        <v>7241</v>
      </c>
      <c r="B1348" s="4" t="str">
        <f>IFERROR(__xludf.DUMMYFUNCTION("GOOGLETRANSLATE(A1348, ""en"", ""te"")"),"బ్రిటానియా గుడ్ డే కుకీస్")</f>
        <v>బ్రిటానియా గుడ్ డే కుకీస్</v>
      </c>
      <c r="C1348" s="4" t="str">
        <f>IFERROR(__xludf.DUMMYFUNCTION("GOOGLETRANSLATE(A1348, ""en"", ""hi"")"),"ब्रिटानिया गुड डे कुकीज़")</f>
        <v>ब्रिटानिया गुड डे कुकीज़</v>
      </c>
      <c r="D1348" s="2" t="s">
        <v>7088</v>
      </c>
      <c r="E1348" s="2" t="s">
        <v>4100</v>
      </c>
      <c r="F1348" s="1">
        <v>3.0</v>
      </c>
      <c r="G1348" s="3" t="s">
        <v>449</v>
      </c>
    </row>
    <row r="1349">
      <c r="A1349" s="3" t="s">
        <v>7242</v>
      </c>
      <c r="B1349" s="4" t="str">
        <f>IFERROR(__xludf.DUMMYFUNCTION("GOOGLETRANSLATE(A1349, ""en"", ""te"")"),"దీప్ ఖారి హోల్ వీట్")</f>
        <v>దీప్ ఖారి హోల్ వీట్</v>
      </c>
      <c r="C1349" s="4" t="str">
        <f>IFERROR(__xludf.DUMMYFUNCTION("GOOGLETRANSLATE(A1349, ""en"", ""hi"")"),"डीप खारी होल व्हीट")</f>
        <v>डीप खारी होल व्हीट</v>
      </c>
      <c r="D1349" s="2" t="s">
        <v>7243</v>
      </c>
      <c r="E1349" s="2" t="s">
        <v>67</v>
      </c>
      <c r="F1349" s="1">
        <v>3.0</v>
      </c>
      <c r="G1349" s="3" t="s">
        <v>497</v>
      </c>
    </row>
    <row r="1350">
      <c r="A1350" s="3" t="s">
        <v>7214</v>
      </c>
      <c r="B1350" s="4" t="str">
        <f>IFERROR(__xludf.DUMMYFUNCTION("GOOGLETRANSLATE(A1350, ""en"", ""te"")"),"దీప్ ఖారీ మసాలా")</f>
        <v>దీప్ ఖారీ మసాలా</v>
      </c>
      <c r="C1350" s="4" t="str">
        <f>IFERROR(__xludf.DUMMYFUNCTION("GOOGLETRANSLATE(A1350, ""en"", ""hi"")"),"दीप खारी मसाला")</f>
        <v>दीप खारी मसाला</v>
      </c>
      <c r="D1350" s="2" t="s">
        <v>1655</v>
      </c>
      <c r="E1350" s="2" t="s">
        <v>442</v>
      </c>
      <c r="F1350" s="1">
        <v>3.0</v>
      </c>
      <c r="G1350" s="3" t="s">
        <v>497</v>
      </c>
    </row>
    <row r="1351">
      <c r="A1351" s="3" t="s">
        <v>7244</v>
      </c>
      <c r="B1351" s="4" t="str">
        <f>IFERROR(__xludf.DUMMYFUNCTION("GOOGLETRANSLATE(A1351, ""en"", ""te"")"),"దీప్ ఖారి ఒరిజినల్")</f>
        <v>దీప్ ఖారి ఒరిజినల్</v>
      </c>
      <c r="C1351" s="4" t="str">
        <f>IFERROR(__xludf.DUMMYFUNCTION("GOOGLETRANSLATE(A1351, ""en"", ""hi"")"),"दीप खारी ओरिजिनल")</f>
        <v>दीप खारी ओरिजिनल</v>
      </c>
      <c r="D1351" s="2" t="s">
        <v>4449</v>
      </c>
      <c r="E1351" s="2" t="s">
        <v>1294</v>
      </c>
      <c r="F1351" s="1">
        <v>3.0</v>
      </c>
      <c r="G1351" s="3" t="s">
        <v>497</v>
      </c>
    </row>
    <row r="1352">
      <c r="A1352" s="3" t="s">
        <v>2543</v>
      </c>
      <c r="B1352" s="4" t="str">
        <f>IFERROR(__xludf.DUMMYFUNCTION("GOOGLETRANSLATE(A1352, ""en"", ""te"")"),"దీప్ ఖరి జీరా")</f>
        <v>దీప్ ఖరి జీరా</v>
      </c>
      <c r="C1352" s="4" t="str">
        <f>IFERROR(__xludf.DUMMYFUNCTION("GOOGLETRANSLATE(A1352, ""en"", ""hi"")"),"दीप खारी जीरा")</f>
        <v>दीप खारी जीरा</v>
      </c>
      <c r="D1352" s="2" t="s">
        <v>7226</v>
      </c>
      <c r="E1352" s="2" t="s">
        <v>1294</v>
      </c>
      <c r="F1352" s="1">
        <v>3.0</v>
      </c>
      <c r="G1352" s="3" t="s">
        <v>497</v>
      </c>
    </row>
    <row r="1353">
      <c r="A1353" s="3" t="s">
        <v>7245</v>
      </c>
      <c r="B1353" s="4" t="str">
        <f>IFERROR(__xludf.DUMMYFUNCTION("GOOGLETRANSLATE(A1353, ""en"", ""te"")"),"బన్సివాలా సుఖ పేట")</f>
        <v>బన్సివాలా సుఖ పేట</v>
      </c>
      <c r="C1353" s="4" t="str">
        <f>IFERROR(__xludf.DUMMYFUNCTION("GOOGLETRANSLATE(A1353, ""en"", ""hi"")"),"बंसीवाला सुखा पेठा")</f>
        <v>बंसीवाला सुखा पेठा</v>
      </c>
      <c r="D1353" s="2" t="s">
        <v>7246</v>
      </c>
      <c r="E1353" s="2" t="s">
        <v>3438</v>
      </c>
      <c r="F1353" s="1">
        <v>3.0</v>
      </c>
      <c r="G1353" s="3" t="s">
        <v>508</v>
      </c>
    </row>
    <row r="1354">
      <c r="A1354" s="3" t="s">
        <v>7247</v>
      </c>
      <c r="B1354" s="4" t="str">
        <f>IFERROR(__xludf.DUMMYFUNCTION("GOOGLETRANSLATE(A1354, ""en"", ""te"")"),"బన్సివాలా పాన్ పేఠా")</f>
        <v>బన్సివాలా పాన్ పేఠా</v>
      </c>
      <c r="C1354" s="4" t="str">
        <f>IFERROR(__xludf.DUMMYFUNCTION("GOOGLETRANSLATE(A1354, ""en"", ""hi"")"),"बंसीवाला पान पेठा")</f>
        <v>बंसीवाला पान पेठा</v>
      </c>
      <c r="D1354" s="2" t="s">
        <v>7248</v>
      </c>
      <c r="E1354" s="2" t="s">
        <v>3438</v>
      </c>
      <c r="F1354" s="1">
        <v>3.0</v>
      </c>
      <c r="G1354" s="3" t="s">
        <v>508</v>
      </c>
    </row>
    <row r="1355">
      <c r="A1355" s="3" t="s">
        <v>7249</v>
      </c>
      <c r="B1355" s="4" t="str">
        <f>IFERROR(__xludf.DUMMYFUNCTION("GOOGLETRANSLATE(A1355, ""en"", ""te"")"),"బికాజీ అంజీర్ డ్రై ఫ్రూట్ బర్ఫీ")</f>
        <v>బికాజీ అంజీర్ డ్రై ఫ్రూట్ బర్ఫీ</v>
      </c>
      <c r="C1355" s="4" t="str">
        <f>IFERROR(__xludf.DUMMYFUNCTION("GOOGLETRANSLATE(A1355, ""en"", ""hi"")"),"बिकाजी अंजीर ड्राई फ्रूट बर्फी")</f>
        <v>बिकाजी अंजीर ड्राई फ्रूट बर्फी</v>
      </c>
      <c r="D1355" s="5"/>
      <c r="E1355" s="2" t="s">
        <v>3438</v>
      </c>
      <c r="F1355" s="1">
        <v>3.0</v>
      </c>
      <c r="G1355" s="3" t="s">
        <v>508</v>
      </c>
    </row>
    <row r="1356">
      <c r="A1356" s="3" t="s">
        <v>7250</v>
      </c>
      <c r="B1356" s="4" t="str">
        <f>IFERROR(__xludf.DUMMYFUNCTION("GOOGLETRANSLATE(A1356, ""en"", ""te"")"),"బికాజీ ఖజూర్ డ్రై ఫ్రూట్ బర్ఫీ")</f>
        <v>బికాజీ ఖజూర్ డ్రై ఫ్రూట్ బర్ఫీ</v>
      </c>
      <c r="C1356" s="4" t="str">
        <f>IFERROR(__xludf.DUMMYFUNCTION("GOOGLETRANSLATE(A1356, ""en"", ""hi"")"),"बीकाजी खजूर ड्राई फ्रूट बर्फी")</f>
        <v>बीकाजी खजूर ड्राई फ्रूट बर्फी</v>
      </c>
      <c r="D1356" s="5"/>
      <c r="E1356" s="2" t="s">
        <v>3438</v>
      </c>
      <c r="F1356" s="1">
        <v>3.0</v>
      </c>
      <c r="G1356" s="3" t="s">
        <v>508</v>
      </c>
    </row>
    <row r="1357">
      <c r="A1357" s="3" t="s">
        <v>7216</v>
      </c>
      <c r="B1357" s="4" t="str">
        <f>IFERROR(__xludf.DUMMYFUNCTION("GOOGLETRANSLATE(A1357, ""en"", ""te"")"),"బికానో పాటిసా")</f>
        <v>బికానో పాటిసా</v>
      </c>
      <c r="C1357" s="4" t="str">
        <f>IFERROR(__xludf.DUMMYFUNCTION("GOOGLETRANSLATE(A1357, ""en"", ""hi"")"),"बिकानो पटिसा")</f>
        <v>बिकानो पटिसा</v>
      </c>
      <c r="D1357" s="5"/>
      <c r="E1357" s="2" t="s">
        <v>3438</v>
      </c>
      <c r="F1357" s="1">
        <v>3.0</v>
      </c>
      <c r="G1357" s="3" t="s">
        <v>508</v>
      </c>
    </row>
    <row r="1358">
      <c r="A1358" s="3" t="s">
        <v>7251</v>
      </c>
      <c r="B1358" s="4" t="str">
        <f>IFERROR(__xludf.DUMMYFUNCTION("GOOGLETRANSLATE(A1358, ""en"", ""te"")"),"హాబ్సన్స్ కాజు రోల్స్")</f>
        <v>హాబ్సన్స్ కాజు రోల్స్</v>
      </c>
      <c r="C1358" s="4" t="str">
        <f>IFERROR(__xludf.DUMMYFUNCTION("GOOGLETRANSLATE(A1358, ""en"", ""hi"")"),"हैब्सन्स काजू रोल्स")</f>
        <v>हैब्सन्स काजू रोल्स</v>
      </c>
      <c r="D1358" s="5"/>
      <c r="E1358" s="2" t="s">
        <v>1294</v>
      </c>
      <c r="F1358" s="1">
        <v>3.0</v>
      </c>
      <c r="G1358" s="3" t="s">
        <v>508</v>
      </c>
    </row>
    <row r="1359">
      <c r="A1359" s="3" t="s">
        <v>7252</v>
      </c>
      <c r="B1359" s="4" t="str">
        <f>IFERROR(__xludf.DUMMYFUNCTION("GOOGLETRANSLATE(A1359, ""en"", ""te"")"),"లఖానా నమ్కీన్")</f>
        <v>లఖానా నమ్కీన్</v>
      </c>
      <c r="C1359" s="4" t="str">
        <f>IFERROR(__xludf.DUMMYFUNCTION("GOOGLETRANSLATE(A1359, ""en"", ""hi"")"),"लखाना नमकीन")</f>
        <v>लखाना नमकीन</v>
      </c>
      <c r="D1359" s="2" t="s">
        <v>7253</v>
      </c>
      <c r="E1359" s="2" t="s">
        <v>1294</v>
      </c>
      <c r="F1359" s="1">
        <v>3.0</v>
      </c>
      <c r="G1359" s="3" t="s">
        <v>518</v>
      </c>
    </row>
    <row r="1360">
      <c r="A1360" s="3" t="s">
        <v>7254</v>
      </c>
      <c r="B1360" s="4" t="str">
        <f>IFERROR(__xludf.DUMMYFUNCTION("GOOGLETRANSLATE(A1360, ""en"", ""te"")"),"ముంచ్-ఎ-తంత్ర")</f>
        <v>ముంచ్-ఎ-తంత్ర</v>
      </c>
      <c r="C1360" s="4" t="str">
        <f>IFERROR(__xludf.DUMMYFUNCTION("GOOGLETRANSLATE(A1360, ""en"", ""hi"")"),"मंच-ए-तंत्र")</f>
        <v>मंच-ए-तंत्र</v>
      </c>
      <c r="D1360" s="5"/>
      <c r="E1360" s="2" t="s">
        <v>1294</v>
      </c>
      <c r="F1360" s="1">
        <v>3.0</v>
      </c>
      <c r="G1360" s="3" t="s">
        <v>518</v>
      </c>
    </row>
    <row r="1361">
      <c r="A1361" s="3" t="s">
        <v>7255</v>
      </c>
      <c r="B1361" s="4" t="str">
        <f>IFERROR(__xludf.DUMMYFUNCTION("GOOGLETRANSLATE(A1361, ""en"", ""te"")"),"పార్లే హైడ్ &amp; సీక్ చాక్లెట్ ఫిల్స్")</f>
        <v>పార్లే హైడ్ &amp; సీక్ చాక్లెట్ ఫిల్స్</v>
      </c>
      <c r="C1361" s="4" t="str">
        <f>IFERROR(__xludf.DUMMYFUNCTION("GOOGLETRANSLATE(A1361, ""en"", ""hi"")"),"पार्ले हाइड एंड सीक चॉकलेट फिल्स")</f>
        <v>पार्ले हाइड एंड सीक चॉकलेट फिल्स</v>
      </c>
      <c r="D1361" s="5"/>
      <c r="E1361" s="2" t="s">
        <v>4100</v>
      </c>
      <c r="F1361" s="1">
        <v>3.0</v>
      </c>
      <c r="G1361" s="3" t="s">
        <v>524</v>
      </c>
    </row>
    <row r="1362">
      <c r="A1362" s="3" t="s">
        <v>7256</v>
      </c>
      <c r="B1362" s="4" t="str">
        <f>IFERROR(__xludf.DUMMYFUNCTION("GOOGLETRANSLATE(A1362, ""en"", ""te"")"),"బ్రిటానియా న్యూట్రి ఛాయిస్ డైజెస్టివ్ బిస్కెట్లు")</f>
        <v>బ్రిటానియా న్యూట్రి ఛాయిస్ డైజెస్టివ్ బిస్కెట్లు</v>
      </c>
      <c r="C1362" s="4" t="str">
        <f>IFERROR(__xludf.DUMMYFUNCTION("GOOGLETRANSLATE(A1362, ""en"", ""hi"")"),"ब्रिटानिया न्यूट्री चॉइस डाइजेस्टिव बिस्कुट")</f>
        <v>ब्रिटानिया न्यूट्री चॉइस डाइजेस्टिव बिस्कुट</v>
      </c>
      <c r="D1362" s="2" t="s">
        <v>7057</v>
      </c>
      <c r="E1362" s="2" t="s">
        <v>4100</v>
      </c>
      <c r="F1362" s="1">
        <v>3.0</v>
      </c>
      <c r="G1362" s="3" t="s">
        <v>530</v>
      </c>
    </row>
    <row r="1363">
      <c r="A1363" s="3" t="s">
        <v>7257</v>
      </c>
      <c r="B1363" s="4" t="str">
        <f>IFERROR(__xludf.DUMMYFUNCTION("GOOGLETRANSLATE(A1363, ""en"", ""te"")"),"బ్రిటానియా న్యూట్రి ఛాయిస్ ఓట్స్ చాక్లెట్ &amp; బాదం బిస్కెట్లు")</f>
        <v>బ్రిటానియా న్యూట్రి ఛాయిస్ ఓట్స్ చాక్లెట్ &amp; బాదం బిస్కెట్లు</v>
      </c>
      <c r="C1363" s="4" t="str">
        <f>IFERROR(__xludf.DUMMYFUNCTION("GOOGLETRANSLATE(A1363, ""en"", ""hi"")"),"ब्रिटानिया न्यूट्री चॉइस ओट्स चॉकलेट और बादाम बिस्कुट")</f>
        <v>ब्रिटानिया न्यूट्री चॉइस ओट्स चॉकलेट और बादाम बिस्कुट</v>
      </c>
      <c r="D1363" s="2" t="s">
        <v>7083</v>
      </c>
      <c r="E1363" s="2" t="s">
        <v>4100</v>
      </c>
      <c r="F1363" s="1">
        <v>3.0</v>
      </c>
      <c r="G1363" s="3" t="s">
        <v>530</v>
      </c>
    </row>
    <row r="1364">
      <c r="A1364" s="3" t="s">
        <v>7258</v>
      </c>
      <c r="B1364" s="4" t="str">
        <f>IFERROR(__xludf.DUMMYFUNCTION("GOOGLETRANSLATE(A1364, ""en"", ""te"")"),"బ్రిటానియా న్యూట్రి ఛాయిస్ ఓట్స్ బాదం &amp; పాల బిస్కెట్లు")</f>
        <v>బ్రిటానియా న్యూట్రి ఛాయిస్ ఓట్స్ బాదం &amp; పాల బిస్కెట్లు</v>
      </c>
      <c r="C1364" s="4" t="str">
        <f>IFERROR(__xludf.DUMMYFUNCTION("GOOGLETRANSLATE(A1364, ""en"", ""hi"")"),"ब्रिटानिया न्यूट्री चॉइस ओट्स बादाम और दूध बिस्कुट")</f>
        <v>ब्रिटानिया न्यूट्री चॉइस ओट्स बादाम और दूध बिस्कुट</v>
      </c>
      <c r="D1364" s="2" t="s">
        <v>7083</v>
      </c>
      <c r="E1364" s="2" t="s">
        <v>4100</v>
      </c>
      <c r="F1364" s="1">
        <v>3.0</v>
      </c>
      <c r="G1364" s="3" t="s">
        <v>530</v>
      </c>
    </row>
    <row r="1365">
      <c r="A1365" s="3" t="s">
        <v>7259</v>
      </c>
      <c r="B1365" s="4" t="str">
        <f>IFERROR(__xludf.DUMMYFUNCTION("GOOGLETRANSLATE(A1365, ""en"", ""te"")"),"బ్రిటానియా జిమ్‌జామ్ బిస్కెట్లు")</f>
        <v>బ్రిటానియా జిమ్‌జామ్ బిస్కెట్లు</v>
      </c>
      <c r="C1365" s="4" t="str">
        <f>IFERROR(__xludf.DUMMYFUNCTION("GOOGLETRANSLATE(A1365, ""en"", ""hi"")"),"ब्रिटानिया जिमजैम बिस्कुट")</f>
        <v>ब्रिटानिया जिमजैम बिस्कुट</v>
      </c>
      <c r="D1365" s="2" t="s">
        <v>7260</v>
      </c>
      <c r="E1365" s="2" t="s">
        <v>4100</v>
      </c>
      <c r="F1365" s="1">
        <v>3.0</v>
      </c>
      <c r="G1365" s="3" t="s">
        <v>530</v>
      </c>
    </row>
    <row r="1366">
      <c r="A1366" s="3" t="s">
        <v>7259</v>
      </c>
      <c r="B1366" s="4" t="str">
        <f>IFERROR(__xludf.DUMMYFUNCTION("GOOGLETRANSLATE(A1366, ""en"", ""te"")"),"బ్రిటానియా జిమ్‌జామ్ బిస్కెట్లు")</f>
        <v>బ్రిటానియా జిమ్‌జామ్ బిస్కెట్లు</v>
      </c>
      <c r="C1366" s="4" t="str">
        <f>IFERROR(__xludf.DUMMYFUNCTION("GOOGLETRANSLATE(A1366, ""en"", ""hi"")"),"ब्रिटानिया जिमजैम बिस्कुट")</f>
        <v>ब्रिटानिया जिमजैम बिस्कुट</v>
      </c>
      <c r="D1366" s="2" t="s">
        <v>7260</v>
      </c>
      <c r="E1366" s="2" t="s">
        <v>4100</v>
      </c>
      <c r="F1366" s="1">
        <v>3.0</v>
      </c>
      <c r="G1366" s="3" t="s">
        <v>449</v>
      </c>
    </row>
    <row r="1367">
      <c r="A1367" s="3" t="s">
        <v>7261</v>
      </c>
      <c r="B1367" s="4" t="str">
        <f>IFERROR(__xludf.DUMMYFUNCTION("GOOGLETRANSLATE(A1367, ""en"", ""te"")"),"బ్రిటానియా 50-50 మాస్కా చాస్కా బిస్కెట్లు")</f>
        <v>బ్రిటానియా 50-50 మాస్కా చాస్కా బిస్కెట్లు</v>
      </c>
      <c r="C1367" s="4" t="str">
        <f>IFERROR(__xludf.DUMMYFUNCTION("GOOGLETRANSLATE(A1367, ""en"", ""hi"")"),"ब्रिटानिया 50-50 मस्का चस्का बिस्कुट")</f>
        <v>ब्रिटानिया 50-50 मस्का चस्का बिस्कुट</v>
      </c>
      <c r="D1367" s="5"/>
      <c r="E1367" s="2" t="s">
        <v>4100</v>
      </c>
      <c r="F1367" s="1">
        <v>3.0</v>
      </c>
      <c r="G1367" s="3" t="s">
        <v>449</v>
      </c>
    </row>
    <row r="1368">
      <c r="A1368" s="3" t="s">
        <v>7262</v>
      </c>
      <c r="B1368" s="4" t="str">
        <f>IFERROR(__xludf.DUMMYFUNCTION("GOOGLETRANSLATE(A1368, ""en"", ""te"")"),"బన్సివాలా కేసర్ అంగూరి పేఠా")</f>
        <v>బన్సివాలా కేసర్ అంగూరి పేఠా</v>
      </c>
      <c r="C1368" s="4" t="str">
        <f>IFERROR(__xludf.DUMMYFUNCTION("GOOGLETRANSLATE(A1368, ""en"", ""hi"")"),"बंसीवाला केसर अंगूरी पेठा")</f>
        <v>बंसीवाला केसर अंगूरी पेठा</v>
      </c>
      <c r="D1368" s="5"/>
      <c r="E1368" s="2" t="s">
        <v>3438</v>
      </c>
      <c r="F1368" s="1">
        <v>3.0</v>
      </c>
      <c r="G1368" s="3" t="s">
        <v>508</v>
      </c>
    </row>
    <row r="1369">
      <c r="A1369" s="3" t="s">
        <v>7263</v>
      </c>
      <c r="B1369" s="4" t="str">
        <f>IFERROR(__xludf.DUMMYFUNCTION("GOOGLETRANSLATE(A1369, ""en"", ""te"")"),"బికాజీ అంజీర్ డ్రై ఫ్రూట్ స్వీట్")</f>
        <v>బికాజీ అంజీర్ డ్రై ఫ్రూట్ స్వీట్</v>
      </c>
      <c r="C1369" s="4" t="str">
        <f>IFERROR(__xludf.DUMMYFUNCTION("GOOGLETRANSLATE(A1369, ""en"", ""hi"")"),"बिकाजी अंजीर ड्राई फ्रूट मिठाई")</f>
        <v>बिकाजी अंजीर ड्राई फ्रूट मिठाई</v>
      </c>
      <c r="D1369" s="5"/>
      <c r="E1369" s="2" t="s">
        <v>2700</v>
      </c>
      <c r="F1369" s="1">
        <v>3.0</v>
      </c>
      <c r="G1369" s="3" t="s">
        <v>508</v>
      </c>
    </row>
    <row r="1370">
      <c r="A1370" s="3" t="s">
        <v>7264</v>
      </c>
      <c r="B1370" s="4" t="str">
        <f>IFERROR(__xludf.DUMMYFUNCTION("GOOGLETRANSLATE(A1370, ""en"", ""te"")"),"మఖానా పుదీనా")</f>
        <v>మఖానా పుదీనా</v>
      </c>
      <c r="C1370" s="4" t="str">
        <f>IFERROR(__xludf.DUMMYFUNCTION("GOOGLETRANSLATE(A1370, ""en"", ""hi"")"),"मखाना पुदीना")</f>
        <v>मखाना पुदीना</v>
      </c>
      <c r="D1370" s="5"/>
      <c r="E1370" s="2" t="s">
        <v>2700</v>
      </c>
      <c r="F1370" s="1">
        <v>3.0</v>
      </c>
      <c r="G1370" s="3" t="s">
        <v>518</v>
      </c>
    </row>
    <row r="1371">
      <c r="A1371" s="3" t="s">
        <v>7265</v>
      </c>
      <c r="B1371" s="4" t="str">
        <f>IFERROR(__xludf.DUMMYFUNCTION("GOOGLETRANSLATE(A1371, ""en"", ""te"")"),"మఖానా నల్ల మిరియాలు")</f>
        <v>మఖానా నల్ల మిరియాలు</v>
      </c>
      <c r="C1371" s="4" t="str">
        <f>IFERROR(__xludf.DUMMYFUNCTION("GOOGLETRANSLATE(A1371, ""en"", ""hi"")"),"मखाना काली मिर्च")</f>
        <v>मखाना काली मिर्च</v>
      </c>
      <c r="D1371" s="5"/>
      <c r="E1371" s="2" t="s">
        <v>442</v>
      </c>
      <c r="F1371" s="1">
        <v>3.0</v>
      </c>
      <c r="G1371" s="3" t="s">
        <v>518</v>
      </c>
    </row>
    <row r="1372">
      <c r="A1372" s="3" t="s">
        <v>7266</v>
      </c>
      <c r="B1372" s="4" t="str">
        <f>IFERROR(__xludf.DUMMYFUNCTION("GOOGLETRANSLATE(A1372, ""en"", ""te"")"),"మఖానా పెరి పెరి")</f>
        <v>మఖానా పెరి పెరి</v>
      </c>
      <c r="C1372" s="4" t="str">
        <f>IFERROR(__xludf.DUMMYFUNCTION("GOOGLETRANSLATE(A1372, ""en"", ""hi"")"),"मखाना पेरी पेरी")</f>
        <v>मखाना पेरी पेरी</v>
      </c>
      <c r="D1372" s="5"/>
      <c r="E1372" s="2" t="s">
        <v>442</v>
      </c>
      <c r="F1372" s="1">
        <v>3.0</v>
      </c>
      <c r="G1372" s="3" t="s">
        <v>518</v>
      </c>
    </row>
    <row r="1373">
      <c r="A1373" s="3" t="s">
        <v>7267</v>
      </c>
      <c r="B1373" s="4" t="str">
        <f>IFERROR(__xludf.DUMMYFUNCTION("GOOGLETRANSLATE(A1373, ""en"", ""te"")"),"మఖానా ముంచ్ &amp; తంత్ర")</f>
        <v>మఖానా ముంచ్ &amp; తంత్ర</v>
      </c>
      <c r="C1373" s="4" t="str">
        <f>IFERROR(__xludf.DUMMYFUNCTION("GOOGLETRANSLATE(A1373, ""en"", ""hi"")"),"मखाना मंच और तंत्र")</f>
        <v>मखाना मंच और तंत्र</v>
      </c>
      <c r="D1373" s="5"/>
      <c r="E1373" s="2" t="s">
        <v>1294</v>
      </c>
      <c r="F1373" s="1">
        <v>3.0</v>
      </c>
      <c r="G1373" s="3" t="s">
        <v>518</v>
      </c>
    </row>
    <row r="1374">
      <c r="A1374" s="3" t="s">
        <v>7268</v>
      </c>
      <c r="B1374" s="4" t="str">
        <f>IFERROR(__xludf.DUMMYFUNCTION("GOOGLETRANSLATE(A1374, ""en"", ""te"")"),"బ్రిటానియా న్యూట్రిచాయిస్ డైజెస్టివ్ బిస్కెట్లు")</f>
        <v>బ్రిటానియా న్యూట్రిచాయిస్ డైజెస్టివ్ బిస్కెట్లు</v>
      </c>
      <c r="C1374" s="4" t="str">
        <f>IFERROR(__xludf.DUMMYFUNCTION("GOOGLETRANSLATE(A1374, ""en"", ""hi"")"),"ब्रिटानिया न्यूट्रीचॉइस डाइजेस्टिव बिस्कुट")</f>
        <v>ब्रिटानिया न्यूट्रीचॉइस डाइजेस्टिव बिस्कुट</v>
      </c>
      <c r="D1374" s="2" t="s">
        <v>7050</v>
      </c>
      <c r="E1374" s="2" t="s">
        <v>4100</v>
      </c>
      <c r="F1374" s="1">
        <v>3.0</v>
      </c>
      <c r="G1374" s="3" t="s">
        <v>530</v>
      </c>
    </row>
    <row r="1375">
      <c r="A1375" s="3" t="s">
        <v>7269</v>
      </c>
      <c r="B1375" s="4" t="str">
        <f>IFERROR(__xludf.DUMMYFUNCTION("GOOGLETRANSLATE(A1375, ""en"", ""te"")"),"బ్రిటానియా న్యూట్రిచాయిస్ ఓట్స్ చాక్లెట్ &amp; ఆల్మండ్")</f>
        <v>బ్రిటానియా న్యూట్రిచాయిస్ ఓట్స్ చాక్లెట్ &amp; ఆల్మండ్</v>
      </c>
      <c r="C1375" s="4" t="str">
        <f>IFERROR(__xludf.DUMMYFUNCTION("GOOGLETRANSLATE(A1375, ""en"", ""hi"")"),"ब्रिटानिया न्यूट्रीचॉइस ओट्स चॉकलेट और बादाम")</f>
        <v>ब्रिटानिया न्यूट्रीचॉइस ओट्स चॉकलेट और बादाम</v>
      </c>
      <c r="D1375" s="2" t="s">
        <v>7270</v>
      </c>
      <c r="E1375" s="2" t="s">
        <v>4100</v>
      </c>
      <c r="F1375" s="1">
        <v>3.0</v>
      </c>
      <c r="G1375" s="3" t="s">
        <v>530</v>
      </c>
    </row>
    <row r="1376">
      <c r="A1376" s="3" t="s">
        <v>7271</v>
      </c>
      <c r="B1376" s="4" t="str">
        <f>IFERROR(__xludf.DUMMYFUNCTION("GOOGLETRANSLATE(A1376, ""en"", ""te"")"),"బ్రిటానియా న్యూట్రిచాయిస్ ఓట్స్ ఆల్మండ్ &amp; మిల్క్")</f>
        <v>బ్రిటానియా న్యూట్రిచాయిస్ ఓట్స్ ఆల్మండ్ &amp; మిల్క్</v>
      </c>
      <c r="C1376" s="4" t="str">
        <f>IFERROR(__xludf.DUMMYFUNCTION("GOOGLETRANSLATE(A1376, ""en"", ""hi"")"),"ब्रिटानिया न्यूट्रीचॉइस ओट्स बादाम और दूध")</f>
        <v>ब्रिटानिया न्यूट्रीचॉइस ओट्स बादाम और दूध</v>
      </c>
      <c r="D1376" s="2" t="s">
        <v>7272</v>
      </c>
      <c r="E1376" s="2" t="s">
        <v>4100</v>
      </c>
      <c r="F1376" s="1">
        <v>3.0</v>
      </c>
      <c r="G1376" s="3" t="s">
        <v>530</v>
      </c>
    </row>
    <row r="1377">
      <c r="A1377" s="3" t="s">
        <v>7273</v>
      </c>
      <c r="B1377" s="4" t="str">
        <f>IFERROR(__xludf.DUMMYFUNCTION("GOOGLETRANSLATE(A1377, ""en"", ""te"")"),"బ్రిటానియా జిమ్ జామ్ ఫ్యామిలీ ప్యాక్")</f>
        <v>బ్రిటానియా జిమ్ జామ్ ఫ్యామిలీ ప్యాక్</v>
      </c>
      <c r="C1377" s="4" t="str">
        <f>IFERROR(__xludf.DUMMYFUNCTION("GOOGLETRANSLATE(A1377, ""en"", ""hi"")"),"ब्रिटानिया जिम जैम फैमिली पैक")</f>
        <v>ब्रिटानिया जिम जैम फैमिली पैक</v>
      </c>
      <c r="D1377" s="5"/>
      <c r="E1377" s="2" t="s">
        <v>4100</v>
      </c>
      <c r="F1377" s="1">
        <v>3.0</v>
      </c>
      <c r="G1377" s="3" t="s">
        <v>530</v>
      </c>
    </row>
    <row r="1378">
      <c r="A1378" s="3" t="s">
        <v>7193</v>
      </c>
      <c r="B1378" s="4" t="str">
        <f>IFERROR(__xludf.DUMMYFUNCTION("GOOGLETRANSLATE(A1378, ""en"", ""te"")"),"బ్రిటానియా డైజెస్టివ్ బిస్కెట్లు")</f>
        <v>బ్రిటానియా డైజెస్టివ్ బిస్కెట్లు</v>
      </c>
      <c r="C1378" s="4" t="str">
        <f>IFERROR(__xludf.DUMMYFUNCTION("GOOGLETRANSLATE(A1378, ""en"", ""hi"")"),"ब्रिटानिया डाइजेस्टिव बिस्कुट")</f>
        <v>ब्रिटानिया डाइजेस्टिव बिस्कुट</v>
      </c>
      <c r="D1378" s="2" t="s">
        <v>7057</v>
      </c>
      <c r="E1378" s="2" t="s">
        <v>4100</v>
      </c>
      <c r="F1378" s="1">
        <v>3.0</v>
      </c>
      <c r="G1378" s="3" t="s">
        <v>449</v>
      </c>
    </row>
    <row r="1379">
      <c r="A1379" s="3" t="s">
        <v>7274</v>
      </c>
      <c r="B1379" s="4" t="str">
        <f>IFERROR(__xludf.DUMMYFUNCTION("GOOGLETRANSLATE(A1379, ""en"", ""te"")"),"పాప్స్ బిస్కెట్లు")</f>
        <v>పాప్స్ బిస్కెట్లు</v>
      </c>
      <c r="C1379" s="4" t="str">
        <f>IFERROR(__xludf.DUMMYFUNCTION("GOOGLETRANSLATE(A1379, ""en"", ""hi"")"),"पॉप्स बिस्कुट")</f>
        <v>पॉप्स बिस्कुट</v>
      </c>
      <c r="D1379" s="2" t="s">
        <v>7057</v>
      </c>
      <c r="E1379" s="2" t="s">
        <v>4100</v>
      </c>
      <c r="F1379" s="1">
        <v>3.0</v>
      </c>
      <c r="G1379" s="3" t="s">
        <v>449</v>
      </c>
    </row>
    <row r="1380">
      <c r="A1380" s="3" t="s">
        <v>7244</v>
      </c>
      <c r="B1380" s="4" t="str">
        <f>IFERROR(__xludf.DUMMYFUNCTION("GOOGLETRANSLATE(A1380, ""en"", ""te"")"),"దీప్ ఖారి ఒరిజినల్")</f>
        <v>దీప్ ఖారి ఒరిజినల్</v>
      </c>
      <c r="C1380" s="4" t="str">
        <f>IFERROR(__xludf.DUMMYFUNCTION("GOOGLETRANSLATE(A1380, ""en"", ""hi"")"),"दीप खारी ओरिजिनल")</f>
        <v>दीप खारी ओरिजिनल</v>
      </c>
      <c r="D1380" s="2" t="s">
        <v>4449</v>
      </c>
      <c r="E1380" s="2" t="s">
        <v>1294</v>
      </c>
      <c r="F1380" s="1">
        <v>3.0</v>
      </c>
      <c r="G1380" s="3" t="s">
        <v>453</v>
      </c>
    </row>
    <row r="1381">
      <c r="A1381" s="3" t="s">
        <v>7242</v>
      </c>
      <c r="B1381" s="4" t="str">
        <f>IFERROR(__xludf.DUMMYFUNCTION("GOOGLETRANSLATE(A1381, ""en"", ""te"")"),"దీప్ ఖారి హోల్ వీట్")</f>
        <v>దీప్ ఖారి హోల్ వీట్</v>
      </c>
      <c r="C1381" s="4" t="str">
        <f>IFERROR(__xludf.DUMMYFUNCTION("GOOGLETRANSLATE(A1381, ""en"", ""hi"")"),"डीप खारी होल व्हीट")</f>
        <v>डीप खारी होल व्हीट</v>
      </c>
      <c r="D1381" s="2" t="s">
        <v>7243</v>
      </c>
      <c r="E1381" s="2" t="s">
        <v>67</v>
      </c>
      <c r="F1381" s="1">
        <v>3.0</v>
      </c>
      <c r="G1381" s="3" t="s">
        <v>453</v>
      </c>
    </row>
    <row r="1382">
      <c r="A1382" s="3" t="s">
        <v>7262</v>
      </c>
      <c r="B1382" s="4" t="str">
        <f>IFERROR(__xludf.DUMMYFUNCTION("GOOGLETRANSLATE(A1382, ""en"", ""te"")"),"బన్సివాలా కేసర్ అంగూరి పేఠా")</f>
        <v>బన్సివాలా కేసర్ అంగూరి పేఠా</v>
      </c>
      <c r="C1382" s="4" t="str">
        <f>IFERROR(__xludf.DUMMYFUNCTION("GOOGLETRANSLATE(A1382, ""en"", ""hi"")"),"बंसीवाला केसर अंगूरी पेठा")</f>
        <v>बंसीवाला केसर अंगूरी पेठा</v>
      </c>
      <c r="D1382" s="5"/>
      <c r="E1382" s="2" t="s">
        <v>3438</v>
      </c>
      <c r="F1382" s="1">
        <v>3.0</v>
      </c>
      <c r="G1382" s="3" t="s">
        <v>463</v>
      </c>
    </row>
    <row r="1383">
      <c r="A1383" s="3" t="s">
        <v>7245</v>
      </c>
      <c r="B1383" s="4" t="str">
        <f>IFERROR(__xludf.DUMMYFUNCTION("GOOGLETRANSLATE(A1383, ""en"", ""te"")"),"బన్సివాలా సుఖ పేట")</f>
        <v>బన్సివాలా సుఖ పేట</v>
      </c>
      <c r="C1383" s="4" t="str">
        <f>IFERROR(__xludf.DUMMYFUNCTION("GOOGLETRANSLATE(A1383, ""en"", ""hi"")"),"बंसीवाला सुखा पेठा")</f>
        <v>बंसीवाला सुखा पेठा</v>
      </c>
      <c r="D1383" s="2" t="s">
        <v>7246</v>
      </c>
      <c r="E1383" s="2" t="s">
        <v>3438</v>
      </c>
      <c r="F1383" s="1">
        <v>3.0</v>
      </c>
      <c r="G1383" s="3" t="s">
        <v>463</v>
      </c>
    </row>
    <row r="1384">
      <c r="A1384" s="3" t="s">
        <v>7247</v>
      </c>
      <c r="B1384" s="4" t="str">
        <f>IFERROR(__xludf.DUMMYFUNCTION("GOOGLETRANSLATE(A1384, ""en"", ""te"")"),"బన్సివాలా పాన్ పేఠా")</f>
        <v>బన్సివాలా పాన్ పేఠా</v>
      </c>
      <c r="C1384" s="4" t="str">
        <f>IFERROR(__xludf.DUMMYFUNCTION("GOOGLETRANSLATE(A1384, ""en"", ""hi"")"),"बंसीवाला पान पेठा")</f>
        <v>बंसीवाला पान पेठा</v>
      </c>
      <c r="D1384" s="2" t="s">
        <v>7248</v>
      </c>
      <c r="E1384" s="2" t="s">
        <v>3438</v>
      </c>
      <c r="F1384" s="1">
        <v>3.0</v>
      </c>
      <c r="G1384" s="3" t="s">
        <v>463</v>
      </c>
    </row>
    <row r="1385">
      <c r="A1385" s="3" t="s">
        <v>7275</v>
      </c>
      <c r="B1385" s="4" t="str">
        <f>IFERROR(__xludf.DUMMYFUNCTION("GOOGLETRANSLATE(A1385, ""en"", ""te"")"),"మంచ్ తంత్ర మఖానా హిమాలయన్ పింక్ సాల్ట్")</f>
        <v>మంచ్ తంత్ర మఖానా హిమాలయన్ పింక్ సాల్ట్</v>
      </c>
      <c r="C1385" s="4" t="str">
        <f>IFERROR(__xludf.DUMMYFUNCTION("GOOGLETRANSLATE(A1385, ""en"", ""hi"")"),"मंच तंत्र मखाना हिमालयन गुलाबी नमक")</f>
        <v>मंच तंत्र मखाना हिमालयन गुलाबी नमक</v>
      </c>
      <c r="D1385" s="2" t="s">
        <v>7276</v>
      </c>
      <c r="E1385" s="2" t="s">
        <v>1294</v>
      </c>
      <c r="F1385" s="1">
        <v>3.0</v>
      </c>
      <c r="G1385" s="3" t="s">
        <v>470</v>
      </c>
    </row>
    <row r="1386">
      <c r="A1386" s="3" t="s">
        <v>7277</v>
      </c>
      <c r="B1386" s="4" t="str">
        <f>IFERROR(__xludf.DUMMYFUNCTION("GOOGLETRANSLATE(A1386, ""en"", ""te"")"),"మంచ్ తంత్ర మఖానా పేరి పెరీ")</f>
        <v>మంచ్ తంత్ర మఖానా పేరి పెరీ</v>
      </c>
      <c r="C1386" s="4" t="str">
        <f>IFERROR(__xludf.DUMMYFUNCTION("GOOGLETRANSLATE(A1386, ""en"", ""hi"")"),"मंच तंत्र मखाना पेरी पेरी")</f>
        <v>मंच तंत्र मखाना पेरी पेरी</v>
      </c>
      <c r="D1386" s="5"/>
      <c r="E1386" s="2" t="s">
        <v>1294</v>
      </c>
      <c r="F1386" s="1">
        <v>3.0</v>
      </c>
      <c r="G1386" s="3" t="s">
        <v>470</v>
      </c>
    </row>
    <row r="1387">
      <c r="A1387" s="3" t="s">
        <v>7278</v>
      </c>
      <c r="B1387" s="4" t="str">
        <f>IFERROR(__xludf.DUMMYFUNCTION("GOOGLETRANSLATE(A1387, ""en"", ""te"")"),"బ్రిటానియా న్యూట్రి ఛాయిస్ 5 గ్రెయిన్ డైజెస్టివ్")</f>
        <v>బ్రిటానియా న్యూట్రి ఛాయిస్ 5 గ్రెయిన్ డైజెస్టివ్</v>
      </c>
      <c r="C1387" s="4" t="str">
        <f>IFERROR(__xludf.DUMMYFUNCTION("GOOGLETRANSLATE(A1387, ""en"", ""hi"")"),"ब्रिटानिया न्यूट्री चॉइस 5 ग्रेन डाइजेस्टिव")</f>
        <v>ब्रिटानिया न्यूट्री चॉइस 5 ग्रेन डाइजेस्टिव</v>
      </c>
      <c r="D1387" s="2" t="s">
        <v>7168</v>
      </c>
      <c r="E1387" s="2" t="s">
        <v>4100</v>
      </c>
      <c r="F1387" s="1">
        <v>3.0</v>
      </c>
      <c r="G1387" s="3" t="s">
        <v>488</v>
      </c>
    </row>
    <row r="1388">
      <c r="A1388" s="3" t="s">
        <v>7279</v>
      </c>
      <c r="B1388" s="4" t="str">
        <f>IFERROR(__xludf.DUMMYFUNCTION("GOOGLETRANSLATE(A1388, ""en"", ""te"")"),"బ్రిటానియా డైజెస్టివ్ ఒరిజినల్")</f>
        <v>బ్రిటానియా డైజెస్టివ్ ఒరిజినల్</v>
      </c>
      <c r="C1388" s="4" t="str">
        <f>IFERROR(__xludf.DUMMYFUNCTION("GOOGLETRANSLATE(A1388, ""en"", ""hi"")"),"ब्रिटानिया डाइजेस्टिव ओरिजिनल")</f>
        <v>ब्रिटानिया डाइजेस्टिव ओरिजिनल</v>
      </c>
      <c r="D1388" s="2" t="s">
        <v>7168</v>
      </c>
      <c r="E1388" s="2" t="s">
        <v>4100</v>
      </c>
      <c r="F1388" s="1">
        <v>3.0</v>
      </c>
      <c r="G1388" s="3" t="s">
        <v>488</v>
      </c>
    </row>
    <row r="1389">
      <c r="A1389" s="3" t="s">
        <v>7280</v>
      </c>
      <c r="B1389" s="4" t="str">
        <f>IFERROR(__xludf.DUMMYFUNCTION("GOOGLETRANSLATE(A1389, ""en"", ""te"")"),"బ్రిటానియా న్యూట్రి ఛాయిస్ ఓట్స్ చాక్లెట్ &amp; ఆల్మండ్")</f>
        <v>బ్రిటానియా న్యూట్రి ఛాయిస్ ఓట్స్ చాక్లెట్ &amp; ఆల్మండ్</v>
      </c>
      <c r="C1389" s="4" t="str">
        <f>IFERROR(__xludf.DUMMYFUNCTION("GOOGLETRANSLATE(A1389, ""en"", ""hi"")"),"ब्रिटानिया न्यूट्री चॉइस ओट्स चॉकलेट और बादाम")</f>
        <v>ब्रिटानिया न्यूट्री चॉइस ओट्स चॉकलेट और बादाम</v>
      </c>
      <c r="D1389" s="2" t="s">
        <v>7281</v>
      </c>
      <c r="E1389" s="2" t="s">
        <v>4100</v>
      </c>
      <c r="F1389" s="1">
        <v>3.0</v>
      </c>
      <c r="G1389" s="3" t="s">
        <v>488</v>
      </c>
    </row>
    <row r="1390">
      <c r="A1390" s="3" t="s">
        <v>7282</v>
      </c>
      <c r="B1390" s="4" t="str">
        <f>IFERROR(__xludf.DUMMYFUNCTION("GOOGLETRANSLATE(A1390, ""en"", ""te"")"),"బ్రిటానియా న్యూట్రి ఛాయిస్ ఓట్స్ ఆల్మండ్ &amp; మిల్క్")</f>
        <v>బ్రిటానియా న్యూట్రి ఛాయిస్ ఓట్స్ ఆల్మండ్ &amp; మిల్క్</v>
      </c>
      <c r="C1390" s="4" t="str">
        <f>IFERROR(__xludf.DUMMYFUNCTION("GOOGLETRANSLATE(A1390, ""en"", ""hi"")"),"ब्रिटानिया न्यूट्री चॉइस ओट्स बादाम और दूध")</f>
        <v>ब्रिटानिया न्यूट्री चॉइस ओट्स बादाम और दूध</v>
      </c>
      <c r="D1390" s="2" t="s">
        <v>7283</v>
      </c>
      <c r="E1390" s="2" t="s">
        <v>2369</v>
      </c>
      <c r="F1390" s="1">
        <v>3.0</v>
      </c>
      <c r="G1390" s="3" t="s">
        <v>488</v>
      </c>
    </row>
    <row r="1391">
      <c r="A1391" s="3" t="s">
        <v>1523</v>
      </c>
      <c r="B1391" s="4" t="str">
        <f>IFERROR(__xludf.DUMMYFUNCTION("GOOGLETRANSLATE(A1391, ""en"", ""te"")"),"బ్రిటానియా మేరీ గోల్డ్")</f>
        <v>బ్రిటానియా మేరీ గోల్డ్</v>
      </c>
      <c r="C1391" s="4" t="str">
        <f>IFERROR(__xludf.DUMMYFUNCTION("GOOGLETRANSLATE(A1391, ""en"", ""hi"")"),"ब्रिटानिया मैरी गोल्ड")</f>
        <v>ब्रिटानिया मैरी गोल्ड</v>
      </c>
      <c r="D1391" s="2" t="s">
        <v>4099</v>
      </c>
      <c r="E1391" s="2" t="s">
        <v>4100</v>
      </c>
      <c r="F1391" s="1">
        <v>3.0</v>
      </c>
      <c r="G1391" s="3" t="s">
        <v>490</v>
      </c>
    </row>
    <row r="1392">
      <c r="A1392" s="3" t="s">
        <v>7284</v>
      </c>
      <c r="B1392" s="4" t="str">
        <f>IFERROR(__xludf.DUMMYFUNCTION("GOOGLETRANSLATE(A1392, ""en"", ""te"")"),"పీక్ ఫ్రీన్స్ సూపర్")</f>
        <v>పీక్ ఫ్రీన్స్ సూపర్</v>
      </c>
      <c r="C1392" s="4" t="str">
        <f>IFERROR(__xludf.DUMMYFUNCTION("GOOGLETRANSLATE(A1392, ""en"", ""hi"")"),"पीक फ्रीन्स सूपर")</f>
        <v>पीक फ्रीन्स सूपर</v>
      </c>
      <c r="D1392" s="5"/>
      <c r="E1392" s="2" t="s">
        <v>4100</v>
      </c>
      <c r="F1392" s="1">
        <v>3.0</v>
      </c>
      <c r="G1392" s="3" t="s">
        <v>490</v>
      </c>
    </row>
    <row r="1393">
      <c r="A1393" s="3" t="s">
        <v>1471</v>
      </c>
      <c r="B1393" s="4" t="str">
        <f>IFERROR(__xludf.DUMMYFUNCTION("GOOGLETRANSLATE(A1393, ""en"", ""te"")"),"బ్రిటానియా డైజెస్టివ్")</f>
        <v>బ్రిటానియా డైజెస్టివ్</v>
      </c>
      <c r="C1393" s="4" t="str">
        <f>IFERROR(__xludf.DUMMYFUNCTION("GOOGLETRANSLATE(A1393, ""en"", ""hi"")"),"ब्रिटानिया डाइजेस्टिव")</f>
        <v>ब्रिटानिया डाइजेस्टिव</v>
      </c>
      <c r="D1393" s="2" t="s">
        <v>7168</v>
      </c>
      <c r="E1393" s="2" t="s">
        <v>4100</v>
      </c>
      <c r="F1393" s="1">
        <v>3.0</v>
      </c>
      <c r="G1393" s="3" t="s">
        <v>490</v>
      </c>
    </row>
    <row r="1394">
      <c r="A1394" s="3" t="s">
        <v>1445</v>
      </c>
      <c r="B1394" s="4" t="str">
        <f>IFERROR(__xludf.DUMMYFUNCTION("GOOGLETRANSLATE(A1394, ""en"", ""te"")"),"బ్రిటానియా బోర్బన్")</f>
        <v>బ్రిటానియా బోర్బన్</v>
      </c>
      <c r="C1394" s="4" t="str">
        <f>IFERROR(__xludf.DUMMYFUNCTION("GOOGLETRANSLATE(A1394, ""en"", ""hi"")"),"ब्रिटानिया बॉर्बन")</f>
        <v>ब्रिटानिया बॉर्बन</v>
      </c>
      <c r="D1394" s="2" t="s">
        <v>7285</v>
      </c>
      <c r="E1394" s="2" t="s">
        <v>4100</v>
      </c>
      <c r="F1394" s="1">
        <v>3.0</v>
      </c>
      <c r="G1394" s="3" t="s">
        <v>490</v>
      </c>
    </row>
    <row r="1395">
      <c r="A1395" s="3" t="s">
        <v>7286</v>
      </c>
      <c r="B1395" s="4" t="str">
        <f>IFERROR(__xludf.DUMMYFUNCTION("GOOGLETRANSLATE(A1395, ""en"", ""te"")"),"ఆరుష్ ఖరి")</f>
        <v>ఆరుష్ ఖరి</v>
      </c>
      <c r="C1395" s="4" t="str">
        <f>IFERROR(__xludf.DUMMYFUNCTION("GOOGLETRANSLATE(A1395, ""en"", ""hi"")"),"आरुष खारी")</f>
        <v>आरुष खारी</v>
      </c>
      <c r="D1395" s="2" t="s">
        <v>7160</v>
      </c>
      <c r="E1395" s="2" t="s">
        <v>1294</v>
      </c>
      <c r="F1395" s="1">
        <v>3.0</v>
      </c>
      <c r="G1395" s="3" t="s">
        <v>453</v>
      </c>
    </row>
    <row r="1396">
      <c r="A1396" s="3" t="s">
        <v>7287</v>
      </c>
      <c r="B1396" s="4" t="str">
        <f>IFERROR(__xludf.DUMMYFUNCTION("GOOGLETRANSLATE(A1396, ""en"", ""te"")"),"మంచ్ &amp; తంత్ర మఖానా హిమాలయన్ పింక్ సాల్ట్")</f>
        <v>మంచ్ &amp; తంత్ర మఖానా హిమాలయన్ పింక్ సాల్ట్</v>
      </c>
      <c r="C1396" s="4" t="str">
        <f>IFERROR(__xludf.DUMMYFUNCTION("GOOGLETRANSLATE(A1396, ""en"", ""hi"")"),"चबाना और तंत्र मखाना हिमालयन गुलाबी नमक")</f>
        <v>चबाना और तंत्र मखाना हिमालयन गुलाबी नमक</v>
      </c>
      <c r="D1396" s="2" t="s">
        <v>6853</v>
      </c>
      <c r="E1396" s="2" t="s">
        <v>442</v>
      </c>
      <c r="F1396" s="1">
        <v>3.0</v>
      </c>
      <c r="G1396" s="3" t="s">
        <v>470</v>
      </c>
    </row>
    <row r="1397">
      <c r="A1397" s="3" t="s">
        <v>7288</v>
      </c>
      <c r="B1397" s="4" t="str">
        <f>IFERROR(__xludf.DUMMYFUNCTION("GOOGLETRANSLATE(A1397, ""en"", ""te"")"),"మంచ్ &amp; తంత్ర మఖానా")</f>
        <v>మంచ్ &amp; తంత్ర మఖానా</v>
      </c>
      <c r="C1397" s="4" t="str">
        <f>IFERROR(__xludf.DUMMYFUNCTION("GOOGLETRANSLATE(A1397, ""en"", ""hi"")"),"मंच और तंत्र मखाना")</f>
        <v>मंच और तंत्र मखाना</v>
      </c>
      <c r="D1397" s="5"/>
      <c r="E1397" s="2" t="s">
        <v>1294</v>
      </c>
      <c r="F1397" s="1">
        <v>3.0</v>
      </c>
      <c r="G1397" s="3" t="s">
        <v>470</v>
      </c>
    </row>
    <row r="1398">
      <c r="A1398" s="3" t="s">
        <v>7266</v>
      </c>
      <c r="B1398" s="4" t="str">
        <f>IFERROR(__xludf.DUMMYFUNCTION("GOOGLETRANSLATE(A1398, ""en"", ""te"")"),"మఖానా పెరి పెరి")</f>
        <v>మఖానా పెరి పెరి</v>
      </c>
      <c r="C1398" s="4" t="str">
        <f>IFERROR(__xludf.DUMMYFUNCTION("GOOGLETRANSLATE(A1398, ""en"", ""hi"")"),"मखाना पेरी पेरी")</f>
        <v>मखाना पेरी पेरी</v>
      </c>
      <c r="D1398" s="5"/>
      <c r="E1398" s="2" t="s">
        <v>442</v>
      </c>
      <c r="F1398" s="1">
        <v>3.0</v>
      </c>
      <c r="G1398" s="3" t="s">
        <v>470</v>
      </c>
    </row>
    <row r="1399">
      <c r="A1399" s="3" t="s">
        <v>1523</v>
      </c>
      <c r="B1399" s="4" t="str">
        <f>IFERROR(__xludf.DUMMYFUNCTION("GOOGLETRANSLATE(A1399, ""en"", ""te"")"),"బ్రిటానియా మేరీ గోల్డ్")</f>
        <v>బ్రిటానియా మేరీ గోల్డ్</v>
      </c>
      <c r="C1399" s="4" t="str">
        <f>IFERROR(__xludf.DUMMYFUNCTION("GOOGLETRANSLATE(A1399, ""en"", ""hi"")"),"ब्रिटानिया मैरी गोल्ड")</f>
        <v>ब्रिटानिया मैरी गोल्ड</v>
      </c>
      <c r="D1399" s="2" t="s">
        <v>4099</v>
      </c>
      <c r="E1399" s="2" t="s">
        <v>4100</v>
      </c>
      <c r="F1399" s="1">
        <v>3.0</v>
      </c>
      <c r="G1399" s="3" t="s">
        <v>488</v>
      </c>
    </row>
    <row r="1400">
      <c r="A1400" s="3" t="s">
        <v>7289</v>
      </c>
      <c r="B1400" s="4" t="str">
        <f>IFERROR(__xludf.DUMMYFUNCTION("GOOGLETRANSLATE(A1400, ""en"", ""te"")"),"బ్రిటానియా న్యూట్రిచాయిస్ 5 గ్రెయిన్")</f>
        <v>బ్రిటానియా న్యూట్రిచాయిస్ 5 గ్రెయిన్</v>
      </c>
      <c r="C1400" s="4" t="str">
        <f>IFERROR(__xludf.DUMMYFUNCTION("GOOGLETRANSLATE(A1400, ""en"", ""hi"")"),"ब्रिटानिया न्यूट्रीचॉइस 5 अनाज")</f>
        <v>ब्रिटानिया न्यूट्रीचॉइस 5 अनाज</v>
      </c>
      <c r="D1400" s="5"/>
      <c r="E1400" s="2" t="s">
        <v>67</v>
      </c>
      <c r="F1400" s="1">
        <v>3.0</v>
      </c>
      <c r="G1400" s="3" t="s">
        <v>488</v>
      </c>
    </row>
    <row r="1401">
      <c r="A1401" s="3" t="s">
        <v>7290</v>
      </c>
      <c r="B1401" s="4" t="str">
        <f>IFERROR(__xludf.DUMMYFUNCTION("GOOGLETRANSLATE(A1401, ""en"", ""te"")"),"బ్రిటానియా న్యూట్రిచాయిస్ డైజెస్టివ్ ఒరిజినల్")</f>
        <v>బ్రిటానియా న్యూట్రిచాయిస్ డైజెస్టివ్ ఒరిజినల్</v>
      </c>
      <c r="C1401" s="4" t="str">
        <f>IFERROR(__xludf.DUMMYFUNCTION("GOOGLETRANSLATE(A1401, ""en"", ""hi"")"),"ब्रिटानिया न्यूट्रीचॉइस डाइजेस्टिव ओरिजिनल")</f>
        <v>ब्रिटानिया न्यूट्रीचॉइस डाइजेस्टिव ओरिजिनल</v>
      </c>
      <c r="D1401" s="2" t="s">
        <v>7168</v>
      </c>
      <c r="E1401" s="2" t="s">
        <v>4100</v>
      </c>
      <c r="F1401" s="1">
        <v>3.0</v>
      </c>
      <c r="G1401" s="3" t="s">
        <v>488</v>
      </c>
    </row>
    <row r="1402">
      <c r="A1402" s="3" t="s">
        <v>7291</v>
      </c>
      <c r="B1402" s="4" t="str">
        <f>IFERROR(__xludf.DUMMYFUNCTION("GOOGLETRANSLATE(A1402, ""en"", ""te"")"),"బ్రిటానియా న్యూట్రిచాయిస్ ఓట్స్ చాక్లెట్ &amp; బాదంపప్పులు")</f>
        <v>బ్రిటానియా న్యూట్రిచాయిస్ ఓట్స్ చాక్లెట్ &amp; బాదంపప్పులు</v>
      </c>
      <c r="C1402" s="4" t="str">
        <f>IFERROR(__xludf.DUMMYFUNCTION("GOOGLETRANSLATE(A1402, ""en"", ""hi"")"),"ब्रिटानिया न्यूट्रीचॉइस ओट्स चॉकलेट और बादाम")</f>
        <v>ब्रिटानिया न्यूट्रीचॉइस ओट्स चॉकलेट और बादाम</v>
      </c>
      <c r="D1402" s="2" t="s">
        <v>7270</v>
      </c>
      <c r="E1402" s="2" t="s">
        <v>4100</v>
      </c>
      <c r="F1402" s="1">
        <v>3.0</v>
      </c>
      <c r="G1402" s="3" t="s">
        <v>488</v>
      </c>
    </row>
    <row r="1403">
      <c r="A1403" s="3" t="s">
        <v>7292</v>
      </c>
      <c r="B1403" s="4" t="str">
        <f>IFERROR(__xludf.DUMMYFUNCTION("GOOGLETRANSLATE(A1403, ""en"", ""te"")"),"ఆరుష్ ఖిచియా ఫరలీ ఖిచియా")</f>
        <v>ఆరుష్ ఖిచియా ఫరలీ ఖిచియా</v>
      </c>
      <c r="C1403" s="4" t="str">
        <f>IFERROR(__xludf.DUMMYFUNCTION("GOOGLETRANSLATE(A1403, ""en"", ""hi"")"),"आरुष खिचिया फराली खिचिया")</f>
        <v>आरुष खिचिया फराली खिचिया</v>
      </c>
      <c r="D1403" s="2" t="s">
        <v>7293</v>
      </c>
      <c r="E1403" s="2" t="s">
        <v>1294</v>
      </c>
      <c r="F1403" s="1">
        <v>3.0</v>
      </c>
      <c r="G1403" s="3" t="s">
        <v>588</v>
      </c>
    </row>
    <row r="1404">
      <c r="A1404" s="3" t="s">
        <v>7294</v>
      </c>
      <c r="B1404" s="4" t="str">
        <f>IFERROR(__xludf.DUMMYFUNCTION("GOOGLETRANSLATE(A1404, ""en"", ""te"")"),"ఆరుష్ ఖిచియా ప్లెయిన్ రైస్ ఫ్లోర్ క్రాకర్స్")</f>
        <v>ఆరుష్ ఖిచియా ప్లెయిన్ రైస్ ఫ్లోర్ క్రాకర్స్</v>
      </c>
      <c r="C1404" s="4" t="str">
        <f>IFERROR(__xludf.DUMMYFUNCTION("GOOGLETRANSLATE(A1404, ""en"", ""hi"")"),"आरुष खिचिया सादा चावल का आटा पटाखे")</f>
        <v>आरुष खिचिया सादा चावल का आटा पटाखे</v>
      </c>
      <c r="D1404" s="5"/>
      <c r="E1404" s="2" t="s">
        <v>1294</v>
      </c>
      <c r="F1404" s="1">
        <v>3.0</v>
      </c>
      <c r="G1404" s="3" t="s">
        <v>594</v>
      </c>
    </row>
    <row r="1405">
      <c r="A1405" s="3" t="s">
        <v>7295</v>
      </c>
      <c r="B1405" s="4" t="str">
        <f>IFERROR(__xludf.DUMMYFUNCTION("GOOGLETRANSLATE(A1405, ""en"", ""te"")"),"ఆరుష్ ఖిచియా సాదా ఖిచియా")</f>
        <v>ఆరుష్ ఖిచియా సాదా ఖిచియా</v>
      </c>
      <c r="C1405" s="4" t="str">
        <f>IFERROR(__xludf.DUMMYFUNCTION("GOOGLETRANSLATE(A1405, ""en"", ""hi"")"),"आरुष खिचिया सादा खिचिया")</f>
        <v>आरुष खिचिया सादा खिचिया</v>
      </c>
      <c r="D1405" s="2" t="s">
        <v>7296</v>
      </c>
      <c r="E1405" s="2" t="s">
        <v>1294</v>
      </c>
      <c r="F1405" s="1">
        <v>3.0</v>
      </c>
      <c r="G1405" s="3" t="s">
        <v>594</v>
      </c>
    </row>
    <row r="1406">
      <c r="A1406" s="3" t="s">
        <v>7297</v>
      </c>
      <c r="B1406" s="4" t="str">
        <f>IFERROR(__xludf.DUMMYFUNCTION("GOOGLETRANSLATE(A1406, ""en"", ""te"")"),"జియాస్ చిల్లీ గార్లిక్ రైస్ క్రాకర్స్")</f>
        <v>జియాస్ చిల్లీ గార్లిక్ రైస్ క్రాకర్స్</v>
      </c>
      <c r="C1406" s="4" t="str">
        <f>IFERROR(__xludf.DUMMYFUNCTION("GOOGLETRANSLATE(A1406, ""en"", ""hi"")"),"जियास चिली गार्लिक राइस क्रैकर्स")</f>
        <v>जियास चिली गार्लिक राइस क्रैकर्स</v>
      </c>
      <c r="D1406" s="2" t="s">
        <v>1636</v>
      </c>
      <c r="E1406" s="2" t="s">
        <v>1294</v>
      </c>
      <c r="F1406" s="1">
        <v>3.0</v>
      </c>
      <c r="G1406" s="3" t="s">
        <v>600</v>
      </c>
    </row>
    <row r="1407">
      <c r="A1407" s="3" t="s">
        <v>7297</v>
      </c>
      <c r="B1407" s="4" t="str">
        <f>IFERROR(__xludf.DUMMYFUNCTION("GOOGLETRANSLATE(A1407, ""en"", ""te"")"),"జియాస్ చిల్లీ గార్లిక్ రైస్ క్రాకర్స్")</f>
        <v>జియాస్ చిల్లీ గార్లిక్ రైస్ క్రాకర్స్</v>
      </c>
      <c r="C1407" s="4" t="str">
        <f>IFERROR(__xludf.DUMMYFUNCTION("GOOGLETRANSLATE(A1407, ""en"", ""hi"")"),"जियास चिली गार्लिक राइस क्रैकर्स")</f>
        <v>जियास चिली गार्लिक राइस क्रैकर्स</v>
      </c>
      <c r="D1407" s="2" t="s">
        <v>1636</v>
      </c>
      <c r="E1407" s="2" t="s">
        <v>1294</v>
      </c>
      <c r="F1407" s="1">
        <v>3.0</v>
      </c>
      <c r="G1407" s="3" t="s">
        <v>740</v>
      </c>
    </row>
    <row r="1408">
      <c r="A1408" s="3" t="s">
        <v>7298</v>
      </c>
      <c r="B1408" s="4" t="str">
        <f>IFERROR(__xludf.DUMMYFUNCTION("GOOGLETRANSLATE(A1408, ""en"", ""te"")"),"జియాస్ ప్లెయిన్ రైస్ క్రాకర్స్")</f>
        <v>జియాస్ ప్లెయిన్ రైస్ క్రాకర్స్</v>
      </c>
      <c r="C1408" s="4" t="str">
        <f>IFERROR(__xludf.DUMMYFUNCTION("GOOGLETRANSLATE(A1408, ""en"", ""hi"")"),"जियास प्लेन राइस क्रैकर्स")</f>
        <v>जियास प्लेन राइस क्रैकर्स</v>
      </c>
      <c r="D1408" s="2" t="s">
        <v>36</v>
      </c>
      <c r="E1408" s="2" t="s">
        <v>1294</v>
      </c>
      <c r="F1408" s="1">
        <v>3.0</v>
      </c>
      <c r="G1408" s="3" t="s">
        <v>740</v>
      </c>
    </row>
    <row r="1409">
      <c r="A1409" s="3" t="s">
        <v>7299</v>
      </c>
      <c r="B1409" s="4" t="str">
        <f>IFERROR(__xludf.DUMMYFUNCTION("GOOGLETRANSLATE(A1409, ""en"", ""te"")"),"జియాస్ చిల్లీ గార్లిక్ రైస్ క్రాకర్స్")</f>
        <v>జియాస్ చిల్లీ గార్లిక్ రైస్ క్రాకర్స్</v>
      </c>
      <c r="C1409" s="4" t="str">
        <f>IFERROR(__xludf.DUMMYFUNCTION("GOOGLETRANSLATE(A1409, ""en"", ""hi"")"),"जिया के चिली गार्लिक राइस क्रैकर्स")</f>
        <v>जिया के चिली गार्लिक राइस क्रैकर्स</v>
      </c>
      <c r="D1409" s="2" t="s">
        <v>2604</v>
      </c>
      <c r="E1409" s="2" t="s">
        <v>1294</v>
      </c>
      <c r="F1409" s="1">
        <v>3.0</v>
      </c>
      <c r="G1409" s="3" t="s">
        <v>600</v>
      </c>
    </row>
    <row r="1410">
      <c r="A1410" s="3" t="s">
        <v>7300</v>
      </c>
      <c r="B1410" s="4" t="str">
        <f>IFERROR(__xludf.DUMMYFUNCTION("GOOGLETRANSLATE(A1410, ""en"", ""te"")"),"ఆరుష్ మా ఉత్పత్తులు")</f>
        <v>ఆరుష్ మా ఉత్పత్తులు</v>
      </c>
      <c r="C1410" s="4" t="str">
        <f>IFERROR(__xludf.DUMMYFUNCTION("GOOGLETRANSLATE(A1410, ""en"", ""hi"")"),"आरुष हमारे उत्पाद")</f>
        <v>आरुष हमारे उत्पाद</v>
      </c>
      <c r="D1410" s="5"/>
      <c r="E1410" s="2" t="s">
        <v>2279</v>
      </c>
      <c r="F1410" s="1">
        <v>3.0</v>
      </c>
      <c r="G1410" s="3" t="s">
        <v>600</v>
      </c>
    </row>
    <row r="1411">
      <c r="A1411" s="3" t="s">
        <v>7301</v>
      </c>
      <c r="B1411" s="4" t="str">
        <f>IFERROR(__xludf.DUMMYFUNCTION("GOOGLETRANSLATE(A1411, ""en"", ""te"")"),"లక్ష్మి సౌత్ ఏషియన్ ఫుడ్ బ్రాండ్")</f>
        <v>లక్ష్మి సౌత్ ఏషియన్ ఫుడ్ బ్రాండ్</v>
      </c>
      <c r="C1411" s="4" t="str">
        <f>IFERROR(__xludf.DUMMYFUNCTION("GOOGLETRANSLATE(A1411, ""en"", ""hi"")"),"लक्ष्मी दक्षिण एशियाई खाद्य ब्रांड")</f>
        <v>लक्ष्मी दक्षिण एशियाई खाद्य ब्रांड</v>
      </c>
      <c r="D1411" s="5"/>
      <c r="E1411" s="2" t="s">
        <v>2279</v>
      </c>
      <c r="F1411" s="1">
        <v>3.0</v>
      </c>
      <c r="G1411" s="3" t="s">
        <v>740</v>
      </c>
    </row>
    <row r="1412">
      <c r="A1412" s="3" t="s">
        <v>7301</v>
      </c>
      <c r="B1412" s="4" t="str">
        <f>IFERROR(__xludf.DUMMYFUNCTION("GOOGLETRANSLATE(A1412, ""en"", ""te"")"),"లక్ష్మి సౌత్ ఏషియన్ ఫుడ్ బ్రాండ్")</f>
        <v>లక్ష్మి సౌత్ ఏషియన్ ఫుడ్ బ్రాండ్</v>
      </c>
      <c r="C1412" s="4" t="str">
        <f>IFERROR(__xludf.DUMMYFUNCTION("GOOGLETRANSLATE(A1412, ""en"", ""hi"")"),"लक्ष्मी दक्षिण एशियाई खाद्य ब्रांड")</f>
        <v>लक्ष्मी दक्षिण एशियाई खाद्य ब्रांड</v>
      </c>
      <c r="D1412" s="5"/>
      <c r="E1412" s="2" t="s">
        <v>2279</v>
      </c>
      <c r="F1412" s="1">
        <v>3.0</v>
      </c>
      <c r="G1412" s="3" t="s">
        <v>806</v>
      </c>
    </row>
    <row r="1413">
      <c r="A1413" s="3" t="s">
        <v>7302</v>
      </c>
      <c r="B1413" s="4" t="str">
        <f>IFERROR(__xludf.DUMMYFUNCTION("GOOGLETRANSLATE(A1413, ""en"", ""te"")"),"ఆరుష్ ప్లెయిన్ ఖిచియా రైస్ ఫ్లోర్ క్రాకర్స్")</f>
        <v>ఆరుష్ ప్లెయిన్ ఖిచియా రైస్ ఫ్లోర్ క్రాకర్స్</v>
      </c>
      <c r="C1413" s="4" t="str">
        <f>IFERROR(__xludf.DUMMYFUNCTION("GOOGLETRANSLATE(A1413, ""en"", ""hi"")"),"आरुष सादा खिचिया चावल का आटा पटाखे")</f>
        <v>आरुष सादा खिचिया चावल का आटा पटाखे</v>
      </c>
      <c r="D1413" s="5"/>
      <c r="E1413" s="2" t="s">
        <v>4100</v>
      </c>
      <c r="F1413" s="1">
        <v>3.0</v>
      </c>
      <c r="G1413" s="3" t="s">
        <v>806</v>
      </c>
    </row>
    <row r="1414">
      <c r="A1414" s="3" t="s">
        <v>7303</v>
      </c>
      <c r="B1414" s="4" t="str">
        <f>IFERROR(__xludf.DUMMYFUNCTION("GOOGLETRANSLATE(A1414, ""en"", ""te"")"),"ఆరుష్ ఖిచియా మైదానం")</f>
        <v>ఆరుష్ ఖిచియా మైదానం</v>
      </c>
      <c r="C1414" s="4" t="str">
        <f>IFERROR(__xludf.DUMMYFUNCTION("GOOGLETRANSLATE(A1414, ""en"", ""hi"")"),"आरुष खिचिया मैदान")</f>
        <v>आरुष खिचिया मैदान</v>
      </c>
      <c r="D1414" s="5"/>
      <c r="E1414" s="2" t="s">
        <v>1294</v>
      </c>
      <c r="F1414" s="1">
        <v>3.0</v>
      </c>
      <c r="G1414" s="3" t="s">
        <v>806</v>
      </c>
    </row>
    <row r="1415">
      <c r="A1415" s="3" t="s">
        <v>7304</v>
      </c>
      <c r="B1415" s="4" t="str">
        <f>IFERROR(__xludf.DUMMYFUNCTION("GOOGLETRANSLATE(A1415, ""en"", ""te"")"),"ముంచ్ తంత్ర మఖానా")</f>
        <v>ముంచ్ తంత్ర మఖానా</v>
      </c>
      <c r="C1415" s="4" t="str">
        <f>IFERROR(__xludf.DUMMYFUNCTION("GOOGLETRANSLATE(A1415, ""en"", ""hi"")"),"मंच तंत्र मखाना")</f>
        <v>मंच तंत्र मखाना</v>
      </c>
      <c r="D1415" s="5"/>
      <c r="E1415" s="2" t="s">
        <v>1294</v>
      </c>
      <c r="F1415" s="1">
        <v>3.0</v>
      </c>
      <c r="G1415" s="3" t="s">
        <v>475</v>
      </c>
    </row>
    <row r="1416">
      <c r="A1416" s="3" t="s">
        <v>7305</v>
      </c>
      <c r="B1416" s="4" t="str">
        <f>IFERROR(__xludf.DUMMYFUNCTION("GOOGLETRANSLATE(A1416, ""en"", ""te"")"),"మంచ్ తంత్ర మఖానా మేజిక్ మసాలా")</f>
        <v>మంచ్ తంత్ర మఖానా మేజిక్ మసాలా</v>
      </c>
      <c r="C1416" s="4" t="str">
        <f>IFERROR(__xludf.DUMMYFUNCTION("GOOGLETRANSLATE(A1416, ""en"", ""hi"")"),"मंच तंत्र मखाना जादू मसाला")</f>
        <v>मंच तंत्र मखाना जादू मसाला</v>
      </c>
      <c r="D1416" s="5"/>
      <c r="E1416" s="2" t="s">
        <v>1294</v>
      </c>
      <c r="F1416" s="1">
        <v>3.0</v>
      </c>
      <c r="G1416" s="3" t="s">
        <v>475</v>
      </c>
    </row>
    <row r="1417">
      <c r="A1417" s="3" t="s">
        <v>7306</v>
      </c>
      <c r="B1417" s="4" t="str">
        <f>IFERROR(__xludf.DUMMYFUNCTION("GOOGLETRANSLATE(A1417, ""en"", ""te"")"),"బ్రిటానియా మేరీ గోల్డ్ బిస్కెట్లు")</f>
        <v>బ్రిటానియా మేరీ గోల్డ్ బిస్కెట్లు</v>
      </c>
      <c r="C1417" s="4" t="str">
        <f>IFERROR(__xludf.DUMMYFUNCTION("GOOGLETRANSLATE(A1417, ""en"", ""hi"")"),"ब्रिटानिया मैरी गोल्ड बिस्कुट")</f>
        <v>ब्रिटानिया मैरी गोल्ड बिस्कुट</v>
      </c>
      <c r="D1417" s="5"/>
      <c r="E1417" s="2" t="s">
        <v>4100</v>
      </c>
      <c r="F1417" s="1">
        <v>3.0</v>
      </c>
      <c r="G1417" s="3" t="s">
        <v>488</v>
      </c>
    </row>
    <row r="1418">
      <c r="A1418" s="3" t="s">
        <v>7307</v>
      </c>
      <c r="B1418" s="4" t="str">
        <f>IFERROR(__xludf.DUMMYFUNCTION("GOOGLETRANSLATE(A1418, ""en"", ""te"")"),"బ్రిటానియా న్యూట్రిచాయిస్ 5 గ్రెయిన్ డైజెస్టివ్ బిస్కెట్లు")</f>
        <v>బ్రిటానియా న్యూట్రిచాయిస్ 5 గ్రెయిన్ డైజెస్టివ్ బిస్కెట్లు</v>
      </c>
      <c r="C1418" s="4" t="str">
        <f>IFERROR(__xludf.DUMMYFUNCTION("GOOGLETRANSLATE(A1418, ""en"", ""hi"")"),"ब्रिटानिया न्यूट्रीचॉइस 5 ग्रेन डाइजेस्टिव बिस्कुट")</f>
        <v>ब्रिटानिया न्यूट्रीचॉइस 5 ग्रेन डाइजेस्टिव बिस्कुट</v>
      </c>
      <c r="D1418" s="2" t="s">
        <v>7050</v>
      </c>
      <c r="E1418" s="2" t="s">
        <v>4100</v>
      </c>
      <c r="F1418" s="1">
        <v>3.0</v>
      </c>
      <c r="G1418" s="3" t="s">
        <v>488</v>
      </c>
    </row>
    <row r="1419">
      <c r="A1419" s="3" t="s">
        <v>7308</v>
      </c>
      <c r="B1419" s="4" t="str">
        <f>IFERROR(__xludf.DUMMYFUNCTION("GOOGLETRANSLATE(A1419, ""en"", ""te"")"),"బ్రిటానియా చక్కెర రహిత డైజెస్టివ్ బిస్కెట్లు")</f>
        <v>బ్రిటానియా చక్కెర రహిత డైజెస్టివ్ బిస్కెట్లు</v>
      </c>
      <c r="C1419" s="4" t="str">
        <f>IFERROR(__xludf.DUMMYFUNCTION("GOOGLETRANSLATE(A1419, ""en"", ""hi"")"),"ब्रिटानिया शुगर फ्री डाइजेस्टिव बिस्कुट")</f>
        <v>ब्रिटानिया शुगर फ्री डाइजेस्टिव बिस्कुट</v>
      </c>
      <c r="D1419" s="2" t="s">
        <v>7050</v>
      </c>
      <c r="E1419" s="2" t="s">
        <v>4100</v>
      </c>
      <c r="F1419" s="1">
        <v>3.0</v>
      </c>
      <c r="G1419" s="3" t="s">
        <v>488</v>
      </c>
    </row>
    <row r="1420">
      <c r="A1420" s="3" t="s">
        <v>7309</v>
      </c>
      <c r="B1420" s="4" t="str">
        <f>IFERROR(__xludf.DUMMYFUNCTION("GOOGLETRANSLATE(A1420, ""en"", ""te"")"),"బ్రిటానియా డైజెస్టివ్ ఒరిజినల్ బిస్కెట్లు")</f>
        <v>బ్రిటానియా డైజెస్టివ్ ఒరిజినల్ బిస్కెట్లు</v>
      </c>
      <c r="C1420" s="4" t="str">
        <f>IFERROR(__xludf.DUMMYFUNCTION("GOOGLETRANSLATE(A1420, ""en"", ""hi"")"),"ब्रिटानिया डाइजेस्टिव ओरिजिनल बिस्कुट")</f>
        <v>ब्रिटानिया डाइजेस्टिव ओरिजिनल बिस्कुट</v>
      </c>
      <c r="D1420" s="2" t="s">
        <v>7050</v>
      </c>
      <c r="E1420" s="2" t="s">
        <v>4100</v>
      </c>
      <c r="F1420" s="1">
        <v>3.0</v>
      </c>
      <c r="G1420" s="3" t="s">
        <v>488</v>
      </c>
    </row>
    <row r="1421">
      <c r="A1421" s="3" t="s">
        <v>7269</v>
      </c>
      <c r="B1421" s="4" t="str">
        <f>IFERROR(__xludf.DUMMYFUNCTION("GOOGLETRANSLATE(A1421, ""en"", ""te"")"),"బ్రిటానియా న్యూట్రిచాయిస్ ఓట్స్ చాక్లెట్ &amp; ఆల్మండ్")</f>
        <v>బ్రిటానియా న్యూట్రిచాయిస్ ఓట్స్ చాక్లెట్ &amp; ఆల్మండ్</v>
      </c>
      <c r="C1421" s="4" t="str">
        <f>IFERROR(__xludf.DUMMYFUNCTION("GOOGLETRANSLATE(A1421, ""en"", ""hi"")"),"ब्रिटानिया न्यूट्रीचॉइस ओट्स चॉकलेट और बादाम")</f>
        <v>ब्रिटानिया न्यूट्रीचॉइस ओट्स चॉकलेट और बादाम</v>
      </c>
      <c r="D1421" s="2" t="s">
        <v>7270</v>
      </c>
      <c r="E1421" s="2" t="s">
        <v>4100</v>
      </c>
      <c r="F1421" s="1">
        <v>3.0</v>
      </c>
      <c r="G1421" s="3" t="s">
        <v>488</v>
      </c>
    </row>
    <row r="1422">
      <c r="A1422" s="3" t="s">
        <v>7310</v>
      </c>
      <c r="B1422" s="4" t="str">
        <f>IFERROR(__xludf.DUMMYFUNCTION("GOOGLETRANSLATE(A1422, ""en"", ""te"")"),"బ్రిటానియా లిటిల్ హార్ట్స్ బిస్కెట్లు")</f>
        <v>బ్రిటానియా లిటిల్ హార్ట్స్ బిస్కెట్లు</v>
      </c>
      <c r="C1422" s="4" t="str">
        <f>IFERROR(__xludf.DUMMYFUNCTION("GOOGLETRANSLATE(A1422, ""en"", ""hi"")"),"ब्रिटानिया लिटिल हार्ट्स बिस्कुट")</f>
        <v>ब्रिटानिया लिटिल हार्ट्स बिस्कुट</v>
      </c>
      <c r="D1422" s="2" t="s">
        <v>7057</v>
      </c>
      <c r="E1422" s="2" t="s">
        <v>4100</v>
      </c>
      <c r="F1422" s="1">
        <v>3.0</v>
      </c>
      <c r="G1422" s="3" t="s">
        <v>490</v>
      </c>
    </row>
    <row r="1423">
      <c r="A1423" s="3" t="s">
        <v>7311</v>
      </c>
      <c r="B1423" s="4" t="str">
        <f>IFERROR(__xludf.DUMMYFUNCTION("GOOGLETRANSLATE(A1423, ""en"", ""te"")"),"EBM పీక్ ఫ్రీన్స్ సూపర్ బిస్కెట్లు")</f>
        <v>EBM పీక్ ఫ్రీన్స్ సూపర్ బిస్కెట్లు</v>
      </c>
      <c r="C1423" s="4" t="str">
        <f>IFERROR(__xludf.DUMMYFUNCTION("GOOGLETRANSLATE(A1423, ""en"", ""hi"")"),"ईबीएम पीक फ्रीन्स सूपर बिस्कुट")</f>
        <v>ईबीएम पीक फ्रीन्स सूपर बिस्कुट</v>
      </c>
      <c r="D1423" s="2" t="s">
        <v>7057</v>
      </c>
      <c r="E1423" s="2" t="s">
        <v>4100</v>
      </c>
      <c r="F1423" s="1">
        <v>3.0</v>
      </c>
      <c r="G1423" s="3" t="s">
        <v>490</v>
      </c>
    </row>
    <row r="1424">
      <c r="A1424" s="3" t="s">
        <v>7262</v>
      </c>
      <c r="B1424" s="4" t="str">
        <f>IFERROR(__xludf.DUMMYFUNCTION("GOOGLETRANSLATE(A1424, ""en"", ""te"")"),"బన్సివాలా కేసర్ అంగూరి పేఠా")</f>
        <v>బన్సివాలా కేసర్ అంగూరి పేఠా</v>
      </c>
      <c r="C1424" s="4" t="str">
        <f>IFERROR(__xludf.DUMMYFUNCTION("GOOGLETRANSLATE(A1424, ""en"", ""hi"")"),"बंसीवाला केसर अंगूरी पेठा")</f>
        <v>बंसीवाला केसर अंगूरी पेठा</v>
      </c>
      <c r="D1424" s="5"/>
      <c r="E1424" s="2" t="s">
        <v>3438</v>
      </c>
      <c r="F1424" s="1">
        <v>3.0</v>
      </c>
      <c r="G1424" s="3" t="s">
        <v>518</v>
      </c>
    </row>
    <row r="1425">
      <c r="A1425" s="3" t="s">
        <v>7245</v>
      </c>
      <c r="B1425" s="4" t="str">
        <f>IFERROR(__xludf.DUMMYFUNCTION("GOOGLETRANSLATE(A1425, ""en"", ""te"")"),"బన్సివాలా సుఖ పేట")</f>
        <v>బన్సివాలా సుఖ పేట</v>
      </c>
      <c r="C1425" s="4" t="str">
        <f>IFERROR(__xludf.DUMMYFUNCTION("GOOGLETRANSLATE(A1425, ""en"", ""hi"")"),"बंसीवाला सुखा पेठा")</f>
        <v>बंसीवाला सुखा पेठा</v>
      </c>
      <c r="D1425" s="2" t="s">
        <v>7246</v>
      </c>
      <c r="E1425" s="2" t="s">
        <v>3438</v>
      </c>
      <c r="F1425" s="1">
        <v>3.0</v>
      </c>
      <c r="G1425" s="3" t="s">
        <v>518</v>
      </c>
    </row>
    <row r="1426">
      <c r="A1426" s="3" t="s">
        <v>7247</v>
      </c>
      <c r="B1426" s="4" t="str">
        <f>IFERROR(__xludf.DUMMYFUNCTION("GOOGLETRANSLATE(A1426, ""en"", ""te"")"),"బన్సివాలా పాన్ పేఠా")</f>
        <v>బన్సివాలా పాన్ పేఠా</v>
      </c>
      <c r="C1426" s="4" t="str">
        <f>IFERROR(__xludf.DUMMYFUNCTION("GOOGLETRANSLATE(A1426, ""en"", ""hi"")"),"बंसीवाला पान पेठा")</f>
        <v>बंसीवाला पान पेठा</v>
      </c>
      <c r="D1426" s="2" t="s">
        <v>7248</v>
      </c>
      <c r="E1426" s="2" t="s">
        <v>3438</v>
      </c>
      <c r="F1426" s="1">
        <v>3.0</v>
      </c>
      <c r="G1426" s="3" t="s">
        <v>518</v>
      </c>
    </row>
    <row r="1427">
      <c r="A1427" s="3" t="s">
        <v>7312</v>
      </c>
      <c r="B1427" s="4" t="str">
        <f>IFERROR(__xludf.DUMMYFUNCTION("GOOGLETRANSLATE(A1427, ""en"", ""te"")"),"ముంచ్ మంత్ర మఖానా")</f>
        <v>ముంచ్ మంత్ర మఖానా</v>
      </c>
      <c r="C1427" s="4" t="str">
        <f>IFERROR(__xludf.DUMMYFUNCTION("GOOGLETRANSLATE(A1427, ""en"", ""hi"")"),"मंच मंत्र मखाना")</f>
        <v>मंच मंत्र मखाना</v>
      </c>
      <c r="D1427" s="5"/>
      <c r="E1427" s="2" t="s">
        <v>1294</v>
      </c>
      <c r="F1427" s="1">
        <v>3.0</v>
      </c>
      <c r="G1427" s="3" t="s">
        <v>518</v>
      </c>
    </row>
    <row r="1428">
      <c r="A1428" s="3" t="s">
        <v>7312</v>
      </c>
      <c r="B1428" s="4" t="str">
        <f>IFERROR(__xludf.DUMMYFUNCTION("GOOGLETRANSLATE(A1428, ""en"", ""te"")"),"ముంచ్ మంత్ర మఖానా")</f>
        <v>ముంచ్ మంత్ర మఖానా</v>
      </c>
      <c r="C1428" s="4" t="str">
        <f>IFERROR(__xludf.DUMMYFUNCTION("GOOGLETRANSLATE(A1428, ""en"", ""hi"")"),"मंच मंत्र मखाना")</f>
        <v>मंच मंत्र मखाना</v>
      </c>
      <c r="D1428" s="5"/>
      <c r="E1428" s="2" t="s">
        <v>1294</v>
      </c>
      <c r="F1428" s="1">
        <v>3.0</v>
      </c>
      <c r="G1428" s="3" t="s">
        <v>475</v>
      </c>
    </row>
    <row r="1429">
      <c r="A1429" s="3" t="s">
        <v>7313</v>
      </c>
      <c r="B1429" s="4" t="str">
        <f>IFERROR(__xludf.DUMMYFUNCTION("GOOGLETRANSLATE(A1429, ""en"", ""te"")"),"బ్రిటానియా న్యూట్రిచాయిస్ 5 గ్రెయిన్ డైజెస్టివ్")</f>
        <v>బ్రిటానియా న్యూట్రిచాయిస్ 5 గ్రెయిన్ డైజెస్టివ్</v>
      </c>
      <c r="C1429" s="4" t="str">
        <f>IFERROR(__xludf.DUMMYFUNCTION("GOOGLETRANSLATE(A1429, ""en"", ""hi"")"),"ब्रिटानिया न्यूट्रीचॉइस 5 ग्रेन डाइजेस्टिव")</f>
        <v>ब्रिटानिया न्यूट्रीचॉइस 5 ग्रेन डाइजेस्टिव</v>
      </c>
      <c r="D1429" s="2" t="s">
        <v>7088</v>
      </c>
      <c r="E1429" s="2" t="s">
        <v>67</v>
      </c>
      <c r="F1429" s="1">
        <v>3.0</v>
      </c>
      <c r="G1429" s="3" t="s">
        <v>488</v>
      </c>
    </row>
    <row r="1430">
      <c r="A1430" s="3" t="s">
        <v>7314</v>
      </c>
      <c r="B1430" s="4" t="str">
        <f>IFERROR(__xludf.DUMMYFUNCTION("GOOGLETRANSLATE(A1430, ""en"", ""te"")"),"బ్రిటానియా డైజెస్టివ్ షుగర్ ఫ్రీ")</f>
        <v>బ్రిటానియా డైజెస్టివ్ షుగర్ ఫ్రీ</v>
      </c>
      <c r="C1430" s="4" t="str">
        <f>IFERROR(__xludf.DUMMYFUNCTION("GOOGLETRANSLATE(A1430, ""en"", ""hi"")"),"ब्रिटानिया डाइजेस्टिव शुगर फ्री")</f>
        <v>ब्रिटानिया डाइजेस्टिव शुगर फ्री</v>
      </c>
      <c r="D1430" s="5"/>
      <c r="E1430" s="2" t="s">
        <v>4407</v>
      </c>
      <c r="F1430" s="1">
        <v>3.0</v>
      </c>
      <c r="G1430" s="3" t="s">
        <v>488</v>
      </c>
    </row>
    <row r="1431">
      <c r="A1431" s="3" t="s">
        <v>7315</v>
      </c>
      <c r="B1431" s="4" t="str">
        <f>IFERROR(__xludf.DUMMYFUNCTION("GOOGLETRANSLATE(A1431, ""en"", ""te"")"),"బ్రిటానియా టైగర్ గ్లూకోజ్")</f>
        <v>బ్రిటానియా టైగర్ గ్లూకోజ్</v>
      </c>
      <c r="C1431" s="4" t="str">
        <f>IFERROR(__xludf.DUMMYFUNCTION("GOOGLETRANSLATE(A1431, ""en"", ""hi"")"),"ब्रिटानिया टाइगर ग्लूकोज")</f>
        <v>ब्रिटानिया टाइगर ग्लूकोज</v>
      </c>
      <c r="D1431" s="2" t="s">
        <v>7123</v>
      </c>
      <c r="E1431" s="2" t="s">
        <v>4100</v>
      </c>
      <c r="F1431" s="1">
        <v>3.0</v>
      </c>
      <c r="G1431" s="3" t="s">
        <v>530</v>
      </c>
    </row>
    <row r="1432">
      <c r="A1432" s="3" t="s">
        <v>7316</v>
      </c>
      <c r="B1432" s="4" t="str">
        <f>IFERROR(__xludf.DUMMYFUNCTION("GOOGLETRANSLATE(A1432, ""en"", ""te"")"),"EBM సూపర్ బిస్కెట్లు")</f>
        <v>EBM సూపర్ బిస్కెట్లు</v>
      </c>
      <c r="C1432" s="4" t="str">
        <f>IFERROR(__xludf.DUMMYFUNCTION("GOOGLETRANSLATE(A1432, ""en"", ""hi"")"),"ईबीएम सुपर बिस्कुट")</f>
        <v>ईबीएम सुपर बिस्कुट</v>
      </c>
      <c r="D1432" s="2" t="s">
        <v>7057</v>
      </c>
      <c r="E1432" s="2" t="s">
        <v>4100</v>
      </c>
      <c r="F1432" s="1">
        <v>3.0</v>
      </c>
      <c r="G1432" s="3" t="s">
        <v>490</v>
      </c>
    </row>
    <row r="1433">
      <c r="A1433" s="3" t="s">
        <v>1540</v>
      </c>
      <c r="B1433" s="4" t="str">
        <f>IFERROR(__xludf.DUMMYFUNCTION("GOOGLETRANSLATE(A1433, ""en"", ""te"")"),"బ్రిటానియా నైస్ టైమ్")</f>
        <v>బ్రిటానియా నైస్ టైమ్</v>
      </c>
      <c r="C1433" s="4" t="str">
        <f>IFERROR(__xludf.DUMMYFUNCTION("GOOGLETRANSLATE(A1433, ""en"", ""hi"")"),"ब्रिटानिया नाइस टाइम")</f>
        <v>ब्रिटानिया नाइस टाइम</v>
      </c>
      <c r="D1433" s="5"/>
      <c r="E1433" s="2" t="s">
        <v>4100</v>
      </c>
      <c r="F1433" s="1">
        <v>3.0</v>
      </c>
      <c r="G1433" s="3" t="s">
        <v>449</v>
      </c>
    </row>
    <row r="1434">
      <c r="A1434" s="3" t="s">
        <v>7317</v>
      </c>
      <c r="B1434" s="4" t="str">
        <f>IFERROR(__xludf.DUMMYFUNCTION("GOOGLETRANSLATE(A1434, ""en"", ""te"")"),"KCB నో షుగర్ టోస్ట్")</f>
        <v>KCB నో షుగర్ టోస్ట్</v>
      </c>
      <c r="C1434" s="4" t="str">
        <f>IFERROR(__xludf.DUMMYFUNCTION("GOOGLETRANSLATE(A1434, ""en"", ""hi"")"),"केसीबी नो शुगर टोस्ट")</f>
        <v>केसीबी नो शुगर टोस्ट</v>
      </c>
      <c r="D1434" s="5"/>
      <c r="E1434" s="2" t="s">
        <v>4100</v>
      </c>
      <c r="F1434" s="1">
        <v>3.0</v>
      </c>
      <c r="G1434" s="3" t="s">
        <v>449</v>
      </c>
    </row>
    <row r="1435">
      <c r="A1435" s="3" t="s">
        <v>7318</v>
      </c>
      <c r="B1435" s="4" t="str">
        <f>IFERROR(__xludf.DUMMYFUNCTION("GOOGLETRANSLATE(A1435, ""en"", ""te"")"),"బికానో చాం చాం")</f>
        <v>బికానో చాం చాం</v>
      </c>
      <c r="C1435" s="4" t="str">
        <f>IFERROR(__xludf.DUMMYFUNCTION("GOOGLETRANSLATE(A1435, ""en"", ""hi"")"),"बिकानो चाम चाम")</f>
        <v>बिकानो चाम चाम</v>
      </c>
      <c r="D1435" s="2" t="s">
        <v>7319</v>
      </c>
      <c r="E1435" s="2" t="s">
        <v>1294</v>
      </c>
      <c r="F1435" s="1">
        <v>3.0</v>
      </c>
      <c r="G1435" s="3" t="s">
        <v>518</v>
      </c>
    </row>
    <row r="1436">
      <c r="A1436" s="3" t="s">
        <v>7320</v>
      </c>
      <c r="B1436" s="4" t="str">
        <f>IFERROR(__xludf.DUMMYFUNCTION("GOOGLETRANSLATE(A1436, ""en"", ""te"")"),"హల్దీరామ్ యొక్క సోన్ పాప్డి")</f>
        <v>హల్దీరామ్ యొక్క సోన్ పాప్డి</v>
      </c>
      <c r="C1436" s="4" t="str">
        <f>IFERROR(__xludf.DUMMYFUNCTION("GOOGLETRANSLATE(A1436, ""en"", ""hi"")"),"हल्दीराम की सोहन पापड़ी")</f>
        <v>हल्दीराम की सोहन पापड़ी</v>
      </c>
      <c r="D1436" s="5"/>
      <c r="E1436" s="2" t="s">
        <v>3438</v>
      </c>
      <c r="F1436" s="1">
        <v>3.0</v>
      </c>
      <c r="G1436" s="3" t="s">
        <v>518</v>
      </c>
    </row>
    <row r="1437">
      <c r="A1437" s="3" t="s">
        <v>7321</v>
      </c>
      <c r="B1437" s="4" t="str">
        <f>IFERROR(__xludf.DUMMYFUNCTION("GOOGLETRANSLATE(A1437, ""en"", ""te"")"),"బికానో సోన్ పాప్డి")</f>
        <v>బికానో సోన్ పాప్డి</v>
      </c>
      <c r="C1437" s="4" t="str">
        <f>IFERROR(__xludf.DUMMYFUNCTION("GOOGLETRANSLATE(A1437, ""en"", ""hi"")"),"बिकानो सोआन पापड़ी")</f>
        <v>बिकानो सोआन पापड़ी</v>
      </c>
      <c r="D1437" s="5"/>
      <c r="E1437" s="2" t="s">
        <v>3438</v>
      </c>
      <c r="F1437" s="1">
        <v>3.0</v>
      </c>
      <c r="G1437" s="3" t="s">
        <v>518</v>
      </c>
    </row>
    <row r="1438">
      <c r="A1438" s="3" t="s">
        <v>7322</v>
      </c>
      <c r="B1438" s="4" t="str">
        <f>IFERROR(__xludf.DUMMYFUNCTION("GOOGLETRANSLATE(A1438, ""en"", ""te"")"),"జాబ్సన్స్ పీనట్ చిక్కీ")</f>
        <v>జాబ్సన్స్ పీనట్ చిక్కీ</v>
      </c>
      <c r="C1438" s="4" t="str">
        <f>IFERROR(__xludf.DUMMYFUNCTION("GOOGLETRANSLATE(A1438, ""en"", ""hi"")"),"जैब्सन्स पीनट चिक्की")</f>
        <v>जैब्सन्स पीनट चिक्की</v>
      </c>
      <c r="D1438" s="2" t="s">
        <v>945</v>
      </c>
      <c r="E1438" s="2" t="s">
        <v>2700</v>
      </c>
      <c r="F1438" s="1">
        <v>3.0</v>
      </c>
      <c r="G1438" s="3" t="s">
        <v>518</v>
      </c>
    </row>
    <row r="1439">
      <c r="A1439" s="3" t="s">
        <v>7241</v>
      </c>
      <c r="B1439" s="4" t="str">
        <f>IFERROR(__xludf.DUMMYFUNCTION("GOOGLETRANSLATE(A1439, ""en"", ""te"")"),"బ్రిటానియా గుడ్ డే కుకీస్")</f>
        <v>బ్రిటానియా గుడ్ డే కుకీస్</v>
      </c>
      <c r="C1439" s="4" t="str">
        <f>IFERROR(__xludf.DUMMYFUNCTION("GOOGLETRANSLATE(A1439, ""en"", ""hi"")"),"ब्रिटानिया गुड डे कुकीज़")</f>
        <v>ब्रिटानिया गुड डे कुकीज़</v>
      </c>
      <c r="D1439" s="2" t="s">
        <v>7088</v>
      </c>
      <c r="E1439" s="2" t="s">
        <v>4100</v>
      </c>
      <c r="F1439" s="1">
        <v>3.0</v>
      </c>
      <c r="G1439" s="3" t="s">
        <v>524</v>
      </c>
    </row>
    <row r="1440">
      <c r="A1440" s="3" t="s">
        <v>7193</v>
      </c>
      <c r="B1440" s="4" t="str">
        <f>IFERROR(__xludf.DUMMYFUNCTION("GOOGLETRANSLATE(A1440, ""en"", ""te"")"),"బ్రిటానియా డైజెస్టివ్ బిస్కెట్లు")</f>
        <v>బ్రిటానియా డైజెస్టివ్ బిస్కెట్లు</v>
      </c>
      <c r="C1440" s="4" t="str">
        <f>IFERROR(__xludf.DUMMYFUNCTION("GOOGLETRANSLATE(A1440, ""en"", ""hi"")"),"ब्रिटानिया डाइजेस्टिव बिस्कुट")</f>
        <v>ब्रिटानिया डाइजेस्टिव बिस्कुट</v>
      </c>
      <c r="D1440" s="2" t="s">
        <v>7057</v>
      </c>
      <c r="E1440" s="2" t="s">
        <v>4100</v>
      </c>
      <c r="F1440" s="1">
        <v>3.0</v>
      </c>
      <c r="G1440" s="3" t="s">
        <v>530</v>
      </c>
    </row>
    <row r="1441">
      <c r="A1441" s="3" t="s">
        <v>7323</v>
      </c>
      <c r="B1441" s="4" t="str">
        <f>IFERROR(__xludf.DUMMYFUNCTION("GOOGLETRANSLATE(A1441, ""en"", ""te"")"),"బ్రిటానియా న్యూట్రిచాయిస్ ఓట్స్ చాక్లెట్ &amp; బాదం కుకీలు")</f>
        <v>బ్రిటానియా న్యూట్రిచాయిస్ ఓట్స్ చాక్లెట్ &amp; బాదం కుకీలు</v>
      </c>
      <c r="C1441" s="4" t="str">
        <f>IFERROR(__xludf.DUMMYFUNCTION("GOOGLETRANSLATE(A1441, ""en"", ""hi"")"),"ब्रिटानिया न्यूट्रीचॉइस ओट्स चॉकलेट और बादाम कुकीज़")</f>
        <v>ब्रिटानिया न्यूट्रीचॉइस ओट्स चॉकलेट और बादाम कुकीज़</v>
      </c>
      <c r="D1441" s="2" t="s">
        <v>7324</v>
      </c>
      <c r="E1441" s="2" t="s">
        <v>4100</v>
      </c>
      <c r="F1441" s="1">
        <v>3.0</v>
      </c>
      <c r="G1441" s="3" t="s">
        <v>530</v>
      </c>
    </row>
    <row r="1442">
      <c r="A1442" s="3" t="s">
        <v>7325</v>
      </c>
      <c r="B1442" s="4" t="str">
        <f>IFERROR(__xludf.DUMMYFUNCTION("GOOGLETRANSLATE(A1442, ""en"", ""te"")"),"బ్రిటానియా న్యూట్రిచాయిస్ ఓట్స్ బాదం &amp; మిల్క్ కుకీస్")</f>
        <v>బ్రిటానియా న్యూట్రిచాయిస్ ఓట్స్ బాదం &amp; మిల్క్ కుకీస్</v>
      </c>
      <c r="C1442" s="4" t="str">
        <f>IFERROR(__xludf.DUMMYFUNCTION("GOOGLETRANSLATE(A1442, ""en"", ""hi"")"),"ब्रिटानिया न्यूट्रीचॉइस ओट्स बादाम और दूध कुकीज़")</f>
        <v>ब्रिटानिया न्यूट्रीचॉइस ओट्स बादाम और दूध कुकीज़</v>
      </c>
      <c r="D1442" s="2" t="s">
        <v>7326</v>
      </c>
      <c r="E1442" s="2" t="s">
        <v>4100</v>
      </c>
      <c r="F1442" s="1">
        <v>3.0</v>
      </c>
      <c r="G1442" s="3" t="s">
        <v>530</v>
      </c>
    </row>
    <row r="1443">
      <c r="A1443" s="3" t="s">
        <v>7261</v>
      </c>
      <c r="B1443" s="4" t="str">
        <f>IFERROR(__xludf.DUMMYFUNCTION("GOOGLETRANSLATE(A1443, ""en"", ""te"")"),"బ్రిటానియా 50-50 మాస్కా చాస్కా బిస్కెట్లు")</f>
        <v>బ్రిటానియా 50-50 మాస్కా చాస్కా బిస్కెట్లు</v>
      </c>
      <c r="C1443" s="4" t="str">
        <f>IFERROR(__xludf.DUMMYFUNCTION("GOOGLETRANSLATE(A1443, ""en"", ""hi"")"),"ब्रिटानिया 50-50 मस्का चस्का बिस्कुट")</f>
        <v>ब्रिटानिया 50-50 मस्का चस्का बिस्कुट</v>
      </c>
      <c r="D1443" s="5"/>
      <c r="E1443" s="2" t="s">
        <v>4100</v>
      </c>
      <c r="F1443" s="1">
        <v>3.0</v>
      </c>
      <c r="G1443" s="3" t="s">
        <v>530</v>
      </c>
    </row>
    <row r="1444">
      <c r="A1444" s="3" t="s">
        <v>7327</v>
      </c>
      <c r="B1444" s="4" t="str">
        <f>IFERROR(__xludf.DUMMYFUNCTION("GOOGLETRANSLATE(A1444, ""en"", ""te"")"),"బ్రిటానియా నైస్ టైమ్ బిస్కెట్లు")</f>
        <v>బ్రిటానియా నైస్ టైమ్ బిస్కెట్లు</v>
      </c>
      <c r="C1444" s="4" t="str">
        <f>IFERROR(__xludf.DUMMYFUNCTION("GOOGLETRANSLATE(A1444, ""en"", ""hi"")"),"ब्रिटानिया नाइस टाइम बिस्कुट")</f>
        <v>ब्रिटानिया नाइस टाइम बिस्कुट</v>
      </c>
      <c r="D1444" s="2" t="s">
        <v>7057</v>
      </c>
      <c r="E1444" s="2" t="s">
        <v>4100</v>
      </c>
      <c r="F1444" s="1">
        <v>3.0</v>
      </c>
      <c r="G1444" s="3" t="s">
        <v>449</v>
      </c>
    </row>
    <row r="1445">
      <c r="A1445" s="3" t="s">
        <v>7328</v>
      </c>
      <c r="B1445" s="4" t="str">
        <f>IFERROR(__xludf.DUMMYFUNCTION("GOOGLETRANSLATE(A1445, ""en"", ""te"")"),"పార్లే-జి గ్లూకోజ్ బిస్కెట్లు")</f>
        <v>పార్లే-జి గ్లూకోజ్ బిస్కెట్లు</v>
      </c>
      <c r="C1445" s="4" t="str">
        <f>IFERROR(__xludf.DUMMYFUNCTION("GOOGLETRANSLATE(A1445, ""en"", ""hi"")"),"पार्ले-जी ग्लूकोज बिस्कुट")</f>
        <v>पार्ले-जी ग्लूकोज बिस्कुट</v>
      </c>
      <c r="D1445" s="2" t="s">
        <v>7057</v>
      </c>
      <c r="E1445" s="2" t="s">
        <v>4100</v>
      </c>
      <c r="F1445" s="1">
        <v>3.0</v>
      </c>
      <c r="G1445" s="3" t="s">
        <v>449</v>
      </c>
    </row>
    <row r="1446">
      <c r="A1446" s="3" t="s">
        <v>7329</v>
      </c>
      <c r="B1446" s="4" t="str">
        <f>IFERROR(__xludf.DUMMYFUNCTION("GOOGLETRANSLATE(A1446, ""en"", ""te"")"),"కేసీబీ ముంబై పావ్")</f>
        <v>కేసీబీ ముంబై పావ్</v>
      </c>
      <c r="C1446" s="4" t="str">
        <f>IFERROR(__xludf.DUMMYFUNCTION("GOOGLETRANSLATE(A1446, ""en"", ""hi"")"),"केसीबी मुंबई पाव")</f>
        <v>केसीबी मुंबई पाव</v>
      </c>
      <c r="D1446" s="5"/>
      <c r="E1446" s="2" t="s">
        <v>4100</v>
      </c>
      <c r="F1446" s="1">
        <v>3.0</v>
      </c>
      <c r="G1446" s="3" t="s">
        <v>449</v>
      </c>
    </row>
    <row r="1447">
      <c r="A1447" s="3" t="s">
        <v>7330</v>
      </c>
      <c r="B1447" s="4" t="str">
        <f>IFERROR(__xludf.DUMMYFUNCTION("GOOGLETRANSLATE(A1447, ""en"", ""te"")"),"పతీసా సోన్ పాప్డి")</f>
        <v>పతీసా సోన్ పాప్డి</v>
      </c>
      <c r="C1447" s="4" t="str">
        <f>IFERROR(__xludf.DUMMYFUNCTION("GOOGLETRANSLATE(A1447, ""en"", ""hi"")"),"पटिसा सोआन पापड़ी")</f>
        <v>पटिसा सोआन पापड़ी</v>
      </c>
      <c r="D1447" s="5"/>
      <c r="E1447" s="2" t="s">
        <v>3438</v>
      </c>
      <c r="F1447" s="1">
        <v>3.0</v>
      </c>
      <c r="G1447" s="3" t="s">
        <v>389</v>
      </c>
    </row>
    <row r="1448">
      <c r="A1448" s="3" t="s">
        <v>7331</v>
      </c>
      <c r="B1448" s="4" t="str">
        <f>IFERROR(__xludf.DUMMYFUNCTION("GOOGLETRANSLATE(A1448, ""en"", ""te"")"),"జాబ్సన్స్ సోన్ పాప్డి")</f>
        <v>జాబ్సన్స్ సోన్ పాప్డి</v>
      </c>
      <c r="C1448" s="4" t="str">
        <f>IFERROR(__xludf.DUMMYFUNCTION("GOOGLETRANSLATE(A1448, ""en"", ""hi"")"),"जैब्सन्स सोआन पापदी")</f>
        <v>जैब्सन्स सोआन पापदी</v>
      </c>
      <c r="D1448" s="5"/>
      <c r="E1448" s="2" t="s">
        <v>3438</v>
      </c>
      <c r="F1448" s="1">
        <v>3.0</v>
      </c>
      <c r="G1448" s="3" t="s">
        <v>389</v>
      </c>
    </row>
    <row r="1449">
      <c r="A1449" s="3" t="s">
        <v>7332</v>
      </c>
      <c r="B1449" s="4" t="str">
        <f>IFERROR(__xludf.DUMMYFUNCTION("GOOGLETRANSLATE(A1449, ""en"", ""te"")"),"జాబ్సన్స్ అసోర్టెడ్ చిక్కీస్")</f>
        <v>జాబ్సన్స్ అసోర్టెడ్ చిక్కీస్</v>
      </c>
      <c r="C1449" s="4" t="str">
        <f>IFERROR(__xludf.DUMMYFUNCTION("GOOGLETRANSLATE(A1449, ""en"", ""hi"")"),"जैब्सन्स असॉर्टेड चिक्की")</f>
        <v>जैब्सन्स असॉर्टेड चिक्की</v>
      </c>
      <c r="D1449" s="2" t="s">
        <v>7200</v>
      </c>
      <c r="E1449" s="2" t="s">
        <v>1294</v>
      </c>
      <c r="F1449" s="1">
        <v>3.0</v>
      </c>
      <c r="G1449" s="3" t="s">
        <v>389</v>
      </c>
    </row>
    <row r="1450">
      <c r="A1450" s="3" t="s">
        <v>7333</v>
      </c>
      <c r="B1450" s="4" t="str">
        <f>IFERROR(__xludf.DUMMYFUNCTION("GOOGLETRANSLATE(A1450, ""en"", ""te"")"),"లోట్టే చాకో పై (ఒక్కో పై ధర 10, మీది మీరు పొందండి)")</f>
        <v>లోట్టే చాకో పై (ఒక్కో పై ధర 10, మీది మీరు పొందండి)</v>
      </c>
      <c r="C1450" s="4" t="str">
        <f>IFERROR(__xludf.DUMMYFUNCTION("GOOGLETRANSLATE(A1450, ""en"", ""hi"")"),"लोटे चोको पाई (अपना पाई ₹10 प्रति पाई में पाएं)")</f>
        <v>लोटे चोको पाई (अपना पाई ₹10 प्रति पाई में पाएं)</v>
      </c>
      <c r="D1450" s="5"/>
      <c r="E1450" s="2" t="s">
        <v>1294</v>
      </c>
      <c r="F1450" s="1">
        <v>3.0</v>
      </c>
      <c r="G1450" s="3" t="s">
        <v>418</v>
      </c>
    </row>
    <row r="1451">
      <c r="A1451" s="3" t="s">
        <v>7334</v>
      </c>
      <c r="B1451" s="4" t="str">
        <f>IFERROR(__xludf.DUMMYFUNCTION("GOOGLETRANSLATE(A1451, ""en"", ""te"")"),"కాడ్బరీ చాక్లెట్ కుకీలు (ఊదా రంగు ప్యాక్)")</f>
        <v>కాడ్బరీ చాక్లెట్ కుకీలు (ఊదా రంగు ప్యాక్)</v>
      </c>
      <c r="C1451" s="4" t="str">
        <f>IFERROR(__xludf.DUMMYFUNCTION("GOOGLETRANSLATE(A1451, ""en"", ""hi"")"),"कैडबरी चॉकलेट कुकीज़ (बैंगनी पैक)")</f>
        <v>कैडबरी चॉकलेट कुकीज़ (बैंगनी पैक)</v>
      </c>
      <c r="D1451" s="2" t="s">
        <v>7088</v>
      </c>
      <c r="E1451" s="2" t="s">
        <v>4100</v>
      </c>
      <c r="F1451" s="1">
        <v>3.0</v>
      </c>
      <c r="G1451" s="3" t="s">
        <v>437</v>
      </c>
    </row>
    <row r="1452">
      <c r="A1452" s="3" t="s">
        <v>7335</v>
      </c>
      <c r="B1452" s="4" t="str">
        <f>IFERROR(__xludf.DUMMYFUNCTION("GOOGLETRANSLATE(A1452, ""en"", ""te"")"),"బ్రిటానియా 50-50 బిస్కెట్లు (నీలి రంగు ప్యాక్)")</f>
        <v>బ్రిటానియా 50-50 బిస్కెట్లు (నీలి రంగు ప్యాక్)</v>
      </c>
      <c r="C1452" s="4" t="str">
        <f>IFERROR(__xludf.DUMMYFUNCTION("GOOGLETRANSLATE(A1452, ""en"", ""hi"")"),"ब्रिटानिया 50-50 बिस्कुट (नीला पैक)")</f>
        <v>ब्रिटानिया 50-50 बिस्कुट (नीला पैक)</v>
      </c>
      <c r="D1452" s="5"/>
      <c r="E1452" s="2" t="s">
        <v>4100</v>
      </c>
      <c r="F1452" s="1">
        <v>3.0</v>
      </c>
      <c r="G1452" s="3" t="s">
        <v>437</v>
      </c>
    </row>
    <row r="1453">
      <c r="A1453" s="3" t="s">
        <v>7336</v>
      </c>
      <c r="B1453" s="4" t="str">
        <f>IFERROR(__xludf.DUMMYFUNCTION("GOOGLETRANSLATE(A1453, ""en"", ""te"")"),"మెక్‌విటీస్ డైజెస్టివ్ బిస్కెట్లు")</f>
        <v>మెక్‌విటీస్ డైజెస్టివ్ బిస్కెట్లు</v>
      </c>
      <c r="C1453" s="4" t="str">
        <f>IFERROR(__xludf.DUMMYFUNCTION("GOOGLETRANSLATE(A1453, ""en"", ""hi"")"),"मैकविटिज डाइजेस्टिव बिस्कुट")</f>
        <v>मैकविटिज डाइजेस्टिव बिस्कुट</v>
      </c>
      <c r="D1453" s="5"/>
      <c r="E1453" s="2" t="s">
        <v>4100</v>
      </c>
      <c r="F1453" s="1">
        <v>3.0</v>
      </c>
      <c r="G1453" s="3" t="s">
        <v>437</v>
      </c>
    </row>
    <row r="1454">
      <c r="A1454" s="3" t="s">
        <v>7337</v>
      </c>
      <c r="B1454" s="4" t="str">
        <f>IFERROR(__xludf.DUMMYFUNCTION("GOOGLETRANSLATE(A1454, ""en"", ""te"")"),"బ్రిటానియా డైజెస్టివ్ బిస్కెట్లు")</f>
        <v>బ్రిటానియా డైజెస్టివ్ బిస్కెట్లు</v>
      </c>
      <c r="C1454" s="4" t="str">
        <f>IFERROR(__xludf.DUMMYFUNCTION("GOOGLETRANSLATE(A1454, ""en"", ""hi"")"),"ब्रिटानिया डाइजेस्टिव बिस्कुट")</f>
        <v>ब्रिटानिया डाइजेस्टिव बिस्कुट</v>
      </c>
      <c r="D1454" s="2" t="s">
        <v>7057</v>
      </c>
      <c r="E1454" s="2" t="s">
        <v>4100</v>
      </c>
      <c r="F1454" s="1">
        <v>3.0</v>
      </c>
      <c r="G1454" s="3" t="s">
        <v>437</v>
      </c>
    </row>
    <row r="1455">
      <c r="A1455" s="3" t="s">
        <v>7338</v>
      </c>
      <c r="B1455" s="4" t="str">
        <f>IFERROR(__xludf.DUMMYFUNCTION("GOOGLETRANSLATE(A1455, ""en"", ""te"")"),"నర్చర్ ఛాయిస్ ఓట్ కుకీస్")</f>
        <v>నర్చర్ ఛాయిస్ ఓట్ కుకీస్</v>
      </c>
      <c r="C1455" s="4" t="str">
        <f>IFERROR(__xludf.DUMMYFUNCTION("GOOGLETRANSLATE(A1455, ""en"", ""hi"")"),"नर्चर चॉइस ओट कुकीज़")</f>
        <v>नर्चर चॉइस ओट कुकीज़</v>
      </c>
      <c r="D1455" s="2" t="s">
        <v>7088</v>
      </c>
      <c r="E1455" s="2" t="s">
        <v>1294</v>
      </c>
      <c r="F1455" s="1">
        <v>3.0</v>
      </c>
      <c r="G1455" s="3" t="s">
        <v>446</v>
      </c>
    </row>
    <row r="1456">
      <c r="A1456" s="3" t="s">
        <v>7235</v>
      </c>
      <c r="B1456" s="4" t="str">
        <f>IFERROR(__xludf.DUMMYFUNCTION("GOOGLETRANSLATE(A1456, ""en"", ""te"")"),"బ్రిటానియా టైగర్ గ్లూకోజ్ బిస్కెట్లు")</f>
        <v>బ్రిటానియా టైగర్ గ్లూకోజ్ బిస్కెట్లు</v>
      </c>
      <c r="C1456" s="4" t="str">
        <f>IFERROR(__xludf.DUMMYFUNCTION("GOOGLETRANSLATE(A1456, ""en"", ""hi"")"),"ब्रिटानिया टाइगर ग्लूकोज बिस्कुट")</f>
        <v>ब्रिटानिया टाइगर ग्लूकोज बिस्कुट</v>
      </c>
      <c r="D1456" s="2" t="s">
        <v>7119</v>
      </c>
      <c r="E1456" s="2" t="s">
        <v>4100</v>
      </c>
      <c r="F1456" s="1">
        <v>3.0</v>
      </c>
      <c r="G1456" s="3" t="s">
        <v>446</v>
      </c>
    </row>
    <row r="1457">
      <c r="A1457" s="3" t="s">
        <v>7259</v>
      </c>
      <c r="B1457" s="4" t="str">
        <f>IFERROR(__xludf.DUMMYFUNCTION("GOOGLETRANSLATE(A1457, ""en"", ""te"")"),"బ్రిటానియా జిమ్‌జామ్ బిస్కెట్లు")</f>
        <v>బ్రిటానియా జిమ్‌జామ్ బిస్కెట్లు</v>
      </c>
      <c r="C1457" s="4" t="str">
        <f>IFERROR(__xludf.DUMMYFUNCTION("GOOGLETRANSLATE(A1457, ""en"", ""hi"")"),"ब्रिटानिया जिमजैम बिस्कुट")</f>
        <v>ब्रिटानिया जिमजैम बिस्कुट</v>
      </c>
      <c r="D1457" s="2" t="s">
        <v>7260</v>
      </c>
      <c r="E1457" s="2" t="s">
        <v>4100</v>
      </c>
      <c r="F1457" s="1">
        <v>3.0</v>
      </c>
      <c r="G1457" s="3" t="s">
        <v>446</v>
      </c>
    </row>
    <row r="1458">
      <c r="A1458" s="3" t="s">
        <v>7261</v>
      </c>
      <c r="B1458" s="4" t="str">
        <f>IFERROR(__xludf.DUMMYFUNCTION("GOOGLETRANSLATE(A1458, ""en"", ""te"")"),"బ్రిటానియా 50-50 మాస్కా చాస్కా బిస్కెట్లు")</f>
        <v>బ్రిటానియా 50-50 మాస్కా చాస్కా బిస్కెట్లు</v>
      </c>
      <c r="C1458" s="4" t="str">
        <f>IFERROR(__xludf.DUMMYFUNCTION("GOOGLETRANSLATE(A1458, ""en"", ""hi"")"),"ब्रिटानिया 50-50 मस्का चस्का बिस्कुट")</f>
        <v>ब्रिटानिया 50-50 मस्का चस्का बिस्कुट</v>
      </c>
      <c r="D1458" s="5"/>
      <c r="E1458" s="2" t="s">
        <v>4100</v>
      </c>
      <c r="F1458" s="1">
        <v>3.0</v>
      </c>
      <c r="G1458" s="3" t="s">
        <v>446</v>
      </c>
    </row>
    <row r="1459">
      <c r="A1459" s="3" t="s">
        <v>7339</v>
      </c>
      <c r="B1459" s="4" t="str">
        <f>IFERROR(__xludf.DUMMYFUNCTION("GOOGLETRANSLATE(A1459, ""en"", ""te"")"),"బ్రిటానియా 50-50 పొటాజోస్ బిస్కెట్లు")</f>
        <v>బ్రిటానియా 50-50 పొటాజోస్ బిస్కెట్లు</v>
      </c>
      <c r="C1459" s="4" t="str">
        <f>IFERROR(__xludf.DUMMYFUNCTION("GOOGLETRANSLATE(A1459, ""en"", ""hi"")"),"ब्रिटानिया 50-50 पोटाज़ोस बिस्कुट")</f>
        <v>ब्रिटानिया 50-50 पोटाज़ोस बिस्कुट</v>
      </c>
      <c r="D1459" s="2" t="s">
        <v>7057</v>
      </c>
      <c r="E1459" s="2" t="s">
        <v>4100</v>
      </c>
      <c r="F1459" s="1">
        <v>3.0</v>
      </c>
      <c r="G1459" s="3" t="s">
        <v>446</v>
      </c>
    </row>
    <row r="1460">
      <c r="A1460" s="3" t="s">
        <v>7340</v>
      </c>
      <c r="B1460" s="4" t="str">
        <f>IFERROR(__xludf.DUMMYFUNCTION("GOOGLETRANSLATE(A1460, ""en"", ""te"")"),"పార్లే-జి గ్లూకో బిస్కెట్లు")</f>
        <v>పార్లే-జి గ్లూకో బిస్కెట్లు</v>
      </c>
      <c r="C1460" s="4" t="str">
        <f>IFERROR(__xludf.DUMMYFUNCTION("GOOGLETRANSLATE(A1460, ""en"", ""hi"")"),"पार्ले-जी ग्लूको बिस्कुट")</f>
        <v>पार्ले-जी ग्लूको बिस्कुट</v>
      </c>
      <c r="D1460" s="2" t="s">
        <v>7057</v>
      </c>
      <c r="E1460" s="2" t="s">
        <v>4100</v>
      </c>
      <c r="F1460" s="1">
        <v>3.0</v>
      </c>
      <c r="G1460" s="3" t="s">
        <v>492</v>
      </c>
    </row>
    <row r="1461">
      <c r="A1461" s="3" t="s">
        <v>7341</v>
      </c>
      <c r="B1461" s="4" t="str">
        <f>IFERROR(__xludf.DUMMYFUNCTION("GOOGLETRANSLATE(A1461, ""en"", ""te"")"),"బ్రిటానియా 50-50 గ్రీన్ ప్యాకెట్లు")</f>
        <v>బ్రిటానియా 50-50 గ్రీన్ ప్యాకెట్లు</v>
      </c>
      <c r="C1461" s="4" t="str">
        <f>IFERROR(__xludf.DUMMYFUNCTION("GOOGLETRANSLATE(A1461, ""en"", ""hi"")"),"ब्रिटानिया 50-50 हरे पैकेट")</f>
        <v>ब्रिटानिया 50-50 हरे पैकेट</v>
      </c>
      <c r="D1461" s="5"/>
      <c r="E1461" s="2" t="s">
        <v>4100</v>
      </c>
      <c r="F1461" s="1">
        <v>3.0</v>
      </c>
      <c r="G1461" s="3" t="s">
        <v>492</v>
      </c>
    </row>
    <row r="1462">
      <c r="A1462" s="3" t="s">
        <v>7342</v>
      </c>
      <c r="B1462" s="4" t="str">
        <f>IFERROR(__xludf.DUMMYFUNCTION("GOOGLETRANSLATE(A1462, ""en"", ""te"")"),"KCB ముంబై పావ్ పసుపు ప్యాకెట్లు")</f>
        <v>KCB ముంబై పావ్ పసుపు ప్యాకెట్లు</v>
      </c>
      <c r="C1462" s="4" t="str">
        <f>IFERROR(__xludf.DUMMYFUNCTION("GOOGLETRANSLATE(A1462, ""en"", ""hi"")"),"केसीबी मुंबई पाव पीले पैकेट")</f>
        <v>केसीबी मुंबई पाव पीले पैकेट</v>
      </c>
      <c r="D1462" s="5"/>
      <c r="E1462" s="2" t="s">
        <v>4100</v>
      </c>
      <c r="F1462" s="1">
        <v>3.0</v>
      </c>
      <c r="G1462" s="3" t="s">
        <v>492</v>
      </c>
    </row>
    <row r="1463">
      <c r="A1463" s="3" t="s">
        <v>7343</v>
      </c>
      <c r="B1463" s="4" t="str">
        <f>IFERROR(__xludf.DUMMYFUNCTION("GOOGLETRANSLATE(A1463, ""en"", ""te"")"),"రస్క్/టోస్ట్ ప్యాకెట్లు")</f>
        <v>రస్క్/టోస్ట్ ప్యాకెట్లు</v>
      </c>
      <c r="C1463" s="4" t="str">
        <f>IFERROR(__xludf.DUMMYFUNCTION("GOOGLETRANSLATE(A1463, ""en"", ""hi"")"),"रस्क/टोस्ट पैकेट")</f>
        <v>रस्क/टोस्ट पैकेट</v>
      </c>
      <c r="D1463" s="2" t="s">
        <v>7344</v>
      </c>
      <c r="E1463" s="2" t="s">
        <v>4100</v>
      </c>
      <c r="F1463" s="1">
        <v>3.0</v>
      </c>
      <c r="G1463" s="3" t="s">
        <v>492</v>
      </c>
    </row>
    <row r="1464">
      <c r="A1464" s="3" t="s">
        <v>7345</v>
      </c>
      <c r="B1464" s="4" t="str">
        <f>IFERROR(__xludf.DUMMYFUNCTION("GOOGLETRANSLATE(A1464, ""en"", ""te"")"),"ఆకుపచ్చ ప్యాకెట్లు (రకరకాల బిస్కెట్లు)")</f>
        <v>ఆకుపచ్చ ప్యాకెట్లు (రకరకాల బిస్కెట్లు)</v>
      </c>
      <c r="C1464" s="4" t="str">
        <f>IFERROR(__xludf.DUMMYFUNCTION("GOOGLETRANSLATE(A1464, ""en"", ""hi"")"),"हरे पैकेट (मिश्रित बिस्कुट)")</f>
        <v>हरे पैकेट (मिश्रित बिस्कुट)</v>
      </c>
      <c r="D1464" s="2" t="s">
        <v>7057</v>
      </c>
      <c r="E1464" s="2" t="s">
        <v>4100</v>
      </c>
      <c r="F1464" s="1">
        <v>3.0</v>
      </c>
      <c r="G1464" s="3" t="s">
        <v>492</v>
      </c>
    </row>
    <row r="1465">
      <c r="A1465" s="3" t="s">
        <v>7232</v>
      </c>
      <c r="B1465" s="4" t="str">
        <f>IFERROR(__xludf.DUMMYFUNCTION("GOOGLETRANSLATE(A1465, ""en"", ""te"")"),"జాబ్సన్స్ చిక్కీస్")</f>
        <v>జాబ్సన్స్ చిక్కీస్</v>
      </c>
      <c r="C1465" s="4" t="str">
        <f>IFERROR(__xludf.DUMMYFUNCTION("GOOGLETRANSLATE(A1465, ""en"", ""hi"")"),"जैब्सन चिक्की")</f>
        <v>जैब्सन चिक्की</v>
      </c>
      <c r="D1465" s="5"/>
      <c r="E1465" s="2" t="s">
        <v>1294</v>
      </c>
      <c r="F1465" s="1">
        <v>3.0</v>
      </c>
      <c r="G1465" s="3" t="s">
        <v>389</v>
      </c>
    </row>
    <row r="1466">
      <c r="A1466" s="3" t="s">
        <v>7346</v>
      </c>
      <c r="B1466" s="4" t="str">
        <f>IFERROR(__xludf.DUMMYFUNCTION("GOOGLETRANSLATE(A1466, ""en"", ""te"")"),"బ్రిటానియా అట్టా బిస్కెట్")</f>
        <v>బ్రిటానియా అట్టా బిస్కెట్</v>
      </c>
      <c r="C1466" s="4" t="str">
        <f>IFERROR(__xludf.DUMMYFUNCTION("GOOGLETRANSLATE(A1466, ""en"", ""hi"")"),"ब्रिटानिया आटा बिस्कुट")</f>
        <v>ब्रिटानिया आटा बिस्कुट</v>
      </c>
      <c r="D1466" s="2" t="s">
        <v>7260</v>
      </c>
      <c r="E1466" s="2" t="s">
        <v>4100</v>
      </c>
      <c r="F1466" s="1">
        <v>3.0</v>
      </c>
      <c r="G1466" s="3" t="s">
        <v>418</v>
      </c>
    </row>
    <row r="1467">
      <c r="A1467" s="3" t="s">
        <v>7347</v>
      </c>
      <c r="B1467" s="4" t="str">
        <f>IFERROR(__xludf.DUMMYFUNCTION("GOOGLETRANSLATE(A1467, ""en"", ""te"")"),"సన్‌ఫీస్ట్ ఫార్మ్‌లైట్ డైజెస్టివ్స్")</f>
        <v>సన్‌ఫీస్ట్ ఫార్మ్‌లైట్ డైజెస్టివ్స్</v>
      </c>
      <c r="C1467" s="4" t="str">
        <f>IFERROR(__xludf.DUMMYFUNCTION("GOOGLETRANSLATE(A1467, ""en"", ""hi"")"),"सनफीस्ट फार्मलाइट डाइजेस्टिव")</f>
        <v>सनफीस्ट फार्मलाइट डाइजेस्टिव</v>
      </c>
      <c r="D1467" s="5"/>
      <c r="E1467" s="2" t="s">
        <v>4100</v>
      </c>
      <c r="F1467" s="1">
        <v>3.0</v>
      </c>
      <c r="G1467" s="3" t="s">
        <v>437</v>
      </c>
    </row>
    <row r="1468">
      <c r="A1468" s="3" t="s">
        <v>7112</v>
      </c>
      <c r="B1468" s="4" t="str">
        <f>IFERROR(__xludf.DUMMYFUNCTION("GOOGLETRANSLATE(A1468, ""en"", ""te"")"),"పార్లే హైడ్ &amp; సీక్ చాక్లెట్ చిప్ కుకీస్")</f>
        <v>పార్లే హైడ్ &amp; సీక్ చాక్లెట్ చిప్ కుకీస్</v>
      </c>
      <c r="C1468" s="4" t="str">
        <f>IFERROR(__xludf.DUMMYFUNCTION("GOOGLETRANSLATE(A1468, ""en"", ""hi"")"),"पार्ले हाइड एंड सीक चॉकलेट चिप कुकीज़")</f>
        <v>पार्ले हाइड एंड सीक चॉकलेट चिप कुकीज़</v>
      </c>
      <c r="D1468" s="2" t="s">
        <v>7105</v>
      </c>
      <c r="E1468" s="2" t="s">
        <v>4100</v>
      </c>
      <c r="F1468" s="1">
        <v>3.0</v>
      </c>
      <c r="G1468" s="3" t="s">
        <v>437</v>
      </c>
    </row>
    <row r="1469">
      <c r="A1469" s="3" t="s">
        <v>7348</v>
      </c>
      <c r="B1469" s="4" t="str">
        <f>IFERROR(__xludf.DUMMYFUNCTION("GOOGLETRANSLATE(A1469, ""en"", ""te"")"),"బ్రిటానియా ట్రీట్ జిమ్ జామ్ బిస్కెట్లు")</f>
        <v>బ్రిటానియా ట్రీట్ జిమ్ జామ్ బిస్కెట్లు</v>
      </c>
      <c r="C1469" s="4" t="str">
        <f>IFERROR(__xludf.DUMMYFUNCTION("GOOGLETRANSLATE(A1469, ""en"", ""hi"")"),"ब्रिटानिया ट्रीट जिम जैम बिस्कुट")</f>
        <v>ब्रिटानिया ट्रीट जिम जैम बिस्कुट</v>
      </c>
      <c r="D1469" s="2" t="s">
        <v>7057</v>
      </c>
      <c r="E1469" s="2" t="s">
        <v>4100</v>
      </c>
      <c r="F1469" s="1">
        <v>3.0</v>
      </c>
      <c r="G1469" s="3" t="s">
        <v>446</v>
      </c>
    </row>
    <row r="1470">
      <c r="A1470" s="3" t="s">
        <v>7169</v>
      </c>
      <c r="B1470" s="4" t="str">
        <f>IFERROR(__xludf.DUMMYFUNCTION("GOOGLETRANSLATE(A1470, ""en"", ""te"")"),"బ్రిటానియా గుడ్ డే జీడిపప్పు కుకీలు")</f>
        <v>బ్రిటానియా గుడ్ డే జీడిపప్పు కుకీలు</v>
      </c>
      <c r="C1470" s="4" t="str">
        <f>IFERROR(__xludf.DUMMYFUNCTION("GOOGLETRANSLATE(A1470, ""en"", ""hi"")"),"ब्रिटानिया गुड डे काजू कुकीज़")</f>
        <v>ब्रिटानिया गुड डे काजू कुकीज़</v>
      </c>
      <c r="D1470" s="2" t="s">
        <v>7088</v>
      </c>
      <c r="E1470" s="2" t="s">
        <v>4100</v>
      </c>
      <c r="F1470" s="1">
        <v>3.0</v>
      </c>
      <c r="G1470" s="3" t="s">
        <v>446</v>
      </c>
    </row>
    <row r="1471">
      <c r="A1471" s="3" t="s">
        <v>7169</v>
      </c>
      <c r="B1471" s="4" t="str">
        <f>IFERROR(__xludf.DUMMYFUNCTION("GOOGLETRANSLATE(A1471, ""en"", ""te"")"),"బ్రిటానియా గుడ్ డే జీడిపప్పు కుకీలు")</f>
        <v>బ్రిటానియా గుడ్ డే జీడిపప్పు కుకీలు</v>
      </c>
      <c r="C1471" s="4" t="str">
        <f>IFERROR(__xludf.DUMMYFUNCTION("GOOGLETRANSLATE(A1471, ""en"", ""hi"")"),"ब्रिटानिया गुड डे काजू कुकीज़")</f>
        <v>ब्रिटानिया गुड डे काजू कुकीज़</v>
      </c>
      <c r="D1471" s="2" t="s">
        <v>7088</v>
      </c>
      <c r="E1471" s="2" t="s">
        <v>4100</v>
      </c>
      <c r="F1471" s="1">
        <v>3.0</v>
      </c>
      <c r="G1471" s="3" t="s">
        <v>492</v>
      </c>
    </row>
    <row r="1472">
      <c r="A1472" s="3" t="s">
        <v>7349</v>
      </c>
      <c r="B1472" s="4" t="str">
        <f>IFERROR(__xludf.DUMMYFUNCTION("GOOGLETRANSLATE(A1472, ""en"", ""te"")"),"బికాజీ చిక్కీస్")</f>
        <v>బికాజీ చిక్కీస్</v>
      </c>
      <c r="C1472" s="4" t="str">
        <f>IFERROR(__xludf.DUMMYFUNCTION("GOOGLETRANSLATE(A1472, ""en"", ""hi"")"),"बिकाजी चिक्की")</f>
        <v>बिकाजी चिक्की</v>
      </c>
      <c r="D1472" s="2" t="s">
        <v>7200</v>
      </c>
      <c r="E1472" s="2" t="s">
        <v>1294</v>
      </c>
      <c r="F1472" s="1">
        <v>3.0</v>
      </c>
      <c r="G1472" s="3" t="s">
        <v>437</v>
      </c>
    </row>
    <row r="1473">
      <c r="A1473" s="3" t="s">
        <v>7173</v>
      </c>
      <c r="B1473" s="4" t="str">
        <f>IFERROR(__xludf.DUMMYFUNCTION("GOOGLETRANSLATE(A1473, ""en"", ""te"")"),"బికాజీ గుర్ రెవారి")</f>
        <v>బికాజీ గుర్ రెవారి</v>
      </c>
      <c r="C1473" s="4" t="str">
        <f>IFERROR(__xludf.DUMMYFUNCTION("GOOGLETRANSLATE(A1473, ""en"", ""hi"")"),"बिकाजी गुर रेवाड़ी")</f>
        <v>बिकाजी गुर रेवाड़ी</v>
      </c>
      <c r="D1473" s="2" t="s">
        <v>7174</v>
      </c>
      <c r="E1473" s="2" t="s">
        <v>3438</v>
      </c>
      <c r="F1473" s="1">
        <v>3.0</v>
      </c>
      <c r="G1473" s="3" t="s">
        <v>437</v>
      </c>
    </row>
    <row r="1474">
      <c r="A1474" s="3" t="s">
        <v>7162</v>
      </c>
      <c r="B1474" s="4" t="str">
        <f>IFERROR(__xludf.DUMMYFUNCTION("GOOGLETRANSLATE(A1474, ""en"", ""te"")"),"బికాజీ డ్రై పేతా")</f>
        <v>బికాజీ డ్రై పేతా</v>
      </c>
      <c r="C1474" s="4" t="str">
        <f>IFERROR(__xludf.DUMMYFUNCTION("GOOGLETRANSLATE(A1474, ""en"", ""hi"")"),"बिकाजी ड्राई पेठा")</f>
        <v>बिकाजी ड्राई पेठा</v>
      </c>
      <c r="D1474" s="5"/>
      <c r="E1474" s="2" t="s">
        <v>3438</v>
      </c>
      <c r="F1474" s="1">
        <v>3.0</v>
      </c>
      <c r="G1474" s="3" t="s">
        <v>4419</v>
      </c>
    </row>
    <row r="1475">
      <c r="A1475" s="3" t="s">
        <v>7350</v>
      </c>
      <c r="B1475" s="4" t="str">
        <f>IFERROR(__xludf.DUMMYFUNCTION("GOOGLETRANSLATE(A1475, ""en"", ""te"")"),"కరాచీ బేకరీ డ్రై పేఠా")</f>
        <v>కరాచీ బేకరీ డ్రై పేఠా</v>
      </c>
      <c r="C1475" s="4" t="str">
        <f>IFERROR(__xludf.DUMMYFUNCTION("GOOGLETRANSLATE(A1475, ""en"", ""hi"")"),"कराची बेकरी ड्राई पेठा")</f>
        <v>कराची बेकरी ड्राई पेठा</v>
      </c>
      <c r="D1475" s="5"/>
      <c r="E1475" s="2" t="s">
        <v>3438</v>
      </c>
      <c r="F1475" s="1">
        <v>3.0</v>
      </c>
      <c r="G1475" s="3" t="s">
        <v>4419</v>
      </c>
    </row>
    <row r="1476">
      <c r="A1476" s="3" t="s">
        <v>7175</v>
      </c>
      <c r="B1476" s="4" t="str">
        <f>IFERROR(__xludf.DUMMYFUNCTION("GOOGLETRANSLATE(A1476, ""en"", ""te"")"),"లోట్టే చోకో పై")</f>
        <v>లోట్టే చోకో పై</v>
      </c>
      <c r="C1476" s="4" t="str">
        <f>IFERROR(__xludf.DUMMYFUNCTION("GOOGLETRANSLATE(A1476, ""en"", ""hi"")"),"लोटे चोको पाई")</f>
        <v>लोटे चोको पाई</v>
      </c>
      <c r="D1476" s="2" t="s">
        <v>7083</v>
      </c>
      <c r="E1476" s="2" t="s">
        <v>4100</v>
      </c>
      <c r="F1476" s="1">
        <v>3.0</v>
      </c>
      <c r="G1476" s="3" t="s">
        <v>437</v>
      </c>
    </row>
    <row r="1477">
      <c r="A1477" s="3" t="s">
        <v>7351</v>
      </c>
      <c r="B1477" s="4" t="str">
        <f>IFERROR(__xludf.DUMMYFUNCTION("GOOGLETRANSLATE(A1477, ""en"", ""te"")"),"కరాచీ బేకరీ అట్టా బిస్కెట్")</f>
        <v>కరాచీ బేకరీ అట్టా బిస్కెట్</v>
      </c>
      <c r="C1477" s="4" t="str">
        <f>IFERROR(__xludf.DUMMYFUNCTION("GOOGLETRANSLATE(A1477, ""en"", ""hi"")"),"कराची बेकरी आटा बिस्कुट")</f>
        <v>कराची बेकरी आटा बिस्कुट</v>
      </c>
      <c r="D1477" s="2" t="s">
        <v>7352</v>
      </c>
      <c r="E1477" s="2" t="s">
        <v>4100</v>
      </c>
      <c r="F1477" s="1">
        <v>3.0</v>
      </c>
      <c r="G1477" s="3" t="s">
        <v>4419</v>
      </c>
    </row>
    <row r="1478">
      <c r="A1478" s="3" t="s">
        <v>7353</v>
      </c>
      <c r="B1478" s="4" t="str">
        <f>IFERROR(__xludf.DUMMYFUNCTION("GOOGLETRANSLATE(A1478, ""en"", ""te"")"),"కరాచీ బేకరీ బెల్లం పిండి బిస్కెట్")</f>
        <v>కరాచీ బేకరీ బెల్లం పిండి బిస్కెట్</v>
      </c>
      <c r="C1478" s="4" t="str">
        <f>IFERROR(__xludf.DUMMYFUNCTION("GOOGLETRANSLATE(A1478, ""en"", ""hi"")"),"कराची बेकरी गुड़ और गुड़ के आटे से बने बिस्कुट")</f>
        <v>कराची बेकरी गुड़ और गुड़ के आटे से बने बिस्कुट</v>
      </c>
      <c r="D1478" s="2" t="s">
        <v>7083</v>
      </c>
      <c r="E1478" s="2" t="s">
        <v>4100</v>
      </c>
      <c r="F1478" s="1">
        <v>3.0</v>
      </c>
      <c r="G1478" s="3" t="s">
        <v>4419</v>
      </c>
    </row>
    <row r="1479">
      <c r="A1479" s="3" t="s">
        <v>7354</v>
      </c>
      <c r="B1479" s="4" t="str">
        <f>IFERROR(__xludf.DUMMYFUNCTION("GOOGLETRANSLATE(A1479, ""en"", ""te"")"),"మెక్‌విటీస్ డైజెస్టివ్స్")</f>
        <v>మెక్‌విటీస్ డైజెస్టివ్స్</v>
      </c>
      <c r="C1479" s="4" t="str">
        <f>IFERROR(__xludf.DUMMYFUNCTION("GOOGLETRANSLATE(A1479, ""en"", ""hi"")"),"मैकविटिज डाइजेस्टिव")</f>
        <v>मैकविटिज डाइजेस्टिव</v>
      </c>
      <c r="D1479" s="5"/>
      <c r="E1479" s="2" t="s">
        <v>4100</v>
      </c>
      <c r="F1479" s="1">
        <v>3.0</v>
      </c>
      <c r="G1479" s="3" t="s">
        <v>437</v>
      </c>
    </row>
    <row r="1480">
      <c r="A1480" s="3" t="s">
        <v>7327</v>
      </c>
      <c r="B1480" s="4" t="str">
        <f>IFERROR(__xludf.DUMMYFUNCTION("GOOGLETRANSLATE(A1480, ""en"", ""te"")"),"బ్రిటానియా నైస్ టైమ్ బిస్కెట్లు")</f>
        <v>బ్రిటానియా నైస్ టైమ్ బిస్కెట్లు</v>
      </c>
      <c r="C1480" s="4" t="str">
        <f>IFERROR(__xludf.DUMMYFUNCTION("GOOGLETRANSLATE(A1480, ""en"", ""hi"")"),"ब्रिटानिया नाइस टाइम बिस्कुट")</f>
        <v>ब्रिटानिया नाइस टाइम बिस्कुट</v>
      </c>
      <c r="D1480" s="2" t="s">
        <v>7057</v>
      </c>
      <c r="E1480" s="2" t="s">
        <v>4100</v>
      </c>
      <c r="F1480" s="1">
        <v>3.0</v>
      </c>
      <c r="G1480" s="3" t="s">
        <v>446</v>
      </c>
    </row>
    <row r="1481">
      <c r="A1481" s="3" t="s">
        <v>7355</v>
      </c>
      <c r="B1481" s="4" t="str">
        <f>IFERROR(__xludf.DUMMYFUNCTION("GOOGLETRANSLATE(A1481, ""en"", ""te"")"),"బ్రిటానియా మిల్క్ బికీస్ బిస్కెట్లు")</f>
        <v>బ్రిటానియా మిల్క్ బికీస్ బిస్కెట్లు</v>
      </c>
      <c r="C1481" s="4" t="str">
        <f>IFERROR(__xludf.DUMMYFUNCTION("GOOGLETRANSLATE(A1481, ""en"", ""hi"")"),"ब्रिटानिया मिल्क बिकिस बिस्कुट")</f>
        <v>ब्रिटानिया मिल्क बिकिस बिस्कुट</v>
      </c>
      <c r="D1481" s="5"/>
      <c r="E1481" s="2" t="s">
        <v>4100</v>
      </c>
      <c r="F1481" s="1">
        <v>3.0</v>
      </c>
      <c r="G1481" s="3" t="s">
        <v>4446</v>
      </c>
    </row>
    <row r="1482">
      <c r="A1482" s="3" t="s">
        <v>7356</v>
      </c>
      <c r="B1482" s="4" t="str">
        <f>IFERROR(__xludf.DUMMYFUNCTION("GOOGLETRANSLATE(A1482, ""en"", ""te"")"),"పార్లే మొనాకో క్లాసిక్ బిస్కెట్లు")</f>
        <v>పార్లే మొనాకో క్లాసిక్ బిస్కెట్లు</v>
      </c>
      <c r="C1482" s="4" t="str">
        <f>IFERROR(__xludf.DUMMYFUNCTION("GOOGLETRANSLATE(A1482, ""en"", ""hi"")"),"पार्ले मोनाको क्लासिक बिस्कुट")</f>
        <v>पार्ले मोनाको क्लासिक बिस्कुट</v>
      </c>
      <c r="D1482" s="5"/>
      <c r="E1482" s="2" t="s">
        <v>4100</v>
      </c>
      <c r="F1482" s="1">
        <v>3.0</v>
      </c>
      <c r="G1482" s="3" t="s">
        <v>4446</v>
      </c>
    </row>
    <row r="1483">
      <c r="A1483" s="3" t="s">
        <v>7058</v>
      </c>
      <c r="B1483" s="4" t="str">
        <f>IFERROR(__xludf.DUMMYFUNCTION("GOOGLETRANSLATE(A1483, ""en"", ""te"")"),"పార్లే-జి బిస్కెట్లు")</f>
        <v>పార్లే-జి బిస్కెట్లు</v>
      </c>
      <c r="C1483" s="4" t="str">
        <f>IFERROR(__xludf.DUMMYFUNCTION("GOOGLETRANSLATE(A1483, ""en"", ""hi"")"),"पार्ले-जी बिस्कुट")</f>
        <v>पार्ले-जी बिस्कुट</v>
      </c>
      <c r="D1483" s="2" t="s">
        <v>7057</v>
      </c>
      <c r="E1483" s="2" t="s">
        <v>4100</v>
      </c>
      <c r="F1483" s="1">
        <v>3.0</v>
      </c>
      <c r="G1483" s="3" t="s">
        <v>492</v>
      </c>
    </row>
    <row r="1484">
      <c r="A1484" s="3" t="s">
        <v>7357</v>
      </c>
      <c r="B1484" s="4" t="str">
        <f>IFERROR(__xludf.DUMMYFUNCTION("GOOGLETRANSLATE(A1484, ""en"", ""te"")"),"బ్రిటానియా గుడ్ డే జీడిపప్పు కుకీల పెట్టె")</f>
        <v>బ్రిటానియా గుడ్ డే జీడిపప్పు కుకీల పెట్టె</v>
      </c>
      <c r="C1484" s="4" t="str">
        <f>IFERROR(__xludf.DUMMYFUNCTION("GOOGLETRANSLATE(A1484, ""en"", ""hi"")"),"ब्रिटानिया गुड डे काजू कुकीज़ बॉक्स")</f>
        <v>ब्रिटानिया गुड डे काजू कुकीज़ बॉक्स</v>
      </c>
      <c r="D1484" s="2" t="s">
        <v>7088</v>
      </c>
      <c r="E1484" s="2" t="s">
        <v>4100</v>
      </c>
      <c r="F1484" s="1">
        <v>3.0</v>
      </c>
      <c r="G1484" s="3" t="s">
        <v>329</v>
      </c>
    </row>
    <row r="1485">
      <c r="A1485" s="3" t="s">
        <v>7329</v>
      </c>
      <c r="B1485" s="4" t="str">
        <f>IFERROR(__xludf.DUMMYFUNCTION("GOOGLETRANSLATE(A1485, ""en"", ""te"")"),"కేసీబీ ముంబై పావ్")</f>
        <v>కేసీబీ ముంబై పావ్</v>
      </c>
      <c r="C1485" s="4" t="str">
        <f>IFERROR(__xludf.DUMMYFUNCTION("GOOGLETRANSLATE(A1485, ""en"", ""hi"")"),"केसीबी मुंबई पाव")</f>
        <v>केसीबी मुंबई पाव</v>
      </c>
      <c r="D1485" s="5"/>
      <c r="E1485" s="2" t="s">
        <v>4100</v>
      </c>
      <c r="F1485" s="1">
        <v>3.0</v>
      </c>
      <c r="G1485" s="3" t="s">
        <v>329</v>
      </c>
    </row>
    <row r="1486">
      <c r="A1486" s="3" t="s">
        <v>7058</v>
      </c>
      <c r="B1486" s="4" t="str">
        <f>IFERROR(__xludf.DUMMYFUNCTION("GOOGLETRANSLATE(A1486, ""en"", ""te"")"),"పార్లే-జి బిస్కెట్లు")</f>
        <v>పార్లే-జి బిస్కెట్లు</v>
      </c>
      <c r="C1486" s="4" t="str">
        <f>IFERROR(__xludf.DUMMYFUNCTION("GOOGLETRANSLATE(A1486, ""en"", ""hi"")"),"पार्ले-जी बिस्कुट")</f>
        <v>पार्ले-जी बिस्कुट</v>
      </c>
      <c r="D1486" s="2" t="s">
        <v>7057</v>
      </c>
      <c r="E1486" s="2" t="s">
        <v>4100</v>
      </c>
      <c r="F1486" s="1">
        <v>3.0</v>
      </c>
      <c r="G1486" s="3" t="s">
        <v>329</v>
      </c>
    </row>
    <row r="1487">
      <c r="A1487" s="3" t="s">
        <v>7358</v>
      </c>
      <c r="B1487" s="4" t="str">
        <f>IFERROR(__xludf.DUMMYFUNCTION("GOOGLETRANSLATE(A1487, ""en"", ""te"")"),"కరాచీ బేకరీ ప్రీమియం ప్యాక్ బిస్కెట్లు")</f>
        <v>కరాచీ బేకరీ ప్రీమియం ప్యాక్ బిస్కెట్లు</v>
      </c>
      <c r="C1487" s="4" t="str">
        <f>IFERROR(__xludf.DUMMYFUNCTION("GOOGLETRANSLATE(A1487, ""en"", ""hi"")"),"कराची बेकरी प्रीमियम पैक बिस्कुट")</f>
        <v>कराची बेकरी प्रीमियम पैक बिस्कुट</v>
      </c>
      <c r="D1487" s="2" t="s">
        <v>7083</v>
      </c>
      <c r="E1487" s="2" t="s">
        <v>4100</v>
      </c>
      <c r="F1487" s="1">
        <v>3.0</v>
      </c>
      <c r="G1487" s="3" t="s">
        <v>4419</v>
      </c>
    </row>
    <row r="1488">
      <c r="A1488" s="3" t="s">
        <v>7359</v>
      </c>
      <c r="B1488" s="4" t="str">
        <f>IFERROR(__xludf.DUMMYFUNCTION("GOOGLETRANSLATE(A1488, ""en"", ""te"")"),"క్రీమీ రోల్స్")</f>
        <v>క్రీమీ రోల్స్</v>
      </c>
      <c r="C1488" s="4" t="str">
        <f>IFERROR(__xludf.DUMMYFUNCTION("GOOGLETRANSLATE(A1488, ""en"", ""hi"")"),"क्रीमी रोल्स")</f>
        <v>क्रीमी रोल्स</v>
      </c>
      <c r="D1488" s="5"/>
      <c r="E1488" s="2" t="s">
        <v>4100</v>
      </c>
      <c r="F1488" s="1">
        <v>3.0</v>
      </c>
      <c r="G1488" s="3" t="s">
        <v>4434</v>
      </c>
    </row>
    <row r="1489">
      <c r="A1489" s="3" t="s">
        <v>1493</v>
      </c>
      <c r="B1489" s="4" t="str">
        <f>IFERROR(__xludf.DUMMYFUNCTION("GOOGLETRANSLATE(A1489, ""en"", ""te"")"),"బ్రిటానియా గుడ్ డే బటర్ కుకీస్")</f>
        <v>బ్రిటానియా గుడ్ డే బటర్ కుకీస్</v>
      </c>
      <c r="C1489" s="4" t="str">
        <f>IFERROR(__xludf.DUMMYFUNCTION("GOOGLETRANSLATE(A1489, ""en"", ""hi"")"),"ब्रिटानिया गुड डे बटर कुकीज़")</f>
        <v>ब्रिटानिया गुड डे बटर कुकीज़</v>
      </c>
      <c r="D1489" s="2" t="s">
        <v>7211</v>
      </c>
      <c r="E1489" s="2" t="s">
        <v>4100</v>
      </c>
      <c r="F1489" s="1">
        <v>3.0</v>
      </c>
      <c r="G1489" s="3" t="s">
        <v>4446</v>
      </c>
    </row>
    <row r="1490">
      <c r="A1490" s="3" t="s">
        <v>7194</v>
      </c>
      <c r="B1490" s="4" t="str">
        <f>IFERROR(__xludf.DUMMYFUNCTION("GOOGLETRANSLATE(A1490, ""en"", ""te"")"),"బ్రిటానియా గుడ్ డే పిస్తా-బాదం కుకీలు")</f>
        <v>బ్రిటానియా గుడ్ డే పిస్తా-బాదం కుకీలు</v>
      </c>
      <c r="C1490" s="4" t="str">
        <f>IFERROR(__xludf.DUMMYFUNCTION("GOOGLETRANSLATE(A1490, ""en"", ""hi"")"),"ब्रिटानिया गुड डे पिस्ता-बादाम कुकीज़")</f>
        <v>ब्रिटानिया गुड डे पिस्ता-बादाम कुकीज़</v>
      </c>
      <c r="D1490" s="2" t="s">
        <v>7195</v>
      </c>
      <c r="E1490" s="2" t="s">
        <v>4100</v>
      </c>
      <c r="F1490" s="1">
        <v>3.0</v>
      </c>
      <c r="G1490" s="3" t="s">
        <v>4446</v>
      </c>
    </row>
    <row r="1491">
      <c r="A1491" s="3" t="s">
        <v>7360</v>
      </c>
      <c r="B1491" s="4" t="str">
        <f>IFERROR(__xludf.DUMMYFUNCTION("GOOGLETRANSLATE(A1491, ""en"", ""te"")"),"పార్లే మొనాకో క్లాసిక్ క్రాకర్స్")</f>
        <v>పార్లే మొనాకో క్లాసిక్ క్రాకర్స్</v>
      </c>
      <c r="C1491" s="4" t="str">
        <f>IFERROR(__xludf.DUMMYFUNCTION("GOOGLETRANSLATE(A1491, ""en"", ""hi"")"),"पार्ले मोनाको क्लासिक क्रैकर्स")</f>
        <v>पार्ले मोनाको क्लासिक क्रैकर्स</v>
      </c>
      <c r="D1491" s="5"/>
      <c r="E1491" s="2" t="s">
        <v>4100</v>
      </c>
      <c r="F1491" s="1">
        <v>3.0</v>
      </c>
      <c r="G1491" s="3" t="s">
        <v>4446</v>
      </c>
    </row>
    <row r="1492">
      <c r="A1492" s="3" t="s">
        <v>7340</v>
      </c>
      <c r="B1492" s="4" t="str">
        <f>IFERROR(__xludf.DUMMYFUNCTION("GOOGLETRANSLATE(A1492, ""en"", ""te"")"),"పార్లే-జి గ్లూకో బిస్కెట్లు")</f>
        <v>పార్లే-జి గ్లూకో బిస్కెట్లు</v>
      </c>
      <c r="C1492" s="4" t="str">
        <f>IFERROR(__xludf.DUMMYFUNCTION("GOOGLETRANSLATE(A1492, ""en"", ""hi"")"),"पार्ले-जी ग्लूको बिस्कुट")</f>
        <v>पार्ले-जी ग्लूको बिस्कुट</v>
      </c>
      <c r="D1492" s="2" t="s">
        <v>7057</v>
      </c>
      <c r="E1492" s="2" t="s">
        <v>4100</v>
      </c>
      <c r="F1492" s="1">
        <v>3.0</v>
      </c>
      <c r="G1492" s="3" t="s">
        <v>329</v>
      </c>
    </row>
    <row r="1493">
      <c r="A1493" s="3" t="s">
        <v>7241</v>
      </c>
      <c r="B1493" s="4" t="str">
        <f>IFERROR(__xludf.DUMMYFUNCTION("GOOGLETRANSLATE(A1493, ""en"", ""te"")"),"బ్రిటానియా గుడ్ డే కుకీస్")</f>
        <v>బ్రిటానియా గుడ్ డే కుకీస్</v>
      </c>
      <c r="C1493" s="4" t="str">
        <f>IFERROR(__xludf.DUMMYFUNCTION("GOOGLETRANSLATE(A1493, ""en"", ""hi"")"),"ब्रिटानिया गुड डे कुकीज़")</f>
        <v>ब्रिटानिया गुड डे कुकीज़</v>
      </c>
      <c r="D1493" s="2" t="s">
        <v>7088</v>
      </c>
      <c r="E1493" s="2" t="s">
        <v>4100</v>
      </c>
      <c r="F1493" s="1">
        <v>3.0</v>
      </c>
      <c r="G1493" s="3" t="s">
        <v>329</v>
      </c>
    </row>
    <row r="1494">
      <c r="A1494" s="3" t="s">
        <v>7162</v>
      </c>
      <c r="B1494" s="4" t="str">
        <f>IFERROR(__xludf.DUMMYFUNCTION("GOOGLETRANSLATE(A1494, ""en"", ""te"")"),"బికాజీ డ్రై పేతా")</f>
        <v>బికాజీ డ్రై పేతా</v>
      </c>
      <c r="C1494" s="4" t="str">
        <f>IFERROR(__xludf.DUMMYFUNCTION("GOOGLETRANSLATE(A1494, ""en"", ""hi"")"),"बिकाजी ड्राई पेठा")</f>
        <v>बिकाजी ड्राई पेठा</v>
      </c>
      <c r="D1494" s="5"/>
      <c r="E1494" s="2" t="s">
        <v>3438</v>
      </c>
      <c r="F1494" s="1">
        <v>3.0</v>
      </c>
      <c r="G1494" s="3" t="s">
        <v>479</v>
      </c>
    </row>
    <row r="1495">
      <c r="A1495" s="3" t="s">
        <v>7144</v>
      </c>
      <c r="B1495" s="4" t="str">
        <f>IFERROR(__xludf.DUMMYFUNCTION("GOOGLETRANSLATE(A1495, ""en"", ""te"")"),"బికాజీ అట్టా లడ్డూ")</f>
        <v>బికాజీ అట్టా లడ్డూ</v>
      </c>
      <c r="C1495" s="4" t="str">
        <f>IFERROR(__xludf.DUMMYFUNCTION("GOOGLETRANSLATE(A1495, ""en"", ""hi"")"),"बिकाजी आटा लड्डू")</f>
        <v>बिकाजी आटा लड्डू</v>
      </c>
      <c r="D1495" s="2" t="s">
        <v>7100</v>
      </c>
      <c r="E1495" s="2" t="s">
        <v>3438</v>
      </c>
      <c r="F1495" s="1">
        <v>3.0</v>
      </c>
      <c r="G1495" s="3" t="s">
        <v>479</v>
      </c>
    </row>
    <row r="1496">
      <c r="A1496" s="3" t="s">
        <v>7145</v>
      </c>
      <c r="B1496" s="4" t="str">
        <f>IFERROR(__xludf.DUMMYFUNCTION("GOOGLETRANSLATE(A1496, ""en"", ""te"")"),"బికాజీ బేసన్ బర్ఫీ")</f>
        <v>బికాజీ బేసన్ బర్ఫీ</v>
      </c>
      <c r="C1496" s="4" t="str">
        <f>IFERROR(__xludf.DUMMYFUNCTION("GOOGLETRANSLATE(A1496, ""en"", ""hi"")"),"बिकाजी बेसन बर्फी")</f>
        <v>बिकाजी बेसन बर्फी</v>
      </c>
      <c r="D1496" s="2" t="s">
        <v>7052</v>
      </c>
      <c r="E1496" s="2" t="s">
        <v>3438</v>
      </c>
      <c r="F1496" s="1">
        <v>3.0</v>
      </c>
      <c r="G1496" s="3" t="s">
        <v>479</v>
      </c>
    </row>
    <row r="1497">
      <c r="A1497" s="3" t="s">
        <v>7135</v>
      </c>
      <c r="B1497" s="4" t="str">
        <f>IFERROR(__xludf.DUMMYFUNCTION("GOOGLETRANSLATE(A1497, ""en"", ""te"")"),"బికాజీ బేసన్ లడ్డూ")</f>
        <v>బికాజీ బేసన్ లడ్డూ</v>
      </c>
      <c r="C1497" s="4" t="str">
        <f>IFERROR(__xludf.DUMMYFUNCTION("GOOGLETRANSLATE(A1497, ""en"", ""hi"")"),"बिकाजी बेसन लड्डू")</f>
        <v>बिकाजी बेसन लड्डू</v>
      </c>
      <c r="D1497" s="2" t="s">
        <v>7136</v>
      </c>
      <c r="E1497" s="2" t="s">
        <v>3438</v>
      </c>
      <c r="F1497" s="1">
        <v>3.0</v>
      </c>
      <c r="G1497" s="3" t="s">
        <v>479</v>
      </c>
    </row>
    <row r="1498">
      <c r="A1498" s="3" t="s">
        <v>7138</v>
      </c>
      <c r="B1498" s="4" t="str">
        <f>IFERROR(__xludf.DUMMYFUNCTION("GOOGLETRANSLATE(A1498, ""en"", ""te"")"),"జిఆర్‌బి ఆరెంజ్ సోన్ పాప్డి")</f>
        <v>జిఆర్‌బి ఆరెంజ్ సోన్ పాప్డి</v>
      </c>
      <c r="C1498" s="4" t="str">
        <f>IFERROR(__xludf.DUMMYFUNCTION("GOOGLETRANSLATE(A1498, ""en"", ""hi"")"),"जीआरबी ऑरेंज सोहन पापड़ी")</f>
        <v>जीआरबी ऑरेंज सोहन पापड़ी</v>
      </c>
      <c r="D1498" s="5"/>
      <c r="E1498" s="2" t="s">
        <v>3438</v>
      </c>
      <c r="F1498" s="1">
        <v>3.0</v>
      </c>
      <c r="G1498" s="3" t="s">
        <v>479</v>
      </c>
    </row>
    <row r="1499">
      <c r="A1499" s="3" t="s">
        <v>7164</v>
      </c>
      <c r="B1499" s="4" t="str">
        <f>IFERROR(__xludf.DUMMYFUNCTION("GOOGLETRANSLATE(A1499, ""en"", ""te"")"),"కరాచీ బేకరీ చాయ్ బిస్కెట్")</f>
        <v>కరాచీ బేకరీ చాయ్ బిస్కెట్</v>
      </c>
      <c r="C1499" s="4" t="str">
        <f>IFERROR(__xludf.DUMMYFUNCTION("GOOGLETRANSLATE(A1499, ""en"", ""hi"")"),"कराची बेकरी चाय बिस्कुट")</f>
        <v>कराची बेकरी चाय बिस्कुट</v>
      </c>
      <c r="D1499" s="5"/>
      <c r="E1499" s="2" t="s">
        <v>4100</v>
      </c>
      <c r="F1499" s="1">
        <v>3.0</v>
      </c>
      <c r="G1499" s="3" t="s">
        <v>478</v>
      </c>
    </row>
    <row r="1500">
      <c r="A1500" s="3" t="s">
        <v>7361</v>
      </c>
      <c r="B1500" s="4" t="str">
        <f>IFERROR(__xludf.DUMMYFUNCTION("GOOGLETRANSLATE(A1500, ""en"", ""te"")"),"కరాచీ బేకరీ గుర్ అట్టా బిస్కెట్")</f>
        <v>కరాచీ బేకరీ గుర్ అట్టా బిస్కెట్</v>
      </c>
      <c r="C1500" s="4" t="str">
        <f>IFERROR(__xludf.DUMMYFUNCTION("GOOGLETRANSLATE(A1500, ""en"", ""hi"")"),"कराची बेकरी गुड़ आटा बिस्किट")</f>
        <v>कराची बेकरी गुड़ आटा बिस्किट</v>
      </c>
      <c r="D1500" s="2" t="s">
        <v>7083</v>
      </c>
      <c r="E1500" s="2" t="s">
        <v>67</v>
      </c>
      <c r="F1500" s="1">
        <v>3.0</v>
      </c>
      <c r="G1500" s="3" t="s">
        <v>478</v>
      </c>
    </row>
    <row r="1501">
      <c r="A1501" s="3" t="s">
        <v>7362</v>
      </c>
      <c r="B1501" s="4" t="str">
        <f>IFERROR(__xludf.DUMMYFUNCTION("GOOGLETRANSLATE(A1501, ""en"", ""te"")"),"పార్లే మొనాకో క్లాసిక్ సాల్టెడ్ బిస్కెట్లు")</f>
        <v>పార్లే మొనాకో క్లాసిక్ సాల్టెడ్ బిస్కెట్లు</v>
      </c>
      <c r="C1501" s="4" t="str">
        <f>IFERROR(__xludf.DUMMYFUNCTION("GOOGLETRANSLATE(A1501, ""en"", ""hi"")"),"पार्ले मोनाको क्लासिक नमकीन बिस्कुट")</f>
        <v>पार्ले मोनाको क्लासिक नमकीन बिस्कुट</v>
      </c>
      <c r="D1501" s="5"/>
      <c r="E1501" s="2" t="s">
        <v>4100</v>
      </c>
      <c r="F1501" s="1">
        <v>3.0</v>
      </c>
      <c r="G1501" s="3" t="s">
        <v>4446</v>
      </c>
    </row>
    <row r="1502">
      <c r="A1502" s="3" t="s">
        <v>7340</v>
      </c>
      <c r="B1502" s="4" t="str">
        <f>IFERROR(__xludf.DUMMYFUNCTION("GOOGLETRANSLATE(A1502, ""en"", ""te"")"),"పార్లే-జి గ్లూకో బిస్కెట్లు")</f>
        <v>పార్లే-జి గ్లూకో బిస్కెట్లు</v>
      </c>
      <c r="C1502" s="4" t="str">
        <f>IFERROR(__xludf.DUMMYFUNCTION("GOOGLETRANSLATE(A1502, ""en"", ""hi"")"),"पार्ले-जी ग्लूको बिस्कुट")</f>
        <v>पार्ले-जी ग्लूको बिस्कुट</v>
      </c>
      <c r="D1502" s="2" t="s">
        <v>7057</v>
      </c>
      <c r="E1502" s="2" t="s">
        <v>4100</v>
      </c>
      <c r="F1502" s="1">
        <v>3.0</v>
      </c>
      <c r="G1502" s="3" t="s">
        <v>4692</v>
      </c>
    </row>
    <row r="1503">
      <c r="A1503" s="3" t="s">
        <v>7363</v>
      </c>
      <c r="B1503" s="4" t="str">
        <f>IFERROR(__xludf.DUMMYFUNCTION("GOOGLETRANSLATE(A1503, ""en"", ""te"")"),"పార్లే క్రాక్‌జాక్ బిస్కెట్లు")</f>
        <v>పార్లే క్రాక్‌జాక్ బిస్కెట్లు</v>
      </c>
      <c r="C1503" s="4" t="str">
        <f>IFERROR(__xludf.DUMMYFUNCTION("GOOGLETRANSLATE(A1503, ""en"", ""hi"")"),"पार्ले क्रैकजैक बिस्कुट")</f>
        <v>पार्ले क्रैकजैक बिस्कुट</v>
      </c>
      <c r="D1503" s="2" t="s">
        <v>7057</v>
      </c>
      <c r="E1503" s="2" t="s">
        <v>4100</v>
      </c>
      <c r="F1503" s="1">
        <v>3.0</v>
      </c>
      <c r="G1503" s="3" t="s">
        <v>4692</v>
      </c>
    </row>
    <row r="1504">
      <c r="A1504" s="3" t="s">
        <v>7363</v>
      </c>
      <c r="B1504" s="4" t="str">
        <f>IFERROR(__xludf.DUMMYFUNCTION("GOOGLETRANSLATE(A1504, ""en"", ""te"")"),"పార్లే క్రాక్‌జాక్ బిస్కెట్లు")</f>
        <v>పార్లే క్రాక్‌జాక్ బిస్కెట్లు</v>
      </c>
      <c r="C1504" s="4" t="str">
        <f>IFERROR(__xludf.DUMMYFUNCTION("GOOGLETRANSLATE(A1504, ""en"", ""hi"")"),"पार्ले क्रैकजैक बिस्कुट")</f>
        <v>पार्ले क्रैकजैक बिस्कुट</v>
      </c>
      <c r="D1504" s="2" t="s">
        <v>7057</v>
      </c>
      <c r="E1504" s="2" t="s">
        <v>4100</v>
      </c>
      <c r="F1504" s="1">
        <v>3.0</v>
      </c>
      <c r="G1504" s="3" t="s">
        <v>4924</v>
      </c>
    </row>
    <row r="1505">
      <c r="A1505" s="3" t="s">
        <v>7340</v>
      </c>
      <c r="B1505" s="4" t="str">
        <f>IFERROR(__xludf.DUMMYFUNCTION("GOOGLETRANSLATE(A1505, ""en"", ""te"")"),"పార్లే-జి గ్లూకో బిస్కెట్లు")</f>
        <v>పార్లే-జి గ్లూకో బిస్కెట్లు</v>
      </c>
      <c r="C1505" s="4" t="str">
        <f>IFERROR(__xludf.DUMMYFUNCTION("GOOGLETRANSLATE(A1505, ""en"", ""hi"")"),"पार्ले-जी ग्लूको बिस्कुट")</f>
        <v>पार्ले-जी ग्लूको बिस्कुट</v>
      </c>
      <c r="D1505" s="2" t="s">
        <v>7057</v>
      </c>
      <c r="E1505" s="2" t="s">
        <v>4100</v>
      </c>
      <c r="F1505" s="1">
        <v>3.0</v>
      </c>
      <c r="G1505" s="3" t="s">
        <v>4924</v>
      </c>
    </row>
    <row r="1506">
      <c r="A1506" s="3" t="s">
        <v>7364</v>
      </c>
      <c r="B1506" s="4" t="str">
        <f>IFERROR(__xludf.DUMMYFUNCTION("GOOGLETRANSLATE(A1506, ""en"", ""te"")"),"గోబ్ ఆరెంజ్ బిస్కెట్లు")</f>
        <v>గోబ్ ఆరెంజ్ బిస్కెట్లు</v>
      </c>
      <c r="C1506" s="4" t="str">
        <f>IFERROR(__xludf.DUMMYFUNCTION("GOOGLETRANSLATE(A1506, ""en"", ""hi"")"),"जीओबी ऑरेंज बिस्कुट")</f>
        <v>जीओबी ऑरेंज बिस्कुट</v>
      </c>
      <c r="D1506" s="2" t="s">
        <v>7057</v>
      </c>
      <c r="E1506" s="2" t="s">
        <v>4100</v>
      </c>
      <c r="F1506" s="1">
        <v>3.0</v>
      </c>
      <c r="G1506" s="3" t="s">
        <v>71</v>
      </c>
    </row>
    <row r="1507">
      <c r="A1507" s="3" t="s">
        <v>7365</v>
      </c>
      <c r="B1507" s="4" t="str">
        <f>IFERROR(__xludf.DUMMYFUNCTION("GOOGLETRANSLATE(A1507, ""en"", ""te"")"),"పిస్తా బిస్కెట్లు")</f>
        <v>పిస్తా బిస్కెట్లు</v>
      </c>
      <c r="C1507" s="4" t="str">
        <f>IFERROR(__xludf.DUMMYFUNCTION("GOOGLETRANSLATE(A1507, ""en"", ""hi"")"),"पिस्ता बिस्कुट")</f>
        <v>पिस्ता बिस्कुट</v>
      </c>
      <c r="D1507" s="2" t="s">
        <v>7057</v>
      </c>
      <c r="E1507" s="2" t="s">
        <v>4100</v>
      </c>
      <c r="F1507" s="1">
        <v>3.0</v>
      </c>
      <c r="G1507" s="3" t="s">
        <v>71</v>
      </c>
    </row>
    <row r="1508">
      <c r="A1508" s="3" t="s">
        <v>7366</v>
      </c>
      <c r="B1508" s="4" t="str">
        <f>IFERROR(__xludf.DUMMYFUNCTION("GOOGLETRANSLATE(A1508, ""en"", ""te"")"),"జీరా బిస్కెట్లు")</f>
        <v>జీరా బిస్కెట్లు</v>
      </c>
      <c r="C1508" s="4" t="str">
        <f>IFERROR(__xludf.DUMMYFUNCTION("GOOGLETRANSLATE(A1508, ""en"", ""hi"")"),"जीरा बिस्कुट")</f>
        <v>जीरा बिस्कुट</v>
      </c>
      <c r="D1508" s="2" t="s">
        <v>7050</v>
      </c>
      <c r="E1508" s="2" t="s">
        <v>4100</v>
      </c>
      <c r="F1508" s="1">
        <v>3.0</v>
      </c>
      <c r="G1508" s="3" t="s">
        <v>71</v>
      </c>
    </row>
    <row r="1509">
      <c r="A1509" s="3" t="s">
        <v>7367</v>
      </c>
      <c r="B1509" s="4" t="str">
        <f>IFERROR(__xludf.DUMMYFUNCTION("GOOGLETRANSLATE(A1509, ""en"", ""te"")"),"టేస్ట్ మెజెస్టిక్ కుకీస్")</f>
        <v>టేస్ట్ మెజెస్టిక్ కుకీస్</v>
      </c>
      <c r="C1509" s="4" t="str">
        <f>IFERROR(__xludf.DUMMYFUNCTION("GOOGLETRANSLATE(A1509, ""en"", ""hi"")"),"टेस्ट मैजेस्टिक कुकीज़")</f>
        <v>टेस्ट मैजेस्टिक कुकीज़</v>
      </c>
      <c r="D1509" s="2" t="s">
        <v>7105</v>
      </c>
      <c r="E1509" s="2" t="s">
        <v>4100</v>
      </c>
      <c r="F1509" s="1">
        <v>3.0</v>
      </c>
      <c r="G1509" s="3" t="s">
        <v>71</v>
      </c>
    </row>
    <row r="1510">
      <c r="A1510" s="3" t="s">
        <v>7368</v>
      </c>
      <c r="B1510" s="4" t="str">
        <f>IFERROR(__xludf.DUMMYFUNCTION("GOOGLETRANSLATE(A1510, ""en"", ""te"")"),"చక్కెర లేని జీడిపప్పు బిస్కెట్లు")</f>
        <v>చక్కెర లేని జీడిపప్పు బిస్కెట్లు</v>
      </c>
      <c r="C1510" s="4" t="str">
        <f>IFERROR(__xludf.DUMMYFUNCTION("GOOGLETRANSLATE(A1510, ""en"", ""hi"")"),"शुगर फ्री काजू बिस्कुट")</f>
        <v>शुगर फ्री काजू बिस्कुट</v>
      </c>
      <c r="D1510" s="5"/>
      <c r="E1510" s="2" t="s">
        <v>4100</v>
      </c>
      <c r="F1510" s="1">
        <v>3.0</v>
      </c>
      <c r="G1510" s="3" t="s">
        <v>71</v>
      </c>
    </row>
    <row r="1511">
      <c r="A1511" s="3" t="s">
        <v>7369</v>
      </c>
      <c r="B1511" s="4" t="str">
        <f>IFERROR(__xludf.DUMMYFUNCTION("GOOGLETRANSLATE(A1511, ""en"", ""te"")"),"బేకరీ రస్క్ / క్లామ్‌షెల్ ప్యాకేజింగ్‌లో కుకీలు")</f>
        <v>బేకరీ రస్క్ / క్లామ్‌షెల్ ప్యాకేజింగ్‌లో కుకీలు</v>
      </c>
      <c r="C1511" s="4" t="str">
        <f>IFERROR(__xludf.DUMMYFUNCTION("GOOGLETRANSLATE(A1511, ""en"", ""hi"")"),"क्लैमशेल पैकेजिंग में बेकरी रस्क/कुकीज़")</f>
        <v>क्लैमशेल पैकेजिंग में बेकरी रस्क/कुकीज़</v>
      </c>
      <c r="D1511" s="2" t="s">
        <v>7105</v>
      </c>
      <c r="E1511" s="2" t="s">
        <v>4100</v>
      </c>
      <c r="F1511" s="1">
        <v>3.0</v>
      </c>
      <c r="G1511" s="3" t="s">
        <v>76</v>
      </c>
    </row>
    <row r="1512">
      <c r="A1512" s="3" t="s">
        <v>7104</v>
      </c>
      <c r="B1512" s="4" t="str">
        <f>IFERROR(__xludf.DUMMYFUNCTION("GOOGLETRANSLATE(A1512, ""en"", ""te"")"),"పార్లే-జి రాయల్ కుకీస్")</f>
        <v>పార్లే-జి రాయల్ కుకీస్</v>
      </c>
      <c r="C1512" s="4" t="str">
        <f>IFERROR(__xludf.DUMMYFUNCTION("GOOGLETRANSLATE(A1512, ""en"", ""hi"")"),"पार्ले-जी रॉयल कुकीज़")</f>
        <v>पार्ले-जी रॉयल कुकीज़</v>
      </c>
      <c r="D1512" s="2" t="s">
        <v>7105</v>
      </c>
      <c r="E1512" s="2" t="s">
        <v>4100</v>
      </c>
      <c r="F1512" s="1">
        <v>3.0</v>
      </c>
      <c r="G1512" s="3" t="s">
        <v>4692</v>
      </c>
    </row>
    <row r="1513">
      <c r="A1513" s="3" t="s">
        <v>7142</v>
      </c>
      <c r="B1513" s="4" t="str">
        <f>IFERROR(__xludf.DUMMYFUNCTION("GOOGLETRANSLATE(A1513, ""en"", ""te"")"),"పార్లే-జి ఒరిజినల్ గ్లూకో బిస్కెట్లు")</f>
        <v>పార్లే-జి ఒరిజినల్ గ్లూకో బిస్కెట్లు</v>
      </c>
      <c r="C1513" s="4" t="str">
        <f>IFERROR(__xludf.DUMMYFUNCTION("GOOGLETRANSLATE(A1513, ""en"", ""hi"")"),"पार्ले-जी ओरिजिनल ग्लूको बिस्कुट")</f>
        <v>पार्ले-जी ओरिजिनल ग्लूको बिस्कुट</v>
      </c>
      <c r="D1513" s="2" t="s">
        <v>7083</v>
      </c>
      <c r="E1513" s="2" t="s">
        <v>4100</v>
      </c>
      <c r="F1513" s="1">
        <v>3.0</v>
      </c>
      <c r="G1513" s="3" t="s">
        <v>4924</v>
      </c>
    </row>
    <row r="1514">
      <c r="A1514" s="3" t="s">
        <v>7370</v>
      </c>
      <c r="B1514" s="4" t="str">
        <f>IFERROR(__xludf.DUMMYFUNCTION("GOOGLETRANSLATE(A1514, ""en"", ""te"")"),"పార్లే-జి గోల్డ్ బిస్కెట్ల ప్యాకెట్లు")</f>
        <v>పార్లే-జి గోల్డ్ బిస్కెట్ల ప్యాకెట్లు</v>
      </c>
      <c r="C1514" s="4" t="str">
        <f>IFERROR(__xludf.DUMMYFUNCTION("GOOGLETRANSLATE(A1514, ""en"", ""hi"")"),"पारले-जी गोल्ड बिस्कुट के पैकेट")</f>
        <v>पारले-जी गोल्ड बिस्कुट के पैकेट</v>
      </c>
      <c r="D1514" s="5"/>
      <c r="E1514" s="2" t="s">
        <v>4100</v>
      </c>
      <c r="F1514" s="1">
        <v>3.0</v>
      </c>
      <c r="G1514" s="3" t="s">
        <v>4924</v>
      </c>
    </row>
    <row r="1515">
      <c r="A1515" s="3" t="s">
        <v>7371</v>
      </c>
      <c r="B1515" s="4" t="str">
        <f>IFERROR(__xludf.DUMMYFUNCTION("GOOGLETRANSLATE(A1515, ""en"", ""te"")"),"పార్లే-జి చాకో బిస్కెట్లు")</f>
        <v>పార్లే-జి చాకో బిస్కెట్లు</v>
      </c>
      <c r="C1515" s="4" t="str">
        <f>IFERROR(__xludf.DUMMYFUNCTION("GOOGLETRANSLATE(A1515, ""en"", ""hi"")"),"पार्ले-जी चोको बिस्कुट")</f>
        <v>पार्ले-जी चोको बिस्कुट</v>
      </c>
      <c r="D1515" s="2" t="s">
        <v>7372</v>
      </c>
      <c r="E1515" s="2" t="s">
        <v>4100</v>
      </c>
      <c r="F1515" s="1">
        <v>3.0</v>
      </c>
      <c r="G1515" s="3" t="s">
        <v>4924</v>
      </c>
    </row>
    <row r="1516">
      <c r="A1516" s="3" t="s">
        <v>7373</v>
      </c>
      <c r="B1516" s="4" t="str">
        <f>IFERROR(__xludf.DUMMYFUNCTION("GOOGLETRANSLATE(A1516, ""en"", ""te"")"),"పార్లే హైడ్ &amp; సీక్ బిస్కెట్ల ప్యాకెట్లు")</f>
        <v>పార్లే హైడ్ &amp; సీక్ బిస్కెట్ల ప్యాకెట్లు</v>
      </c>
      <c r="C1516" s="4" t="str">
        <f>IFERROR(__xludf.DUMMYFUNCTION("GOOGLETRANSLATE(A1516, ""en"", ""hi"")"),"पारले हाइड एंड सीक बिस्कुट पैकेट")</f>
        <v>पारले हाइड एंड सीक बिस्कुट पैकेट</v>
      </c>
      <c r="D1516" s="2" t="s">
        <v>7057</v>
      </c>
      <c r="E1516" s="2" t="s">
        <v>4100</v>
      </c>
      <c r="F1516" s="1">
        <v>3.0</v>
      </c>
      <c r="G1516" s="3" t="s">
        <v>4924</v>
      </c>
    </row>
    <row r="1517">
      <c r="A1517" s="3" t="s">
        <v>7115</v>
      </c>
      <c r="B1517" s="4" t="str">
        <f>IFERROR(__xludf.DUMMYFUNCTION("GOOGLETRANSLATE(A1517, ""en"", ""te"")"),"జిఆర్‌బి సోన్ కేక్")</f>
        <v>జిఆర్‌బి సోన్ కేక్</v>
      </c>
      <c r="C1517" s="4" t="str">
        <f>IFERROR(__xludf.DUMMYFUNCTION("GOOGLETRANSLATE(A1517, ""en"", ""hi"")"),"जीआरबी सोआन केक")</f>
        <v>जीआरबी सोआन केक</v>
      </c>
      <c r="D1517" s="2" t="s">
        <v>7116</v>
      </c>
      <c r="E1517" s="2" t="s">
        <v>4100</v>
      </c>
      <c r="F1517" s="1">
        <v>3.0</v>
      </c>
      <c r="G1517" s="3" t="s">
        <v>71</v>
      </c>
    </row>
    <row r="1518">
      <c r="A1518" s="3" t="s">
        <v>7374</v>
      </c>
      <c r="B1518" s="4" t="str">
        <f>IFERROR(__xludf.DUMMYFUNCTION("GOOGLETRANSLATE(A1518, ""en"", ""te"")"),"జిఆర్‌బి మైసూర్ పాక్")</f>
        <v>జిఆర్‌బి మైసూర్ పాక్</v>
      </c>
      <c r="C1518" s="4" t="str">
        <f>IFERROR(__xludf.DUMMYFUNCTION("GOOGLETRANSLATE(A1518, ""en"", ""hi"")"),"जीआरबी मैसूर पाक")</f>
        <v>जीआरबी मैसूर पाक</v>
      </c>
      <c r="D1518" s="5"/>
      <c r="E1518" s="2" t="s">
        <v>3438</v>
      </c>
      <c r="F1518" s="1">
        <v>3.0</v>
      </c>
      <c r="G1518" s="3" t="s">
        <v>71</v>
      </c>
    </row>
    <row r="1519">
      <c r="A1519" s="3" t="s">
        <v>7109</v>
      </c>
      <c r="B1519" s="4" t="str">
        <f>IFERROR(__xludf.DUMMYFUNCTION("GOOGLETRANSLATE(A1519, ""en"", ""te"")"),"జి.ఆర్.బి. నెయ్యి డ్రై ఫ్రూట్స్ హల్వా")</f>
        <v>జి.ఆర్.బి. నెయ్యి డ్రై ఫ్రూట్స్ హల్వా</v>
      </c>
      <c r="C1519" s="4" t="str">
        <f>IFERROR(__xludf.DUMMYFUNCTION("GOOGLETRANSLATE(A1519, ""en"", ""hi"")"),"जीआरबी घी ड्राई फ्रूट्स हलवा")</f>
        <v>जीआरबी घी ड्राई फ्रूट्स हलवा</v>
      </c>
      <c r="D1519" s="5"/>
      <c r="E1519" s="2" t="s">
        <v>3438</v>
      </c>
      <c r="F1519" s="1">
        <v>3.0</v>
      </c>
      <c r="G1519" s="3" t="s">
        <v>71</v>
      </c>
    </row>
    <row r="1520">
      <c r="A1520" s="3" t="s">
        <v>7375</v>
      </c>
      <c r="B1520" s="4" t="str">
        <f>IFERROR(__xludf.DUMMYFUNCTION("GOOGLETRANSLATE(A1520, ""en"", ""te"")"),"ఘసితారామ్ బొంబాయి హల్వా")</f>
        <v>ఘసితారామ్ బొంబాయి హల్వా</v>
      </c>
      <c r="C1520" s="4" t="str">
        <f>IFERROR(__xludf.DUMMYFUNCTION("GOOGLETRANSLATE(A1520, ""en"", ""hi"")"),"घसीताराम का बॉम्बे हलवा")</f>
        <v>घसीताराम का बॉम्बे हलवा</v>
      </c>
      <c r="D1520" s="5"/>
      <c r="E1520" s="2" t="s">
        <v>3438</v>
      </c>
      <c r="F1520" s="1">
        <v>3.0</v>
      </c>
      <c r="G1520" s="3" t="s">
        <v>71</v>
      </c>
    </row>
    <row r="1521">
      <c r="A1521" s="3" t="s">
        <v>7110</v>
      </c>
      <c r="B1521" s="4" t="str">
        <f>IFERROR(__xludf.DUMMYFUNCTION("GOOGLETRANSLATE(A1521, ""en"", ""te"")"),"కరాచీ బేకరీ టూ మెజెస్టిక్ కుకీస్")</f>
        <v>కరాచీ బేకరీ టూ మెజెస్టిక్ కుకీస్</v>
      </c>
      <c r="C1521" s="4" t="str">
        <f>IFERROR(__xludf.DUMMYFUNCTION("GOOGLETRANSLATE(A1521, ""en"", ""hi"")"),"कराची बेकरी टू मैजेस्टिक कुकीज़")</f>
        <v>कराची बेकरी टू मैजेस्टिक कुकीज़</v>
      </c>
      <c r="D1521" s="2" t="s">
        <v>7105</v>
      </c>
      <c r="E1521" s="2" t="s">
        <v>4100</v>
      </c>
      <c r="F1521" s="1">
        <v>3.0</v>
      </c>
      <c r="G1521" s="3" t="s">
        <v>76</v>
      </c>
    </row>
    <row r="1522">
      <c r="A1522" s="3" t="s">
        <v>7078</v>
      </c>
      <c r="B1522" s="4" t="str">
        <f>IFERROR(__xludf.DUMMYFUNCTION("GOOGLETRANSLATE(A1522, ""en"", ""te"")"),"కరాచీ బేకరీ చక్కెర రహిత జీడిపప్పు బిస్కెట్")</f>
        <v>కరాచీ బేకరీ చక్కెర రహిత జీడిపప్పు బిస్కెట్</v>
      </c>
      <c r="C1522" s="4" t="str">
        <f>IFERROR(__xludf.DUMMYFUNCTION("GOOGLETRANSLATE(A1522, ""en"", ""hi"")"),"कराची बेकरी शुगर फ्री काजू बिस्किट")</f>
        <v>कराची बेकरी शुगर फ्री काजू बिस्किट</v>
      </c>
      <c r="D1522" s="2" t="s">
        <v>7079</v>
      </c>
      <c r="E1522" s="2" t="s">
        <v>4100</v>
      </c>
      <c r="F1522" s="1">
        <v>3.0</v>
      </c>
      <c r="G1522" s="3" t="s">
        <v>76</v>
      </c>
    </row>
    <row r="1523">
      <c r="A1523" s="3" t="s">
        <v>7122</v>
      </c>
      <c r="B1523" s="4" t="str">
        <f>IFERROR(__xludf.DUMMYFUNCTION("GOOGLETRANSLATE(A1523, ""en"", ""te"")"),"కరాచీ బేకరీ ఫ్రూట్ రస్క్")</f>
        <v>కరాచీ బేకరీ ఫ్రూట్ రస్క్</v>
      </c>
      <c r="C1523" s="4" t="str">
        <f>IFERROR(__xludf.DUMMYFUNCTION("GOOGLETRANSLATE(A1523, ""en"", ""hi"")"),"कराची बेकरी फ्रूट रस्क")</f>
        <v>कराची बेकरी फ्रूट रस्क</v>
      </c>
      <c r="D1523" s="2" t="s">
        <v>7123</v>
      </c>
      <c r="E1523" s="2" t="s">
        <v>4100</v>
      </c>
      <c r="F1523" s="1">
        <v>3.0</v>
      </c>
      <c r="G1523" s="3" t="s">
        <v>76</v>
      </c>
    </row>
    <row r="1524">
      <c r="A1524" s="3" t="s">
        <v>7376</v>
      </c>
      <c r="B1524" s="4" t="str">
        <f>IFERROR(__xludf.DUMMYFUNCTION("GOOGLETRANSLATE(A1524, ""en"", ""te"")"),"ఇటాలియన్ కొబ్బరి బిస్కెట్లు")</f>
        <v>ఇటాలియన్ కొబ్బరి బిస్కెట్లు</v>
      </c>
      <c r="C1524" s="4" t="str">
        <f>IFERROR(__xludf.DUMMYFUNCTION("GOOGLETRANSLATE(A1524, ""en"", ""hi"")"),"इतालवी नारियल बिस्कुट")</f>
        <v>इतालवी नारियल बिस्कुट</v>
      </c>
      <c r="D1524" s="2" t="s">
        <v>7377</v>
      </c>
      <c r="E1524" s="2" t="s">
        <v>4100</v>
      </c>
      <c r="F1524" s="1">
        <v>3.0</v>
      </c>
      <c r="G1524" s="3" t="s">
        <v>85</v>
      </c>
    </row>
    <row r="1525">
      <c r="A1525" s="3" t="s">
        <v>7378</v>
      </c>
      <c r="B1525" s="4" t="str">
        <f>IFERROR(__xludf.DUMMYFUNCTION("GOOGLETRANSLATE(A1525, ""en"", ""te"")"),"బాదం పిస్తా బిస్కెట్లు")</f>
        <v>బాదం పిస్తా బిస్కెట్లు</v>
      </c>
      <c r="C1525" s="4" t="str">
        <f>IFERROR(__xludf.DUMMYFUNCTION("GOOGLETRANSLATE(A1525, ""en"", ""hi"")"),"बादाम पिस्ता बिस्कुट")</f>
        <v>बादाम पिस्ता बिस्कुट</v>
      </c>
      <c r="D1525" s="2" t="s">
        <v>7379</v>
      </c>
      <c r="E1525" s="2" t="s">
        <v>4100</v>
      </c>
      <c r="F1525" s="1">
        <v>3.0</v>
      </c>
      <c r="G1525" s="3" t="s">
        <v>85</v>
      </c>
    </row>
    <row r="1526">
      <c r="A1526" s="3" t="s">
        <v>7143</v>
      </c>
      <c r="B1526" s="4" t="str">
        <f>IFERROR(__xludf.DUMMYFUNCTION("GOOGLETRANSLATE(A1526, ""en"", ""te"")"),"పార్లే-జి గోల్డ్ కుకీస్")</f>
        <v>పార్లే-జి గోల్డ్ కుకీస్</v>
      </c>
      <c r="C1526" s="4" t="str">
        <f>IFERROR(__xludf.DUMMYFUNCTION("GOOGLETRANSLATE(A1526, ""en"", ""hi"")"),"पार्ले-जी गोल्ड कुकीज़")</f>
        <v>पार्ले-जी गोल्ड कुकीज़</v>
      </c>
      <c r="D1526" s="2" t="s">
        <v>7105</v>
      </c>
      <c r="E1526" s="2" t="s">
        <v>4100</v>
      </c>
      <c r="F1526" s="1">
        <v>3.0</v>
      </c>
      <c r="G1526" s="3" t="s">
        <v>114</v>
      </c>
    </row>
    <row r="1527">
      <c r="A1527" s="3" t="s">
        <v>7380</v>
      </c>
      <c r="B1527" s="4" t="str">
        <f>IFERROR(__xludf.DUMMYFUNCTION("GOOGLETRANSLATE(A1527, ""en"", ""te"")"),"పార్లే హైడ్ &amp; సీక్ చాకో చిప్ కుకీస్")</f>
        <v>పార్లే హైడ్ &amp; సీక్ చాకో చిప్ కుకీస్</v>
      </c>
      <c r="C1527" s="4" t="str">
        <f>IFERROR(__xludf.DUMMYFUNCTION("GOOGLETRANSLATE(A1527, ""en"", ""hi"")"),"पार्ले हाइड एंड सीक चोको चिप कुकीज़")</f>
        <v>पार्ले हाइड एंड सीक चोको चिप कुकीज़</v>
      </c>
      <c r="D1527" s="2" t="s">
        <v>7088</v>
      </c>
      <c r="E1527" s="2" t="s">
        <v>4100</v>
      </c>
      <c r="F1527" s="1">
        <v>3.0</v>
      </c>
      <c r="G1527" s="3" t="s">
        <v>114</v>
      </c>
    </row>
    <row r="1528">
      <c r="A1528" s="3" t="s">
        <v>7104</v>
      </c>
      <c r="B1528" s="4" t="str">
        <f>IFERROR(__xludf.DUMMYFUNCTION("GOOGLETRANSLATE(A1528, ""en"", ""te"")"),"పార్లే-జి రాయల్ కుకీస్")</f>
        <v>పార్లే-జి రాయల్ కుకీస్</v>
      </c>
      <c r="C1528" s="4" t="str">
        <f>IFERROR(__xludf.DUMMYFUNCTION("GOOGLETRANSLATE(A1528, ""en"", ""hi"")"),"पार्ले-जी रॉयल कुकीज़")</f>
        <v>पार्ले-जी रॉयल कुकीज़</v>
      </c>
      <c r="D1528" s="2" t="s">
        <v>7105</v>
      </c>
      <c r="E1528" s="2" t="s">
        <v>4100</v>
      </c>
      <c r="F1528" s="1">
        <v>3.0</v>
      </c>
      <c r="G1528" s="3" t="s">
        <v>114</v>
      </c>
    </row>
    <row r="1529">
      <c r="A1529" s="3" t="s">
        <v>7381</v>
      </c>
      <c r="B1529" s="4" t="str">
        <f>IFERROR(__xludf.DUMMYFUNCTION("GOOGLETRANSLATE(A1529, ""en"", ""te"")"),"పార్లే హైడ్ &amp; సీక్ బ్లాక్ బోర్బన్ చాకో క్రీమ్ శాండ్‌విచ్ కుకీలు")</f>
        <v>పార్లే హైడ్ &amp; సీక్ బ్లాక్ బోర్బన్ చాకో క్రీమ్ శాండ్‌విచ్ కుకీలు</v>
      </c>
      <c r="C1529" s="4" t="str">
        <f>IFERROR(__xludf.DUMMYFUNCTION("GOOGLETRANSLATE(A1529, ""en"", ""hi"")"),"पार्ले हाइड एंड सीक ब्लैक बोर्बन चोको क्रीम सैंडविच कुकीज़")</f>
        <v>पार्ले हाइड एंड सीक ब्लैक बोर्बन चोको क्रीम सैंडविच कुकीज़</v>
      </c>
      <c r="D1529" s="2" t="s">
        <v>7088</v>
      </c>
      <c r="E1529" s="2" t="s">
        <v>4100</v>
      </c>
      <c r="F1529" s="1">
        <v>3.0</v>
      </c>
      <c r="G1529" s="3" t="s">
        <v>114</v>
      </c>
    </row>
    <row r="1530">
      <c r="A1530" s="3" t="s">
        <v>7382</v>
      </c>
      <c r="B1530" s="4" t="str">
        <f>IFERROR(__xludf.DUMMYFUNCTION("GOOGLETRANSLATE(A1530, ""en"", ""te"")"),"పార్లే హైడ్ &amp; సీక్ బ్లాక్ బోర్బన్ వెనీలా క్రీమ్ శాండ్‌విచ్ కుకీలు")</f>
        <v>పార్లే హైడ్ &amp; సీక్ బ్లాక్ బోర్బన్ వెనీలా క్రీమ్ శాండ్‌విచ్ కుకీలు</v>
      </c>
      <c r="C1530" s="4" t="str">
        <f>IFERROR(__xludf.DUMMYFUNCTION("GOOGLETRANSLATE(A1530, ""en"", ""hi"")"),"पार्ले हाइड एंड सीक ब्लैक बोर्बन वैनिला क्रीम सैंडविच कुकीज़")</f>
        <v>पार्ले हाइड एंड सीक ब्लैक बोर्बन वैनिला क्रीम सैंडविच कुकीज़</v>
      </c>
      <c r="D1530" s="2" t="s">
        <v>7088</v>
      </c>
      <c r="E1530" s="2" t="s">
        <v>4100</v>
      </c>
      <c r="F1530" s="1">
        <v>3.0</v>
      </c>
      <c r="G1530" s="3" t="s">
        <v>114</v>
      </c>
    </row>
    <row r="1531">
      <c r="A1531" s="3" t="s">
        <v>7383</v>
      </c>
      <c r="B1531" s="4" t="str">
        <f>IFERROR(__xludf.DUMMYFUNCTION("GOOGLETRANSLATE(A1531, ""en"", ""te"")"),"పార్లే బోర్బన్ బిస్కెట్లు")</f>
        <v>పార్లే బోర్బన్ బిస్కెట్లు</v>
      </c>
      <c r="C1531" s="4" t="str">
        <f>IFERROR(__xludf.DUMMYFUNCTION("GOOGLETRANSLATE(A1531, ""en"", ""hi"")"),"पार्ले बॉर्बन बिस्कुट")</f>
        <v>पार्ले बॉर्बन बिस्कुट</v>
      </c>
      <c r="D1531" s="5"/>
      <c r="E1531" s="2" t="s">
        <v>4100</v>
      </c>
      <c r="F1531" s="1">
        <v>3.0</v>
      </c>
      <c r="G1531" s="3" t="s">
        <v>10</v>
      </c>
    </row>
    <row r="1532">
      <c r="A1532" s="3" t="s">
        <v>7240</v>
      </c>
      <c r="B1532" s="4" t="str">
        <f>IFERROR(__xludf.DUMMYFUNCTION("GOOGLETRANSLATE(A1532, ""en"", ""te"")"),"పార్లే హైడ్ &amp; సీక్ కుకీస్")</f>
        <v>పార్లే హైడ్ &amp; సీక్ కుకీస్</v>
      </c>
      <c r="C1532" s="4" t="str">
        <f>IFERROR(__xludf.DUMMYFUNCTION("GOOGLETRANSLATE(A1532, ""en"", ""hi"")"),"पार्ले हाइड एंड सीक कुकीज़")</f>
        <v>पार्ले हाइड एंड सीक कुकीज़</v>
      </c>
      <c r="D1532" s="2" t="s">
        <v>7088</v>
      </c>
      <c r="E1532" s="2" t="s">
        <v>4100</v>
      </c>
      <c r="F1532" s="1">
        <v>3.0</v>
      </c>
      <c r="G1532" s="3" t="s">
        <v>10</v>
      </c>
    </row>
    <row r="1533">
      <c r="A1533" s="3" t="s">
        <v>7384</v>
      </c>
      <c r="B1533" s="4" t="str">
        <f>IFERROR(__xludf.DUMMYFUNCTION("GOOGLETRANSLATE(A1533, ""en"", ""te"")"),"KCB క్రౌన్ కేక్ రస్క్")</f>
        <v>KCB క్రౌన్ కేక్ రస్క్</v>
      </c>
      <c r="C1533" s="4" t="str">
        <f>IFERROR(__xludf.DUMMYFUNCTION("GOOGLETRANSLATE(A1533, ""en"", ""hi"")"),"केसीबी क्राउन केक रस्क")</f>
        <v>केसीबी क्राउन केक रस्क</v>
      </c>
      <c r="D1533" s="2" t="s">
        <v>7123</v>
      </c>
      <c r="E1533" s="2" t="s">
        <v>4100</v>
      </c>
      <c r="F1533" s="1">
        <v>3.0</v>
      </c>
      <c r="G1533" s="3" t="s">
        <v>10</v>
      </c>
    </row>
    <row r="1534">
      <c r="A1534" s="3" t="s">
        <v>7385</v>
      </c>
      <c r="B1534" s="4" t="str">
        <f>IFERROR(__xludf.DUMMYFUNCTION("GOOGLETRANSLATE(A1534, ""en"", ""te"")"),"చక్కెర రహిత జీడిపప్పు బిస్కెట్")</f>
        <v>చక్కెర రహిత జీడిపప్పు బిస్కెట్</v>
      </c>
      <c r="C1534" s="4" t="str">
        <f>IFERROR(__xludf.DUMMYFUNCTION("GOOGLETRANSLATE(A1534, ""en"", ""hi"")"),"शुगर फ्री काजू बिस्किट")</f>
        <v>शुगर फ्री काजू बिस्किट</v>
      </c>
      <c r="D1534" s="5"/>
      <c r="E1534" s="2" t="s">
        <v>4100</v>
      </c>
      <c r="F1534" s="1">
        <v>3.0</v>
      </c>
      <c r="G1534" s="3" t="s">
        <v>39</v>
      </c>
    </row>
    <row r="1535">
      <c r="A1535" s="3" t="s">
        <v>7386</v>
      </c>
      <c r="B1535" s="4" t="str">
        <f>IFERROR(__xludf.DUMMYFUNCTION("GOOGLETRANSLATE(A1535, ""en"", ""te"")"),"క్రిస్పీ &amp; రుచికరమైన ఫ్రూట్ రస్క్")</f>
        <v>క్రిస్పీ &amp; రుచికరమైన ఫ్రూట్ రస్క్</v>
      </c>
      <c r="C1535" s="4" t="str">
        <f>IFERROR(__xludf.DUMMYFUNCTION("GOOGLETRANSLATE(A1535, ""en"", ""hi"")"),"कुरकुरे और स्वादिष्ट फ्रूट रस्क")</f>
        <v>कुरकुरे और स्वादिष्ट फ्रूट रस्क</v>
      </c>
      <c r="D1535" s="2" t="s">
        <v>7092</v>
      </c>
      <c r="E1535" s="2" t="s">
        <v>4100</v>
      </c>
      <c r="F1535" s="1">
        <v>3.0</v>
      </c>
      <c r="G1535" s="3" t="s">
        <v>39</v>
      </c>
    </row>
    <row r="1536">
      <c r="A1536" s="3" t="s">
        <v>5176</v>
      </c>
      <c r="B1536" s="4" t="str">
        <f>IFERROR(__xludf.DUMMYFUNCTION("GOOGLETRANSLATE(A1536, ""en"", ""te"")"),"ఒస్మానియా బిస్కెట్లు")</f>
        <v>ఒస్మానియా బిస్కెట్లు</v>
      </c>
      <c r="C1536" s="4" t="str">
        <f>IFERROR(__xludf.DUMMYFUNCTION("GOOGLETRANSLATE(A1536, ""en"", ""hi"")"),"उस्मानिया बिस्कुट")</f>
        <v>उस्मानिया बिस्कुट</v>
      </c>
      <c r="D1536" s="5"/>
      <c r="E1536" s="2" t="s">
        <v>4100</v>
      </c>
      <c r="F1536" s="1">
        <v>3.0</v>
      </c>
      <c r="G1536" s="3" t="s">
        <v>194</v>
      </c>
    </row>
    <row r="1537">
      <c r="A1537" s="3" t="s">
        <v>1658</v>
      </c>
      <c r="B1537" s="4" t="str">
        <f>IFERROR(__xludf.DUMMYFUNCTION("GOOGLETRANSLATE(A1537, ""en"", ""te"")"),"కేక్ రస్క్")</f>
        <v>కేక్ రస్క్</v>
      </c>
      <c r="C1537" s="4" t="str">
        <f>IFERROR(__xludf.DUMMYFUNCTION("GOOGLETRANSLATE(A1537, ""en"", ""hi"")"),"केक रस्क")</f>
        <v>केक रस्क</v>
      </c>
      <c r="D1537" s="2" t="s">
        <v>7387</v>
      </c>
      <c r="E1537" s="2" t="s">
        <v>4100</v>
      </c>
      <c r="F1537" s="1">
        <v>3.0</v>
      </c>
      <c r="G1537" s="3" t="s">
        <v>194</v>
      </c>
    </row>
    <row r="1538">
      <c r="A1538" s="3" t="s">
        <v>7388</v>
      </c>
      <c r="B1538" s="4" t="str">
        <f>IFERROR(__xludf.DUMMYFUNCTION("GOOGLETRANSLATE(A1538, ""en"", ""te"")"),"పార్లే ప్లాటినా హైడ్ &amp; సీక్ క్రెస్ట్ కలెక్షన్")</f>
        <v>పార్లే ప్లాటినా హైడ్ &amp; సీక్ క్రెస్ట్ కలెక్షన్</v>
      </c>
      <c r="C1538" s="4" t="str">
        <f>IFERROR(__xludf.DUMMYFUNCTION("GOOGLETRANSLATE(A1538, ""en"", ""hi"")"),"पार्ले प्लेटिना हाइड एंड सीक क्रेस्ट कलेक्शन")</f>
        <v>पार्ले प्लेटिना हाइड एंड सीक क्रेस्ट कलेक्शन</v>
      </c>
      <c r="D1538" s="5"/>
      <c r="E1538" s="2" t="s">
        <v>4100</v>
      </c>
      <c r="F1538" s="1">
        <v>3.0</v>
      </c>
      <c r="G1538" s="3" t="s">
        <v>240</v>
      </c>
    </row>
    <row r="1539">
      <c r="A1539" s="3" t="s">
        <v>7384</v>
      </c>
      <c r="B1539" s="4" t="str">
        <f>IFERROR(__xludf.DUMMYFUNCTION("GOOGLETRANSLATE(A1539, ""en"", ""te"")"),"KCB క్రౌన్ కేక్ రస్క్")</f>
        <v>KCB క్రౌన్ కేక్ రస్క్</v>
      </c>
      <c r="C1539" s="4" t="str">
        <f>IFERROR(__xludf.DUMMYFUNCTION("GOOGLETRANSLATE(A1539, ""en"", ""hi"")"),"केसीबी क्राउन केक रस्क")</f>
        <v>केसीबी क्राउन केक रस्क</v>
      </c>
      <c r="D1539" s="2" t="s">
        <v>7123</v>
      </c>
      <c r="E1539" s="2" t="s">
        <v>4100</v>
      </c>
      <c r="F1539" s="1">
        <v>3.0</v>
      </c>
      <c r="G1539" s="3" t="s">
        <v>258</v>
      </c>
    </row>
    <row r="1540">
      <c r="A1540" s="3" t="s">
        <v>7112</v>
      </c>
      <c r="B1540" s="4" t="str">
        <f>IFERROR(__xludf.DUMMYFUNCTION("GOOGLETRANSLATE(A1540, ""en"", ""te"")"),"పార్లే హైడ్ &amp; సీక్ చాక్లెట్ చిప్ కుకీస్")</f>
        <v>పార్లే హైడ్ &amp; సీక్ చాక్లెట్ చిప్ కుకీస్</v>
      </c>
      <c r="C1540" s="4" t="str">
        <f>IFERROR(__xludf.DUMMYFUNCTION("GOOGLETRANSLATE(A1540, ""en"", ""hi"")"),"पार्ले हाइड एंड सीक चॉकलेट चिप कुकीज़")</f>
        <v>पार्ले हाइड एंड सीक चॉकलेट चिप कुकीज़</v>
      </c>
      <c r="D1540" s="2" t="s">
        <v>7105</v>
      </c>
      <c r="E1540" s="2" t="s">
        <v>4100</v>
      </c>
      <c r="F1540" s="1">
        <v>3.0</v>
      </c>
      <c r="G1540" s="3" t="s">
        <v>258</v>
      </c>
    </row>
    <row r="1541">
      <c r="A1541" s="3" t="s">
        <v>7389</v>
      </c>
      <c r="B1541" s="4" t="str">
        <f>IFERROR(__xludf.DUMMYFUNCTION("GOOGLETRANSLATE(A1541, ""en"", ""te"")"),"KCB కేక్ రస్క్")</f>
        <v>KCB కేక్ రస్క్</v>
      </c>
      <c r="C1541" s="4" t="str">
        <f>IFERROR(__xludf.DUMMYFUNCTION("GOOGLETRANSLATE(A1541, ""en"", ""hi"")"),"केसीबी केक रस्क")</f>
        <v>केसीबी केक रस्क</v>
      </c>
      <c r="D1541" s="2" t="s">
        <v>7092</v>
      </c>
      <c r="E1541" s="2" t="s">
        <v>4100</v>
      </c>
      <c r="F1541" s="1">
        <v>3.0</v>
      </c>
      <c r="G1541" s="3" t="s">
        <v>6856</v>
      </c>
    </row>
    <row r="1542">
      <c r="A1542" s="3" t="s">
        <v>7390</v>
      </c>
      <c r="B1542" s="4" t="str">
        <f>IFERROR(__xludf.DUMMYFUNCTION("GOOGLETRANSLATE(A1542, ""en"", ""te"")"),"KCB కేక్ రస్క్ కొబ్బరి ఫ్లేవర్")</f>
        <v>KCB కేక్ రస్క్ కొబ్బరి ఫ్లేవర్</v>
      </c>
      <c r="C1542" s="4" t="str">
        <f>IFERROR(__xludf.DUMMYFUNCTION("GOOGLETRANSLATE(A1542, ""en"", ""hi"")"),"केसीबी केक रस्क नारियल के स्वाद वाला")</f>
        <v>केसीबी केक रस्क नारियल के स्वाद वाला</v>
      </c>
      <c r="D1542" s="2" t="s">
        <v>7391</v>
      </c>
      <c r="E1542" s="2" t="s">
        <v>4100</v>
      </c>
      <c r="F1542" s="1">
        <v>3.0</v>
      </c>
      <c r="G1542" s="3" t="s">
        <v>6856</v>
      </c>
    </row>
    <row r="1543">
      <c r="A1543" s="3" t="s">
        <v>7392</v>
      </c>
      <c r="B1543" s="4" t="str">
        <f>IFERROR(__xludf.DUMMYFUNCTION("GOOGLETRANSLATE(A1543, ""en"", ""te"")"),"భక్రి మసాలా")</f>
        <v>భక్రి మసాలా</v>
      </c>
      <c r="C1543" s="4" t="str">
        <f>IFERROR(__xludf.DUMMYFUNCTION("GOOGLETRANSLATE(A1543, ""en"", ""hi"")"),"भाकरी मसाला")</f>
        <v>भाकरी मसाला</v>
      </c>
      <c r="D1543" s="2" t="s">
        <v>7393</v>
      </c>
      <c r="E1543" s="2" t="s">
        <v>2649</v>
      </c>
      <c r="F1543" s="1">
        <v>3.0</v>
      </c>
      <c r="G1543" s="3" t="s">
        <v>6867</v>
      </c>
    </row>
    <row r="1544">
      <c r="A1544" s="3" t="s">
        <v>7394</v>
      </c>
      <c r="B1544" s="4" t="str">
        <f>IFERROR(__xludf.DUMMYFUNCTION("GOOGLETRANSLATE(A1544, ""en"", ""te"")"),"భక్రి మైదానం")</f>
        <v>భక్రి మైదానం</v>
      </c>
      <c r="C1544" s="4" t="str">
        <f>IFERROR(__xludf.DUMMYFUNCTION("GOOGLETRANSLATE(A1544, ""en"", ""hi"")"),"भाकरी मैदान")</f>
        <v>भाकरी मैदान</v>
      </c>
      <c r="D1544" s="2" t="s">
        <v>7393</v>
      </c>
      <c r="E1544" s="2" t="s">
        <v>2649</v>
      </c>
      <c r="F1544" s="1">
        <v>3.0</v>
      </c>
      <c r="G1544" s="3" t="s">
        <v>6867</v>
      </c>
    </row>
    <row r="1545">
      <c r="A1545" s="3" t="s">
        <v>7395</v>
      </c>
      <c r="B1545" s="4" t="str">
        <f>IFERROR(__xludf.DUMMYFUNCTION("GOOGLETRANSLATE(A1545, ""en"", ""te"")"),"స్వద్ చనా")</f>
        <v>స్వద్ చనా</v>
      </c>
      <c r="C1545" s="4" t="str">
        <f>IFERROR(__xludf.DUMMYFUNCTION("GOOGLETRANSLATE(A1545, ""en"", ""hi"")"),"स्वाद चना")</f>
        <v>स्वाद चना</v>
      </c>
      <c r="D1545" s="2" t="s">
        <v>1036</v>
      </c>
      <c r="E1545" s="2" t="s">
        <v>1038</v>
      </c>
      <c r="F1545" s="1">
        <v>3.0</v>
      </c>
      <c r="G1545" s="3" t="s">
        <v>6874</v>
      </c>
    </row>
    <row r="1546">
      <c r="A1546" s="3" t="s">
        <v>7396</v>
      </c>
      <c r="B1546" s="4" t="str">
        <f>IFERROR(__xludf.DUMMYFUNCTION("GOOGLETRANSLATE(A1546, ""en"", ""te"")"),"బన్సీ రోస్టెడ్ మసాలా చనా")</f>
        <v>బన్సీ రోస్టెడ్ మసాలా చనా</v>
      </c>
      <c r="C1546" s="4" t="str">
        <f>IFERROR(__xludf.DUMMYFUNCTION("GOOGLETRANSLATE(A1546, ""en"", ""hi"")"),"बंसी रोस्टेड मसाला चना")</f>
        <v>बंसी रोस्टेड मसाला चना</v>
      </c>
      <c r="D1546" s="5"/>
      <c r="E1546" s="2" t="s">
        <v>1038</v>
      </c>
      <c r="F1546" s="1">
        <v>3.0</v>
      </c>
      <c r="G1546" s="3" t="s">
        <v>6874</v>
      </c>
    </row>
    <row r="1547">
      <c r="A1547" s="3" t="s">
        <v>7397</v>
      </c>
      <c r="B1547" s="4" t="str">
        <f>IFERROR(__xludf.DUMMYFUNCTION("GOOGLETRANSLATE(A1547, ""en"", ""te"")"),"బాన్సీ వేయించిన శనగలు")</f>
        <v>బాన్సీ వేయించిన శనగలు</v>
      </c>
      <c r="C1547" s="4" t="str">
        <f>IFERROR(__xludf.DUMMYFUNCTION("GOOGLETRANSLATE(A1547, ""en"", ""hi"")"),"बंसी भुना हुआ चना")</f>
        <v>बंसी भुना हुआ चना</v>
      </c>
      <c r="D1547" s="2" t="s">
        <v>1036</v>
      </c>
      <c r="E1547" s="2" t="s">
        <v>1038</v>
      </c>
      <c r="F1547" s="1">
        <v>3.0</v>
      </c>
      <c r="G1547" s="3" t="s">
        <v>6874</v>
      </c>
    </row>
    <row r="1548">
      <c r="A1548" s="3" t="s">
        <v>7398</v>
      </c>
      <c r="B1548" s="4" t="str">
        <f>IFERROR(__xludf.DUMMYFUNCTION("GOOGLETRANSLATE(A1548, ""en"", ""te"")"),"దీప్ ఖఖ్రా ఫరాలి")</f>
        <v>దీప్ ఖఖ్రా ఫరాలి</v>
      </c>
      <c r="C1548" s="4" t="str">
        <f>IFERROR(__xludf.DUMMYFUNCTION("GOOGLETRANSLATE(A1548, ""en"", ""hi"")"),"दीप खाखरा फराली")</f>
        <v>दीप खाखरा फराली</v>
      </c>
      <c r="D1548" s="2" t="s">
        <v>7160</v>
      </c>
      <c r="E1548" s="2" t="s">
        <v>1294</v>
      </c>
      <c r="F1548" s="1">
        <v>3.0</v>
      </c>
      <c r="G1548" s="3" t="s">
        <v>114</v>
      </c>
    </row>
    <row r="1549">
      <c r="A1549" s="3" t="s">
        <v>7399</v>
      </c>
      <c r="B1549" s="4" t="str">
        <f>IFERROR(__xludf.DUMMYFUNCTION("GOOGLETRANSLATE(A1549, ""en"", ""te"")"),"దీప్ ఖఖ్రా జీరా")</f>
        <v>దీప్ ఖఖ్రా జీరా</v>
      </c>
      <c r="C1549" s="4" t="str">
        <f>IFERROR(__xludf.DUMMYFUNCTION("GOOGLETRANSLATE(A1549, ""en"", ""hi"")"),"दीप खाखरा जीरा")</f>
        <v>दीप खाखरा जीरा</v>
      </c>
      <c r="D1549" s="2" t="s">
        <v>7400</v>
      </c>
      <c r="E1549" s="2" t="s">
        <v>1294</v>
      </c>
      <c r="F1549" s="1">
        <v>3.0</v>
      </c>
      <c r="G1549" s="3" t="s">
        <v>114</v>
      </c>
    </row>
    <row r="1550">
      <c r="A1550" s="3" t="s">
        <v>7401</v>
      </c>
      <c r="B1550" s="4" t="str">
        <f>IFERROR(__xludf.DUMMYFUNCTION("GOOGLETRANSLATE(A1550, ""en"", ""te"")"),"దీప్ ఖఖ్రా మసాలా")</f>
        <v>దీప్ ఖఖ్రా మసాలా</v>
      </c>
      <c r="C1550" s="4" t="str">
        <f>IFERROR(__xludf.DUMMYFUNCTION("GOOGLETRANSLATE(A1550, ""en"", ""hi"")"),"दीप खाखरा मसाला")</f>
        <v>दीप खाखरा मसाला</v>
      </c>
      <c r="D1550" s="2" t="s">
        <v>1655</v>
      </c>
      <c r="E1550" s="2" t="s">
        <v>442</v>
      </c>
      <c r="F1550" s="1">
        <v>3.0</v>
      </c>
      <c r="G1550" s="3" t="s">
        <v>114</v>
      </c>
    </row>
    <row r="1551">
      <c r="A1551" s="3" t="s">
        <v>7402</v>
      </c>
      <c r="B1551" s="4" t="str">
        <f>IFERROR(__xludf.DUMMYFUNCTION("GOOGLETRANSLATE(A1551, ""en"", ""te"")"),"దీప్ ఖఖ్రా మేథి")</f>
        <v>దీప్ ఖఖ్రా మేథి</v>
      </c>
      <c r="C1551" s="4" t="str">
        <f>IFERROR(__xludf.DUMMYFUNCTION("GOOGLETRANSLATE(A1551, ""en"", ""hi"")"),"दीप खाखरा मेथी")</f>
        <v>दीप खाखरा मेथी</v>
      </c>
      <c r="D1551" s="2" t="s">
        <v>7160</v>
      </c>
      <c r="E1551" s="2" t="s">
        <v>1294</v>
      </c>
      <c r="F1551" s="1">
        <v>3.0</v>
      </c>
      <c r="G1551" s="3" t="s">
        <v>114</v>
      </c>
    </row>
    <row r="1552">
      <c r="A1552" s="3" t="s">
        <v>7403</v>
      </c>
      <c r="B1552" s="4" t="str">
        <f>IFERROR(__xludf.DUMMYFUNCTION("GOOGLETRANSLATE(A1552, ""en"", ""te"")"),"స్వాద్ వాల్‌నట్స్")</f>
        <v>స్వాద్ వాల్‌నట్స్</v>
      </c>
      <c r="C1552" s="4" t="str">
        <f>IFERROR(__xludf.DUMMYFUNCTION("GOOGLETRANSLATE(A1552, ""en"", ""hi"")"),"स्वाद अखरोट")</f>
        <v>स्वाद अखरोट</v>
      </c>
      <c r="D1552" s="2" t="s">
        <v>3369</v>
      </c>
      <c r="E1552" s="2" t="s">
        <v>2700</v>
      </c>
      <c r="F1552" s="1">
        <v>3.0</v>
      </c>
      <c r="G1552" s="3" t="s">
        <v>10</v>
      </c>
    </row>
    <row r="1553">
      <c r="A1553" s="3" t="s">
        <v>7404</v>
      </c>
      <c r="B1553" s="4" t="str">
        <f>IFERROR(__xludf.DUMMYFUNCTION("GOOGLETRANSLATE(A1553, ""en"", ""te"")"),"ముదురు ఆకుపచ్చ ఎండుద్రాక్ష")</f>
        <v>ముదురు ఆకుపచ్చ ఎండుద్రాక్ష</v>
      </c>
      <c r="C1553" s="4" t="str">
        <f>IFERROR(__xludf.DUMMYFUNCTION("GOOGLETRANSLATE(A1553, ""en"", ""hi"")"),"गहरे हरे रंग का किशमिश")</f>
        <v>गहरे हरे रंग का किशमिश</v>
      </c>
      <c r="D1553" s="5"/>
      <c r="E1553" s="2" t="s">
        <v>2700</v>
      </c>
      <c r="F1553" s="1">
        <v>3.0</v>
      </c>
      <c r="G1553" s="3" t="s">
        <v>10</v>
      </c>
    </row>
    <row r="1554">
      <c r="A1554" s="3" t="s">
        <v>7405</v>
      </c>
      <c r="B1554" s="4" t="str">
        <f>IFERROR(__xludf.DUMMYFUNCTION("GOOGLETRANSLATE(A1554, ""en"", ""te"")"),"స్వాద్ గోల్డెన్ రైసిన్స్")</f>
        <v>స్వాద్ గోల్డెన్ రైసిన్స్</v>
      </c>
      <c r="C1554" s="4" t="str">
        <f>IFERROR(__xludf.DUMMYFUNCTION("GOOGLETRANSLATE(A1554, ""en"", ""hi"")"),"स्वाद गोल्डन किशमिश")</f>
        <v>स्वाद गोल्डन किशमिश</v>
      </c>
      <c r="D1554" s="5"/>
      <c r="E1554" s="2" t="s">
        <v>2700</v>
      </c>
      <c r="F1554" s="1">
        <v>3.0</v>
      </c>
      <c r="G1554" s="3" t="s">
        <v>10</v>
      </c>
    </row>
    <row r="1555">
      <c r="A1555" s="3" t="s">
        <v>7406</v>
      </c>
      <c r="B1555" s="4" t="str">
        <f>IFERROR(__xludf.DUMMYFUNCTION("GOOGLETRANSLATE(A1555, ""en"", ""te"")"),"క్వినోవా పఫ్")</f>
        <v>క్వినోవా పఫ్</v>
      </c>
      <c r="C1555" s="4" t="str">
        <f>IFERROR(__xludf.DUMMYFUNCTION("GOOGLETRANSLATE(A1555, ""en"", ""hi"")"),"क्विनोआ पफ")</f>
        <v>क्विनोआ पफ</v>
      </c>
      <c r="D1555" s="5"/>
      <c r="E1555" s="2" t="s">
        <v>2649</v>
      </c>
      <c r="F1555" s="1">
        <v>3.0</v>
      </c>
      <c r="G1555" s="3" t="s">
        <v>20</v>
      </c>
    </row>
    <row r="1556">
      <c r="A1556" s="3" t="s">
        <v>7407</v>
      </c>
      <c r="B1556" s="4" t="str">
        <f>IFERROR(__xludf.DUMMYFUNCTION("GOOGLETRANSLATE(A1556, ""en"", ""te"")"),"KCE కేక్ రస్క్ కొబ్బరి ఫ్లేవర్")</f>
        <v>KCE కేక్ రస్క్ కొబ్బరి ఫ్లేవర్</v>
      </c>
      <c r="C1556" s="4" t="str">
        <f>IFERROR(__xludf.DUMMYFUNCTION("GOOGLETRANSLATE(A1556, ""en"", ""hi"")"),"केसीई केक रस्क नारियल के स्वाद वाला")</f>
        <v>केसीई केक रस्क नारियल के स्वाद वाला</v>
      </c>
      <c r="D1556" s="5"/>
      <c r="E1556" s="2" t="s">
        <v>4100</v>
      </c>
      <c r="F1556" s="1">
        <v>3.0</v>
      </c>
      <c r="G1556" s="3" t="s">
        <v>6452</v>
      </c>
    </row>
    <row r="1557">
      <c r="A1557" s="3" t="s">
        <v>1658</v>
      </c>
      <c r="B1557" s="4" t="str">
        <f>IFERROR(__xludf.DUMMYFUNCTION("GOOGLETRANSLATE(A1557, ""en"", ""te"")"),"కేక్ రస్క్")</f>
        <v>కేక్ రస్క్</v>
      </c>
      <c r="C1557" s="4" t="str">
        <f>IFERROR(__xludf.DUMMYFUNCTION("GOOGLETRANSLATE(A1557, ""en"", ""hi"")"),"केक रस्क")</f>
        <v>केक रस्क</v>
      </c>
      <c r="D1557" s="2" t="s">
        <v>7387</v>
      </c>
      <c r="E1557" s="2" t="s">
        <v>4100</v>
      </c>
      <c r="F1557" s="1">
        <v>3.0</v>
      </c>
      <c r="G1557" s="3" t="s">
        <v>6452</v>
      </c>
    </row>
    <row r="1558">
      <c r="A1558" s="3" t="s">
        <v>7392</v>
      </c>
      <c r="B1558" s="4" t="str">
        <f>IFERROR(__xludf.DUMMYFUNCTION("GOOGLETRANSLATE(A1558, ""en"", ""te"")"),"భక్రి మసాలా")</f>
        <v>భక్రి మసాలా</v>
      </c>
      <c r="C1558" s="4" t="str">
        <f>IFERROR(__xludf.DUMMYFUNCTION("GOOGLETRANSLATE(A1558, ""en"", ""hi"")"),"भाकरी मसाला")</f>
        <v>भाकरी मसाला</v>
      </c>
      <c r="D1558" s="2" t="s">
        <v>7393</v>
      </c>
      <c r="E1558" s="2" t="s">
        <v>2649</v>
      </c>
      <c r="F1558" s="1">
        <v>3.0</v>
      </c>
      <c r="G1558" s="3" t="s">
        <v>6556</v>
      </c>
    </row>
    <row r="1559">
      <c r="A1559" s="3" t="s">
        <v>7408</v>
      </c>
      <c r="B1559" s="4" t="str">
        <f>IFERROR(__xludf.DUMMYFUNCTION("GOOGLETRANSLATE(A1559, ""en"", ""te"")"),"మసాలా పారా")</f>
        <v>మసాలా పారా</v>
      </c>
      <c r="C1559" s="4" t="str">
        <f>IFERROR(__xludf.DUMMYFUNCTION("GOOGLETRANSLATE(A1559, ""en"", ""hi"")"),"मसाला पारा")</f>
        <v>मसाला पारा</v>
      </c>
      <c r="D1559" s="2" t="s">
        <v>1304</v>
      </c>
      <c r="E1559" s="2" t="s">
        <v>442</v>
      </c>
      <c r="F1559" s="1">
        <v>3.0</v>
      </c>
      <c r="G1559" s="3" t="s">
        <v>6556</v>
      </c>
    </row>
    <row r="1560">
      <c r="A1560" s="3" t="s">
        <v>7409</v>
      </c>
      <c r="B1560" s="4" t="str">
        <f>IFERROR(__xludf.DUMMYFUNCTION("GOOGLETRANSLATE(A1560, ""en"", ""te"")"),"నమక్ పారా")</f>
        <v>నమక్ పారా</v>
      </c>
      <c r="C1560" s="4" t="str">
        <f>IFERROR(__xludf.DUMMYFUNCTION("GOOGLETRANSLATE(A1560, ""en"", ""hi"")"),"नमक पारा")</f>
        <v>नमक पारा</v>
      </c>
      <c r="D1560" s="5"/>
      <c r="E1560" s="2" t="s">
        <v>442</v>
      </c>
      <c r="F1560" s="1">
        <v>3.0</v>
      </c>
      <c r="G1560" s="3" t="s">
        <v>6556</v>
      </c>
    </row>
    <row r="1561">
      <c r="A1561" s="3" t="s">
        <v>7410</v>
      </c>
      <c r="B1561" s="4" t="str">
        <f>IFERROR(__xludf.DUMMYFUNCTION("GOOGLETRANSLATE(A1561, ""en"", ""te"")"),"బన్సీ మసాలా చనా")</f>
        <v>బన్సీ మసాలా చనా</v>
      </c>
      <c r="C1561" s="4" t="str">
        <f>IFERROR(__xludf.DUMMYFUNCTION("GOOGLETRANSLATE(A1561, ""en"", ""hi"")"),"बंसी मसाला चना")</f>
        <v>बंसी मसाला चना</v>
      </c>
      <c r="D1561" s="5"/>
      <c r="E1561" s="2" t="s">
        <v>442</v>
      </c>
      <c r="F1561" s="1">
        <v>3.0</v>
      </c>
      <c r="G1561" s="3" t="s">
        <v>6605</v>
      </c>
    </row>
    <row r="1562">
      <c r="A1562" s="3" t="s">
        <v>7397</v>
      </c>
      <c r="B1562" s="4" t="str">
        <f>IFERROR(__xludf.DUMMYFUNCTION("GOOGLETRANSLATE(A1562, ""en"", ""te"")"),"బాన్సీ వేయించిన శనగలు")</f>
        <v>బాన్సీ వేయించిన శనగలు</v>
      </c>
      <c r="C1562" s="4" t="str">
        <f>IFERROR(__xludf.DUMMYFUNCTION("GOOGLETRANSLATE(A1562, ""en"", ""hi"")"),"बंसी भुना हुआ चना")</f>
        <v>बंसी भुना हुआ चना</v>
      </c>
      <c r="D1562" s="2" t="s">
        <v>1036</v>
      </c>
      <c r="E1562" s="2" t="s">
        <v>1038</v>
      </c>
      <c r="F1562" s="1">
        <v>3.0</v>
      </c>
      <c r="G1562" s="3" t="s">
        <v>6605</v>
      </c>
    </row>
    <row r="1563">
      <c r="A1563" s="3" t="s">
        <v>7411</v>
      </c>
      <c r="B1563" s="4" t="str">
        <f>IFERROR(__xludf.DUMMYFUNCTION("GOOGLETRANSLATE(A1563, ""en"", ""te"")"),"బాన్సీ టాంగీ టర్మరిక్ చనా")</f>
        <v>బాన్సీ టాంగీ టర్మరిక్ చనా</v>
      </c>
      <c r="C1563" s="4" t="str">
        <f>IFERROR(__xludf.DUMMYFUNCTION("GOOGLETRANSLATE(A1563, ""en"", ""hi"")"),"बंसी टैंगी हल्दी चना")</f>
        <v>बंसी टैंगी हल्दी चना</v>
      </c>
      <c r="D1563" s="2" t="s">
        <v>4063</v>
      </c>
      <c r="E1563" s="2" t="s">
        <v>1038</v>
      </c>
      <c r="F1563" s="1">
        <v>3.0</v>
      </c>
      <c r="G1563" s="3" t="s">
        <v>6605</v>
      </c>
    </row>
    <row r="1564">
      <c r="A1564" s="3" t="s">
        <v>7412</v>
      </c>
      <c r="B1564" s="4" t="str">
        <f>IFERROR(__xludf.DUMMYFUNCTION("GOOGLETRANSLATE(A1564, ""en"", ""te"")"),"లక్ష్మీ మహాబలేశ్వర్ కాల్చిన చానా")</f>
        <v>లక్ష్మీ మహాబలేశ్వర్ కాల్చిన చానా</v>
      </c>
      <c r="C1564" s="4" t="str">
        <f>IFERROR(__xludf.DUMMYFUNCTION("GOOGLETRANSLATE(A1564, ""en"", ""hi"")"),"लक्ष्मी महाबलेश्वर भुना हुआ चना")</f>
        <v>लक्ष्मी महाबलेश्वर भुना हुआ चना</v>
      </c>
      <c r="D1564" s="5"/>
      <c r="E1564" s="2" t="s">
        <v>1038</v>
      </c>
      <c r="F1564" s="1">
        <v>3.0</v>
      </c>
      <c r="G1564" s="3" t="s">
        <v>6605</v>
      </c>
    </row>
    <row r="1565">
      <c r="A1565" s="3" t="s">
        <v>7413</v>
      </c>
      <c r="B1565" s="4" t="str">
        <f>IFERROR(__xludf.DUMMYFUNCTION("GOOGLETRANSLATE(A1565, ""en"", ""te"")"),"మసాలా బఠానీలు స్పైసీ చిక్‌పీస్")</f>
        <v>మసాలా బఠానీలు స్పైసీ చిక్‌పీస్</v>
      </c>
      <c r="C1565" s="4" t="str">
        <f>IFERROR(__xludf.DUMMYFUNCTION("GOOGLETRANSLATE(A1565, ""en"", ""hi"")"),"मसाला मटर मसालेदार छोले")</f>
        <v>मसाला मटर मसालेदार छोले</v>
      </c>
      <c r="D1565" s="2" t="s">
        <v>7414</v>
      </c>
      <c r="E1565" s="2" t="s">
        <v>940</v>
      </c>
      <c r="F1565" s="1">
        <v>3.0</v>
      </c>
      <c r="G1565" s="3" t="s">
        <v>6605</v>
      </c>
    </row>
    <row r="1566">
      <c r="A1566" s="3" t="s">
        <v>2529</v>
      </c>
      <c r="B1566" s="4" t="str">
        <f>IFERROR(__xludf.DUMMYFUNCTION("GOOGLETRANSLATE(A1566, ""en"", ""te"")"),"దీప్ ఖఖారా మథ్")</f>
        <v>దీప్ ఖఖారా మథ్</v>
      </c>
      <c r="C1566" s="4" t="str">
        <f>IFERROR(__xludf.DUMMYFUNCTION("GOOGLETRANSLATE(A1566, ""en"", ""hi"")"),"दीप खाखरा मठ")</f>
        <v>दीप खाखरा मठ</v>
      </c>
      <c r="D1566" s="2" t="s">
        <v>7160</v>
      </c>
      <c r="E1566" s="2" t="s">
        <v>4100</v>
      </c>
      <c r="F1566" s="1">
        <v>3.0</v>
      </c>
      <c r="G1566" s="3" t="s">
        <v>6628</v>
      </c>
    </row>
    <row r="1567">
      <c r="A1567" s="3" t="s">
        <v>7415</v>
      </c>
      <c r="B1567" s="4" t="str">
        <f>IFERROR(__xludf.DUMMYFUNCTION("GOOGLETRANSLATE(A1567, ""en"", ""te"")"),"దీప్ ఖఖారా మేథి")</f>
        <v>దీప్ ఖఖారా మేథి</v>
      </c>
      <c r="C1567" s="4" t="str">
        <f>IFERROR(__xludf.DUMMYFUNCTION("GOOGLETRANSLATE(A1567, ""en"", ""hi"")"),"दीप खाखरा मेथी")</f>
        <v>दीप खाखरा मेथी</v>
      </c>
      <c r="D1567" s="2" t="s">
        <v>7160</v>
      </c>
      <c r="E1567" s="2" t="s">
        <v>4100</v>
      </c>
      <c r="F1567" s="1">
        <v>3.0</v>
      </c>
      <c r="G1567" s="3" t="s">
        <v>6628</v>
      </c>
    </row>
    <row r="1568">
      <c r="A1568" s="3" t="s">
        <v>2534</v>
      </c>
      <c r="B1568" s="4" t="str">
        <f>IFERROR(__xludf.DUMMYFUNCTION("GOOGLETRANSLATE(A1568, ""en"", ""te"")"),"డీప్ ఖఖారా పిజ్జా")</f>
        <v>డీప్ ఖఖారా పిజ్జా</v>
      </c>
      <c r="C1568" s="4" t="str">
        <f>IFERROR(__xludf.DUMMYFUNCTION("GOOGLETRANSLATE(A1568, ""en"", ""hi"")"),"दीप खाखरा पिज्जा")</f>
        <v>दीप खाखरा पिज्जा</v>
      </c>
      <c r="D1568" s="2" t="s">
        <v>7160</v>
      </c>
      <c r="E1568" s="2" t="s">
        <v>4100</v>
      </c>
      <c r="F1568" s="1">
        <v>3.0</v>
      </c>
      <c r="G1568" s="3" t="s">
        <v>6628</v>
      </c>
    </row>
    <row r="1569">
      <c r="A1569" s="3" t="s">
        <v>7416</v>
      </c>
      <c r="B1569" s="4" t="str">
        <f>IFERROR(__xludf.DUMMYFUNCTION("GOOGLETRANSLATE(A1569, ""en"", ""te"")"),"జాబ్సన్స్ ఖఖ్రా")</f>
        <v>జాబ్సన్స్ ఖఖ్రా</v>
      </c>
      <c r="C1569" s="4" t="str">
        <f>IFERROR(__xludf.DUMMYFUNCTION("GOOGLETRANSLATE(A1569, ""en"", ""hi"")"),"जैब्सन्स खाखरा")</f>
        <v>जैब्सन्स खाखरा</v>
      </c>
      <c r="D1569" s="2" t="s">
        <v>7160</v>
      </c>
      <c r="E1569" s="2" t="s">
        <v>1294</v>
      </c>
      <c r="F1569" s="1">
        <v>3.0</v>
      </c>
      <c r="G1569" s="3" t="s">
        <v>6628</v>
      </c>
    </row>
    <row r="1570">
      <c r="A1570" s="3" t="s">
        <v>3316</v>
      </c>
      <c r="B1570" s="4" t="str">
        <f>IFERROR(__xludf.DUMMYFUNCTION("GOOGLETRANSLATE(A1570, ""en"", ""te"")"),"బంగారు ఎండుద్రాక్ష")</f>
        <v>బంగారు ఎండుద్రాక్ష</v>
      </c>
      <c r="C1570" s="4" t="str">
        <f>IFERROR(__xludf.DUMMYFUNCTION("GOOGLETRANSLATE(A1570, ""en"", ""hi"")"),"सुनहरी किशमिश")</f>
        <v>सुनहरी किशमिश</v>
      </c>
      <c r="D1570" s="5"/>
      <c r="E1570" s="2" t="s">
        <v>2700</v>
      </c>
      <c r="F1570" s="1">
        <v>3.0</v>
      </c>
      <c r="G1570" s="3" t="s">
        <v>443</v>
      </c>
    </row>
    <row r="1571">
      <c r="A1571" s="3" t="s">
        <v>7417</v>
      </c>
      <c r="B1571" s="4" t="str">
        <f>IFERROR(__xludf.DUMMYFUNCTION("GOOGLETRANSLATE(A1571, ""en"", ""te"")"),"ముదురు ఎరుపు ఎండుద్రాక్ష")</f>
        <v>ముదురు ఎరుపు ఎండుద్రాక్ష</v>
      </c>
      <c r="C1571" s="4" t="str">
        <f>IFERROR(__xludf.DUMMYFUNCTION("GOOGLETRANSLATE(A1571, ""en"", ""hi"")"),"गहरे लाल किशमिश")</f>
        <v>गहरे लाल किशमिश</v>
      </c>
      <c r="D1571" s="5"/>
      <c r="E1571" s="2" t="s">
        <v>2700</v>
      </c>
      <c r="F1571" s="1">
        <v>3.0</v>
      </c>
      <c r="G1571" s="3" t="s">
        <v>443</v>
      </c>
    </row>
    <row r="1572">
      <c r="A1572" s="3" t="s">
        <v>7418</v>
      </c>
      <c r="B1572" s="4" t="str">
        <f>IFERROR(__xludf.DUMMYFUNCTION("GOOGLETRANSLATE(A1572, ""en"", ""te"")"),"జాబ్సన్స్ గ్రీన్ పిస్తాషియో")</f>
        <v>జాబ్సన్స్ గ్రీన్ పిస్తాషియో</v>
      </c>
      <c r="C1572" s="4" t="str">
        <f>IFERROR(__xludf.DUMMYFUNCTION("GOOGLETRANSLATE(A1572, ""en"", ""hi"")"),"जैब्सन ग्रीन पिस्ता")</f>
        <v>जैब्सन ग्रीन पिस्ता</v>
      </c>
      <c r="D1572" s="2" t="s">
        <v>7419</v>
      </c>
      <c r="E1572" s="2" t="s">
        <v>2700</v>
      </c>
      <c r="F1572" s="1">
        <v>3.0</v>
      </c>
      <c r="G1572" s="3" t="s">
        <v>443</v>
      </c>
    </row>
    <row r="1573">
      <c r="A1573" s="3" t="s">
        <v>7420</v>
      </c>
      <c r="B1573" s="4" t="str">
        <f>IFERROR(__xludf.DUMMYFUNCTION("GOOGLETRANSLATE(A1573, ""en"", ""te"")"),"స్వాద్ తెల్ల పిస్తాపప్పులు")</f>
        <v>స్వాద్ తెల్ల పిస్తాపప్పులు</v>
      </c>
      <c r="C1573" s="4" t="str">
        <f>IFERROR(__xludf.DUMMYFUNCTION("GOOGLETRANSLATE(A1573, ""en"", ""hi"")"),"स्वाद सफेद पिस्ता")</f>
        <v>स्वाद सफेद पिस्ता</v>
      </c>
      <c r="D1573" s="2" t="s">
        <v>7419</v>
      </c>
      <c r="E1573" s="2" t="s">
        <v>2700</v>
      </c>
      <c r="F1573" s="1">
        <v>3.0</v>
      </c>
      <c r="G1573" s="3" t="s">
        <v>443</v>
      </c>
    </row>
    <row r="1574">
      <c r="A1574" s="3" t="s">
        <v>7421</v>
      </c>
      <c r="B1574" s="4" t="str">
        <f>IFERROR(__xludf.DUMMYFUNCTION("GOOGLETRANSLATE(A1574, ""en"", ""te"")"),"స్వాద్ పూర్తి జీడిపప్పు")</f>
        <v>స్వాద్ పూర్తి జీడిపప్పు</v>
      </c>
      <c r="C1574" s="4" t="str">
        <f>IFERROR(__xludf.DUMMYFUNCTION("GOOGLETRANSLATE(A1574, ""en"", ""hi"")"),"स्वाद साबुत काजू")</f>
        <v>स्वाद साबुत काजू</v>
      </c>
      <c r="D1574" s="2" t="s">
        <v>7422</v>
      </c>
      <c r="E1574" s="2" t="s">
        <v>2700</v>
      </c>
      <c r="F1574" s="1">
        <v>3.0</v>
      </c>
      <c r="G1574" s="3" t="s">
        <v>443</v>
      </c>
    </row>
    <row r="1575">
      <c r="A1575" s="3" t="s">
        <v>7423</v>
      </c>
      <c r="B1575" s="4" t="str">
        <f>IFERROR(__xludf.DUMMYFUNCTION("GOOGLETRANSLATE(A1575, ""en"", ""te"")"),"మంచ్ తంత్ర క్వినోవా పఫ్ జలపెనో")</f>
        <v>మంచ్ తంత్ర క్వినోవా పఫ్ జలపెనో</v>
      </c>
      <c r="C1575" s="4" t="str">
        <f>IFERROR(__xludf.DUMMYFUNCTION("GOOGLETRANSLATE(A1575, ""en"", ""hi"")"),"मंच तांत्रा क्विनोआ पफ जलापेनो")</f>
        <v>मंच तांत्रा क्विनोआ पफ जलापेनो</v>
      </c>
      <c r="D1575" s="5"/>
      <c r="E1575" s="2" t="s">
        <v>1294</v>
      </c>
      <c r="F1575" s="1">
        <v>3.0</v>
      </c>
      <c r="G1575" s="3" t="s">
        <v>439</v>
      </c>
    </row>
    <row r="1576">
      <c r="A1576" s="3" t="s">
        <v>7424</v>
      </c>
      <c r="B1576" s="4" t="str">
        <f>IFERROR(__xludf.DUMMYFUNCTION("GOOGLETRANSLATE(A1576, ""en"", ""te"")"),"మంచ్ తంత్ర క్వినోవా పఫ్")</f>
        <v>మంచ్ తంత్ర క్వినోవా పఫ్</v>
      </c>
      <c r="C1576" s="4" t="str">
        <f>IFERROR(__xludf.DUMMYFUNCTION("GOOGLETRANSLATE(A1576, ""en"", ""hi"")"),"मंच तांत्रा क्विनोआ पफ")</f>
        <v>मंच तांत्रा क्विनोआ पफ</v>
      </c>
      <c r="D1576" s="5"/>
      <c r="E1576" s="2" t="s">
        <v>1294</v>
      </c>
      <c r="F1576" s="1">
        <v>3.0</v>
      </c>
      <c r="G1576" s="3" t="s">
        <v>439</v>
      </c>
    </row>
    <row r="1577">
      <c r="A1577" s="3" t="s">
        <v>7425</v>
      </c>
      <c r="B1577" s="4" t="str">
        <f>IFERROR(__xludf.DUMMYFUNCTION("GOOGLETRANSLATE(A1577, ""en"", ""te"")"),"ముంచ్ తంత్ర జొన్న పఫ్")</f>
        <v>ముంచ్ తంత్ర జొన్న పఫ్</v>
      </c>
      <c r="C1577" s="4" t="str">
        <f>IFERROR(__xludf.DUMMYFUNCTION("GOOGLETRANSLATE(A1577, ""en"", ""hi"")"),"मंच तंत्र ज्वार पफ")</f>
        <v>मंच तंत्र ज्वार पफ</v>
      </c>
      <c r="D1577" s="5"/>
      <c r="E1577" s="2" t="s">
        <v>1294</v>
      </c>
      <c r="F1577" s="1">
        <v>3.0</v>
      </c>
      <c r="G1577" s="3" t="s">
        <v>439</v>
      </c>
    </row>
    <row r="1578">
      <c r="A1578" s="3" t="s">
        <v>7426</v>
      </c>
      <c r="B1578" s="4" t="str">
        <f>IFERROR(__xludf.DUMMYFUNCTION("GOOGLETRANSLATE(A1578, ""en"", ""te"")"),"శకర్పరా")</f>
        <v>శకర్పరా</v>
      </c>
      <c r="C1578" s="4" t="str">
        <f>IFERROR(__xludf.DUMMYFUNCTION("GOOGLETRANSLATE(A1578, ""en"", ""hi"")"),"शकरपारा")</f>
        <v>शकरपारा</v>
      </c>
      <c r="D1578" s="2" t="s">
        <v>7319</v>
      </c>
      <c r="E1578" s="2" t="s">
        <v>3438</v>
      </c>
      <c r="F1578" s="1">
        <v>3.0</v>
      </c>
      <c r="G1578" s="3" t="s">
        <v>6556</v>
      </c>
    </row>
    <row r="1579">
      <c r="A1579" s="3" t="s">
        <v>7427</v>
      </c>
      <c r="B1579" s="4" t="str">
        <f>IFERROR(__xludf.DUMMYFUNCTION("GOOGLETRANSLATE(A1579, ""en"", ""te"")"),"లక్ష్మీ మహాబలేశ్వరీ కాల్చిన చానా")</f>
        <v>లక్ష్మీ మహాబలేశ్వరీ కాల్చిన చానా</v>
      </c>
      <c r="C1579" s="4" t="str">
        <f>IFERROR(__xludf.DUMMYFUNCTION("GOOGLETRANSLATE(A1579, ""en"", ""hi"")"),"लक्ष्मी महाबलेश्वरी भुना हुआ चना")</f>
        <v>लक्ष्मी महाबलेश्वरी भुना हुआ चना</v>
      </c>
      <c r="D1579" s="5"/>
      <c r="E1579" s="2" t="s">
        <v>1038</v>
      </c>
      <c r="F1579" s="1">
        <v>3.0</v>
      </c>
      <c r="G1579" s="3" t="s">
        <v>6605</v>
      </c>
    </row>
    <row r="1580">
      <c r="A1580" s="3" t="s">
        <v>7428</v>
      </c>
      <c r="B1580" s="4" t="str">
        <f>IFERROR(__xludf.DUMMYFUNCTION("GOOGLETRANSLATE(A1580, ""en"", ""te"")"),"స్వాడ్ మసాలా బఠానీలు మసాలా చిక్పీస్")</f>
        <v>స్వాడ్ మసాలా బఠానీలు మసాలా చిక్పీస్</v>
      </c>
      <c r="C1580" s="4" t="str">
        <f>IFERROR(__xludf.DUMMYFUNCTION("GOOGLETRANSLATE(A1580, ""en"", ""hi"")"),"स्वाद मसाला मटर मसालेदार चना")</f>
        <v>स्वाद मसाला मटर मसालेदार चना</v>
      </c>
      <c r="D1580" s="2" t="s">
        <v>7414</v>
      </c>
      <c r="E1580" s="2" t="s">
        <v>1294</v>
      </c>
      <c r="F1580" s="1">
        <v>3.0</v>
      </c>
      <c r="G1580" s="3" t="s">
        <v>6605</v>
      </c>
    </row>
    <row r="1581">
      <c r="A1581" s="3" t="s">
        <v>7429</v>
      </c>
      <c r="B1581" s="4" t="str">
        <f>IFERROR(__xludf.DUMMYFUNCTION("GOOGLETRANSLATE(A1581, ""en"", ""te"")"),"స్వాద్ వేయించిన శనగలు")</f>
        <v>స్వాద్ వేయించిన శనగలు</v>
      </c>
      <c r="C1581" s="4" t="str">
        <f>IFERROR(__xludf.DUMMYFUNCTION("GOOGLETRANSLATE(A1581, ""en"", ""hi"")"),"स्वाद भुना हुआ चना")</f>
        <v>स्वाद भुना हुआ चना</v>
      </c>
      <c r="D1581" s="2" t="s">
        <v>1036</v>
      </c>
      <c r="E1581" s="2" t="s">
        <v>1294</v>
      </c>
      <c r="F1581" s="1">
        <v>3.0</v>
      </c>
      <c r="G1581" s="3" t="s">
        <v>6605</v>
      </c>
    </row>
    <row r="1582">
      <c r="A1582" s="3" t="s">
        <v>7430</v>
      </c>
      <c r="B1582" s="4" t="str">
        <f>IFERROR(__xludf.DUMMYFUNCTION("GOOGLETRANSLATE(A1582, ""en"", ""te"")"),"ఖఖారా పిజ్జా")</f>
        <v>ఖఖారా పిజ్జా</v>
      </c>
      <c r="C1582" s="4" t="str">
        <f>IFERROR(__xludf.DUMMYFUNCTION("GOOGLETRANSLATE(A1582, ""en"", ""hi"")"),"खाखरा पिज्जा")</f>
        <v>खाखरा पिज्जा</v>
      </c>
      <c r="D1582" s="2" t="s">
        <v>7160</v>
      </c>
      <c r="E1582" s="2" t="s">
        <v>4100</v>
      </c>
      <c r="F1582" s="1">
        <v>3.0</v>
      </c>
      <c r="G1582" s="3" t="s">
        <v>6628</v>
      </c>
    </row>
    <row r="1583">
      <c r="A1583" s="3" t="s">
        <v>7431</v>
      </c>
      <c r="B1583" s="4" t="str">
        <f>IFERROR(__xludf.DUMMYFUNCTION("GOOGLETRANSLATE(A1583, ""en"", ""te"")"),"ఖఖరా మెథి")</f>
        <v>ఖఖరా మెథి</v>
      </c>
      <c r="C1583" s="4" t="str">
        <f>IFERROR(__xludf.DUMMYFUNCTION("GOOGLETRANSLATE(A1583, ""en"", ""hi"")"),"खाखरा मेथी")</f>
        <v>खाखरा मेथी</v>
      </c>
      <c r="D1583" s="2" t="s">
        <v>7160</v>
      </c>
      <c r="E1583" s="2" t="s">
        <v>4100</v>
      </c>
      <c r="F1583" s="1">
        <v>3.0</v>
      </c>
      <c r="G1583" s="3" t="s">
        <v>6628</v>
      </c>
    </row>
    <row r="1584">
      <c r="A1584" s="3" t="s">
        <v>7432</v>
      </c>
      <c r="B1584" s="4" t="str">
        <f>IFERROR(__xludf.DUMMYFUNCTION("GOOGLETRANSLATE(A1584, ""en"", ""te"")"),"స్వద్ ఖఖ్రా")</f>
        <v>స్వద్ ఖఖ్రా</v>
      </c>
      <c r="C1584" s="4" t="str">
        <f>IFERROR(__xludf.DUMMYFUNCTION("GOOGLETRANSLATE(A1584, ""en"", ""hi"")"),"स्वाद खाखरा")</f>
        <v>स्वाद खाखरा</v>
      </c>
      <c r="D1584" s="2" t="s">
        <v>7160</v>
      </c>
      <c r="E1584" s="2" t="s">
        <v>4100</v>
      </c>
      <c r="F1584" s="1">
        <v>3.0</v>
      </c>
      <c r="G1584" s="3" t="s">
        <v>6628</v>
      </c>
    </row>
    <row r="1585">
      <c r="A1585" s="3" t="s">
        <v>7433</v>
      </c>
      <c r="B1585" s="4" t="str">
        <f>IFERROR(__xludf.DUMMYFUNCTION("GOOGLETRANSLATE(A1585, ""en"", ""te"")"),"స్వాద్ రెడ్ రైసిన్")</f>
        <v>స్వాద్ రెడ్ రైసిన్</v>
      </c>
      <c r="C1585" s="4" t="str">
        <f>IFERROR(__xludf.DUMMYFUNCTION("GOOGLETRANSLATE(A1585, ""en"", ""hi"")"),"स्वाद लाल किशमिश")</f>
        <v>स्वाद लाल किशमिश</v>
      </c>
      <c r="D1585" s="5"/>
      <c r="E1585" s="2" t="s">
        <v>2700</v>
      </c>
      <c r="F1585" s="1">
        <v>3.0</v>
      </c>
      <c r="G1585" s="3" t="s">
        <v>6651</v>
      </c>
    </row>
    <row r="1586">
      <c r="A1586" s="3" t="s">
        <v>7434</v>
      </c>
      <c r="B1586" s="4" t="str">
        <f>IFERROR(__xludf.DUMMYFUNCTION("GOOGLETRANSLATE(A1586, ""en"", ""te"")"),"స్వాద్ పిస్తాషియో గ్రీన్")</f>
        <v>స్వాద్ పిస్తాషియో గ్రీన్</v>
      </c>
      <c r="C1586" s="4" t="str">
        <f>IFERROR(__xludf.DUMMYFUNCTION("GOOGLETRANSLATE(A1586, ""en"", ""hi"")"),"स्वाद पिस्ता हरा")</f>
        <v>स्वाद पिस्ता हरा</v>
      </c>
      <c r="D1586" s="2" t="s">
        <v>7419</v>
      </c>
      <c r="E1586" s="2" t="s">
        <v>2700</v>
      </c>
      <c r="F1586" s="1">
        <v>3.0</v>
      </c>
      <c r="G1586" s="3" t="s">
        <v>6651</v>
      </c>
    </row>
    <row r="1587">
      <c r="A1587" s="3" t="s">
        <v>7420</v>
      </c>
      <c r="B1587" s="4" t="str">
        <f>IFERROR(__xludf.DUMMYFUNCTION("GOOGLETRANSLATE(A1587, ""en"", ""te"")"),"స్వాద్ తెల్ల పిస్తాపప్పులు")</f>
        <v>స్వాద్ తెల్ల పిస్తాపప్పులు</v>
      </c>
      <c r="C1587" s="4" t="str">
        <f>IFERROR(__xludf.DUMMYFUNCTION("GOOGLETRANSLATE(A1587, ""en"", ""hi"")"),"स्वाद सफेद पिस्ता")</f>
        <v>स्वाद सफेद पिस्ता</v>
      </c>
      <c r="D1587" s="2" t="s">
        <v>7419</v>
      </c>
      <c r="E1587" s="2" t="s">
        <v>2700</v>
      </c>
      <c r="F1587" s="1">
        <v>3.0</v>
      </c>
      <c r="G1587" s="3" t="s">
        <v>6651</v>
      </c>
    </row>
    <row r="1588">
      <c r="A1588" s="3" t="s">
        <v>7435</v>
      </c>
      <c r="B1588" s="4" t="str">
        <f>IFERROR(__xludf.DUMMYFUNCTION("GOOGLETRANSLATE(A1588, ""en"", ""te"")"),"స్వాద్ పిస్తా వేయించిన ఉప్పు")</f>
        <v>స్వాద్ పిస్తా వేయించిన ఉప్పు</v>
      </c>
      <c r="C1588" s="4" t="str">
        <f>IFERROR(__xludf.DUMMYFUNCTION("GOOGLETRANSLATE(A1588, ""en"", ""hi"")"),"स्वाद पिस्ता भुना नमकीन")</f>
        <v>स्वाद पिस्ता भुना नमकीन</v>
      </c>
      <c r="D1588" s="2" t="s">
        <v>7419</v>
      </c>
      <c r="E1588" s="2" t="s">
        <v>2700</v>
      </c>
      <c r="F1588" s="1">
        <v>3.0</v>
      </c>
      <c r="G1588" s="3" t="s">
        <v>6651</v>
      </c>
    </row>
    <row r="1589">
      <c r="A1589" s="3" t="s">
        <v>7421</v>
      </c>
      <c r="B1589" s="4" t="str">
        <f>IFERROR(__xludf.DUMMYFUNCTION("GOOGLETRANSLATE(A1589, ""en"", ""te"")"),"స్వాద్ పూర్తి జీడిపప్పు")</f>
        <v>స్వాద్ పూర్తి జీడిపప్పు</v>
      </c>
      <c r="C1589" s="4" t="str">
        <f>IFERROR(__xludf.DUMMYFUNCTION("GOOGLETRANSLATE(A1589, ""en"", ""hi"")"),"स्वाद साबुत काजू")</f>
        <v>स्वाद साबुत काजू</v>
      </c>
      <c r="D1589" s="2" t="s">
        <v>7422</v>
      </c>
      <c r="E1589" s="2" t="s">
        <v>2700</v>
      </c>
      <c r="F1589" s="1">
        <v>3.0</v>
      </c>
      <c r="G1589" s="3" t="s">
        <v>6651</v>
      </c>
    </row>
    <row r="1590">
      <c r="A1590" s="3" t="s">
        <v>7424</v>
      </c>
      <c r="B1590" s="4" t="str">
        <f>IFERROR(__xludf.DUMMYFUNCTION("GOOGLETRANSLATE(A1590, ""en"", ""te"")"),"మంచ్ తంత్ర క్వినోవా పఫ్")</f>
        <v>మంచ్ తంత్ర క్వినోవా పఫ్</v>
      </c>
      <c r="C1590" s="4" t="str">
        <f>IFERROR(__xludf.DUMMYFUNCTION("GOOGLETRANSLATE(A1590, ""en"", ""hi"")"),"मंच तांत्रा क्विनोआ पफ")</f>
        <v>मंच तांत्रा क्विनोआ पफ</v>
      </c>
      <c r="D1590" s="5"/>
      <c r="E1590" s="2" t="s">
        <v>1294</v>
      </c>
      <c r="F1590" s="1">
        <v>3.0</v>
      </c>
      <c r="G1590" s="3" t="s">
        <v>7436</v>
      </c>
    </row>
    <row r="1591">
      <c r="A1591" s="3" t="s">
        <v>7425</v>
      </c>
      <c r="B1591" s="4" t="str">
        <f>IFERROR(__xludf.DUMMYFUNCTION("GOOGLETRANSLATE(A1591, ""en"", ""te"")"),"ముంచ్ తంత్ర జొన్న పఫ్")</f>
        <v>ముంచ్ తంత్ర జొన్న పఫ్</v>
      </c>
      <c r="C1591" s="4" t="str">
        <f>IFERROR(__xludf.DUMMYFUNCTION("GOOGLETRANSLATE(A1591, ""en"", ""hi"")"),"मंच तंत्र ज्वार पफ")</f>
        <v>मंच तंत्र ज्वार पफ</v>
      </c>
      <c r="D1591" s="5"/>
      <c r="E1591" s="2" t="s">
        <v>1294</v>
      </c>
      <c r="F1591" s="1">
        <v>3.0</v>
      </c>
      <c r="G1591" s="3" t="s">
        <v>7436</v>
      </c>
    </row>
    <row r="1592">
      <c r="A1592" s="3" t="s">
        <v>7437</v>
      </c>
      <c r="B1592" s="4" t="str">
        <f>IFERROR(__xludf.DUMMYFUNCTION("GOOGLETRANSLATE(A1592, ""en"", ""te"")"),"మంచ్ తంత్ర చిక్‌పీ పఫ్")</f>
        <v>మంచ్ తంత్ర చిక్‌పీ పఫ్</v>
      </c>
      <c r="C1592" s="4" t="str">
        <f>IFERROR(__xludf.DUMMYFUNCTION("GOOGLETRANSLATE(A1592, ""en"", ""hi"")"),"मंच तंत्रा चिकपी पफ")</f>
        <v>मंच तंत्रा चिकपी पफ</v>
      </c>
      <c r="D1592" s="5"/>
      <c r="E1592" s="2" t="s">
        <v>1294</v>
      </c>
      <c r="F1592" s="1">
        <v>3.0</v>
      </c>
      <c r="G1592" s="3" t="s">
        <v>7436</v>
      </c>
    </row>
    <row r="1593">
      <c r="A1593" s="3" t="s">
        <v>7438</v>
      </c>
      <c r="B1593" s="4" t="str">
        <f>IFERROR(__xludf.DUMMYFUNCTION("GOOGLETRANSLATE(A1593, ""en"", ""te"")"),"బ్రిటానియా టోస్టీ సుజీ రస్క్")</f>
        <v>బ్రిటానియా టోస్టీ సుజీ రస్క్</v>
      </c>
      <c r="C1593" s="4" t="str">
        <f>IFERROR(__xludf.DUMMYFUNCTION("GOOGLETRANSLATE(A1593, ""en"", ""hi"")"),"ब्रिटानिया टोस्टी सूजी रस्क")</f>
        <v>ब्रिटानिया टोस्टी सूजी रस्क</v>
      </c>
      <c r="D1593" s="2" t="s">
        <v>7123</v>
      </c>
      <c r="E1593" s="2" t="s">
        <v>4100</v>
      </c>
      <c r="F1593" s="1">
        <v>3.0</v>
      </c>
      <c r="G1593" s="3" t="s">
        <v>71</v>
      </c>
    </row>
    <row r="1594">
      <c r="A1594" s="3" t="s">
        <v>7439</v>
      </c>
      <c r="B1594" s="4" t="str">
        <f>IFERROR(__xludf.DUMMYFUNCTION("GOOGLETRANSLATE(A1594, ""en"", ""te"")"),"బ్రిటానియా టోస్టీ ప్రీమియం బేక్ రస్క్")</f>
        <v>బ్రిటానియా టోస్టీ ప్రీమియం బేక్ రస్క్</v>
      </c>
      <c r="C1594" s="4" t="str">
        <f>IFERROR(__xludf.DUMMYFUNCTION("GOOGLETRANSLATE(A1594, ""en"", ""hi"")"),"ब्रिटानिया टोस्टी प्रीमियम बेक रस्क")</f>
        <v>ब्रिटानिया टोस्टी प्रीमियम बेक रस्क</v>
      </c>
      <c r="D1594" s="2" t="s">
        <v>7092</v>
      </c>
      <c r="E1594" s="2" t="s">
        <v>4100</v>
      </c>
      <c r="F1594" s="1">
        <v>3.0</v>
      </c>
      <c r="G1594" s="3" t="s">
        <v>71</v>
      </c>
    </row>
    <row r="1595">
      <c r="A1595" s="3" t="s">
        <v>7440</v>
      </c>
      <c r="B1595" s="4" t="str">
        <f>IFERROR(__xludf.DUMMYFUNCTION("GOOGLETRANSLATE(A1595, ""en"", ""te"")"),"తీరా కేక్ రస్క్")</f>
        <v>తీరా కేక్ రస్క్</v>
      </c>
      <c r="C1595" s="4" t="str">
        <f>IFERROR(__xludf.DUMMYFUNCTION("GOOGLETRANSLATE(A1595, ""en"", ""hi"")"),"टीरा केक रस्क")</f>
        <v>टीरा केक रस्क</v>
      </c>
      <c r="D1595" s="2" t="s">
        <v>7092</v>
      </c>
      <c r="E1595" s="2" t="s">
        <v>4100</v>
      </c>
      <c r="F1595" s="1">
        <v>3.0</v>
      </c>
      <c r="G1595" s="3" t="s">
        <v>71</v>
      </c>
    </row>
    <row r="1596">
      <c r="A1596" s="3" t="s">
        <v>7441</v>
      </c>
      <c r="B1596" s="4" t="str">
        <f>IFERROR(__xludf.DUMMYFUNCTION("GOOGLETRANSLATE(A1596, ""en"", ""te"")"),"తీర జీరా పూరి")</f>
        <v>తీర జీరా పూరి</v>
      </c>
      <c r="C1596" s="4" t="str">
        <f>IFERROR(__xludf.DUMMYFUNCTION("GOOGLETRANSLATE(A1596, ""en"", ""hi"")"),"टीरा जीरा पुरी")</f>
        <v>टीरा जीरा पुरी</v>
      </c>
      <c r="D1596" s="2" t="s">
        <v>440</v>
      </c>
      <c r="E1596" s="2" t="s">
        <v>442</v>
      </c>
      <c r="F1596" s="1">
        <v>3.0</v>
      </c>
      <c r="G1596" s="3" t="s">
        <v>76</v>
      </c>
    </row>
    <row r="1597">
      <c r="A1597" s="3" t="s">
        <v>7442</v>
      </c>
      <c r="B1597" s="4" t="str">
        <f>IFERROR(__xludf.DUMMYFUNCTION("GOOGLETRANSLATE(A1597, ""en"", ""te"")"),"తీర మేథి పూరి")</f>
        <v>తీర మేథి పూరి</v>
      </c>
      <c r="C1597" s="4" t="str">
        <f>IFERROR(__xludf.DUMMYFUNCTION("GOOGLETRANSLATE(A1597, ""en"", ""hi"")"),"टीरा मेथी पूरी")</f>
        <v>टीरा मेथी पूरी</v>
      </c>
      <c r="D1597" s="2" t="s">
        <v>4472</v>
      </c>
      <c r="E1597" s="2" t="s">
        <v>442</v>
      </c>
      <c r="F1597" s="1">
        <v>3.0</v>
      </c>
      <c r="G1597" s="3" t="s">
        <v>76</v>
      </c>
    </row>
    <row r="1598">
      <c r="A1598" s="3" t="s">
        <v>4604</v>
      </c>
      <c r="B1598" s="4" t="str">
        <f>IFERROR(__xludf.DUMMYFUNCTION("GOOGLETRANSLATE(A1598, ""en"", ""te"")"),"మెంతి పూరి")</f>
        <v>మెంతి పూరి</v>
      </c>
      <c r="C1598" s="4" t="str">
        <f>IFERROR(__xludf.DUMMYFUNCTION("GOOGLETRANSLATE(A1598, ""en"", ""hi"")"),"मेथी पूरी")</f>
        <v>मेथी पूरी</v>
      </c>
      <c r="D1598" s="2" t="s">
        <v>4472</v>
      </c>
      <c r="E1598" s="2" t="s">
        <v>442</v>
      </c>
      <c r="F1598" s="1">
        <v>3.0</v>
      </c>
      <c r="G1598" s="3" t="s">
        <v>76</v>
      </c>
    </row>
    <row r="1599">
      <c r="A1599" s="3" t="s">
        <v>3847</v>
      </c>
      <c r="B1599" s="4" t="str">
        <f>IFERROR(__xludf.DUMMYFUNCTION("GOOGLETRANSLATE(A1599, ""en"", ""te"")"),"జీరా పూరి")</f>
        <v>జీరా పూరి</v>
      </c>
      <c r="C1599" s="4" t="str">
        <f>IFERROR(__xludf.DUMMYFUNCTION("GOOGLETRANSLATE(A1599, ""en"", ""hi"")"),"जीरा पूरी")</f>
        <v>जीरा पूरी</v>
      </c>
      <c r="D1599" s="2" t="s">
        <v>440</v>
      </c>
      <c r="E1599" s="2" t="s">
        <v>442</v>
      </c>
      <c r="F1599" s="1">
        <v>3.0</v>
      </c>
      <c r="G1599" s="3" t="s">
        <v>76</v>
      </c>
    </row>
    <row r="1600">
      <c r="A1600" s="3" t="s">
        <v>7443</v>
      </c>
      <c r="B1600" s="4" t="str">
        <f>IFERROR(__xludf.DUMMYFUNCTION("GOOGLETRANSLATE(A1600, ""en"", ""te"")"),"జీవాస్ రోస్టెడ్ చనా")</f>
        <v>జీవాస్ రోస్టెడ్ చనా</v>
      </c>
      <c r="C1600" s="4" t="str">
        <f>IFERROR(__xludf.DUMMYFUNCTION("GOOGLETRANSLATE(A1600, ""en"", ""hi"")"),"जीवा का भुना हुआ चना")</f>
        <v>जीवा का भुना हुआ चना</v>
      </c>
      <c r="D1600" s="2" t="s">
        <v>1036</v>
      </c>
      <c r="E1600" s="2" t="s">
        <v>1038</v>
      </c>
      <c r="F1600" s="1">
        <v>3.0</v>
      </c>
      <c r="G1600" s="3" t="s">
        <v>85</v>
      </c>
    </row>
    <row r="1601">
      <c r="A1601" s="3" t="s">
        <v>7444</v>
      </c>
      <c r="B1601" s="4" t="str">
        <f>IFERROR(__xludf.DUMMYFUNCTION("GOOGLETRANSLATE(A1601, ""en"", ""te"")"),"జీవా యొక్క కాల్చిన చనా నిమ్మకాయ చట్పాట")</f>
        <v>జీవా యొక్క కాల్చిన చనా నిమ్మకాయ చట్పాట</v>
      </c>
      <c r="C1601" s="4" t="str">
        <f>IFERROR(__xludf.DUMMYFUNCTION("GOOGLETRANSLATE(A1601, ""en"", ""hi"")"),"जीवा का भुना हुआ चना नींबू चटपटा")</f>
        <v>जीवा का भुना हुआ चना नींबू चटपटा</v>
      </c>
      <c r="D1601" s="2" t="s">
        <v>1036</v>
      </c>
      <c r="E1601" s="2" t="s">
        <v>1038</v>
      </c>
      <c r="F1601" s="1">
        <v>3.0</v>
      </c>
      <c r="G1601" s="3" t="s">
        <v>85</v>
      </c>
    </row>
    <row r="1602">
      <c r="A1602" s="3" t="s">
        <v>7445</v>
      </c>
      <c r="B1602" s="4" t="str">
        <f>IFERROR(__xludf.DUMMYFUNCTION("GOOGLETRANSLATE(A1602, ""en"", ""te"")"),"వేయించిన జీడిపప్పు")</f>
        <v>వేయించిన జీడిపప్పు</v>
      </c>
      <c r="C1602" s="4" t="str">
        <f>IFERROR(__xludf.DUMMYFUNCTION("GOOGLETRANSLATE(A1602, ""en"", ""hi"")"),"भुने हुए काजू")</f>
        <v>भुने हुए काजू</v>
      </c>
      <c r="D1602" s="2" t="s">
        <v>7422</v>
      </c>
      <c r="E1602" s="2" t="s">
        <v>2700</v>
      </c>
      <c r="F1602" s="1">
        <v>3.0</v>
      </c>
      <c r="G1602" s="3" t="s">
        <v>85</v>
      </c>
    </row>
    <row r="1603">
      <c r="A1603" s="3" t="s">
        <v>7446</v>
      </c>
      <c r="B1603" s="4" t="str">
        <f>IFERROR(__xludf.DUMMYFUNCTION("GOOGLETRANSLATE(A1603, ""en"", ""te"")"),"వేయించిన బాదంపప్పులు")</f>
        <v>వేయించిన బాదంపప్పులు</v>
      </c>
      <c r="C1603" s="4" t="str">
        <f>IFERROR(__xludf.DUMMYFUNCTION("GOOGLETRANSLATE(A1603, ""en"", ""hi"")"),"भुने हुए बादाम")</f>
        <v>भुने हुए बादाम</v>
      </c>
      <c r="D1603" s="2" t="s">
        <v>7447</v>
      </c>
      <c r="E1603" s="2" t="s">
        <v>2700</v>
      </c>
      <c r="F1603" s="1">
        <v>3.0</v>
      </c>
      <c r="G1603" s="3" t="s">
        <v>85</v>
      </c>
    </row>
    <row r="1604">
      <c r="A1604" s="3" t="s">
        <v>7448</v>
      </c>
      <c r="B1604" s="4" t="str">
        <f>IFERROR(__xludf.DUMMYFUNCTION("GOOGLETRANSLATE(A1604, ""en"", ""te"")"),"జాబ్సన్స్ వేయించిన వేరుశెనగలు స్పైసీ మసాలా")</f>
        <v>జాబ్సన్స్ వేయించిన వేరుశెనగలు స్పైసీ మసాలా</v>
      </c>
      <c r="C1604" s="4" t="str">
        <f>IFERROR(__xludf.DUMMYFUNCTION("GOOGLETRANSLATE(A1604, ""en"", ""hi"")"),"जैब्सन्स रोस्टेड पीनट्स स्पाइसी मसाला")</f>
        <v>जैब्सन्स रोस्टेड पीनट्स स्पाइसी मसाला</v>
      </c>
      <c r="D1604" s="5"/>
      <c r="E1604" s="2" t="s">
        <v>1294</v>
      </c>
      <c r="F1604" s="1">
        <v>3.0</v>
      </c>
      <c r="G1604" s="3" t="s">
        <v>85</v>
      </c>
    </row>
    <row r="1605">
      <c r="A1605" s="3" t="s">
        <v>7449</v>
      </c>
      <c r="B1605" s="4" t="str">
        <f>IFERROR(__xludf.DUMMYFUNCTION("GOOGLETRANSLATE(A1605, ""en"", ""te"")"),"స్వాద్ జీడిపప్పు")</f>
        <v>స్వాద్ జీడిపప్పు</v>
      </c>
      <c r="C1605" s="4" t="str">
        <f>IFERROR(__xludf.DUMMYFUNCTION("GOOGLETRANSLATE(A1605, ""en"", ""hi"")"),"स्वाद काजू साबुत")</f>
        <v>स्वाद काजू साबुत</v>
      </c>
      <c r="D1605" s="2" t="s">
        <v>7422</v>
      </c>
      <c r="E1605" s="2" t="s">
        <v>2700</v>
      </c>
      <c r="F1605" s="1">
        <v>3.0</v>
      </c>
      <c r="G1605" s="3" t="s">
        <v>114</v>
      </c>
    </row>
    <row r="1606">
      <c r="A1606" s="3" t="s">
        <v>7450</v>
      </c>
      <c r="B1606" s="4" t="str">
        <f>IFERROR(__xludf.DUMMYFUNCTION("GOOGLETRANSLATE(A1606, ""en"", ""te"")"),"స్వాద్ నేచురల్ స్లైస్డ్ ఆల్మండ్స్")</f>
        <v>స్వాద్ నేచురల్ స్లైస్డ్ ఆల్మండ్స్</v>
      </c>
      <c r="C1606" s="4" t="str">
        <f>IFERROR(__xludf.DUMMYFUNCTION("GOOGLETRANSLATE(A1606, ""en"", ""hi"")"),"स्वाद नेचुरल स्लाइसड बादाम")</f>
        <v>स्वाद नेचुरल स्लाइसड बादाम</v>
      </c>
      <c r="D1606" s="2" t="s">
        <v>7447</v>
      </c>
      <c r="E1606" s="2" t="s">
        <v>2700</v>
      </c>
      <c r="F1606" s="1">
        <v>3.0</v>
      </c>
      <c r="G1606" s="3" t="s">
        <v>114</v>
      </c>
    </row>
    <row r="1607">
      <c r="A1607" s="3" t="s">
        <v>7451</v>
      </c>
      <c r="B1607" s="4" t="str">
        <f>IFERROR(__xludf.DUMMYFUNCTION("GOOGLETRANSLATE(A1607, ""en"", ""te"")"),"స్వాద్ నేచురల్ స్లివర్డ్ ఆల్మండ్స్")</f>
        <v>స్వాద్ నేచురల్ స్లివర్డ్ ఆల్మండ్స్</v>
      </c>
      <c r="C1607" s="4" t="str">
        <f>IFERROR(__xludf.DUMMYFUNCTION("GOOGLETRANSLATE(A1607, ""en"", ""hi"")"),"स्वाद नेचुरल स्लाइस्ड बादाम")</f>
        <v>स्वाद नेचुरल स्लाइस्ड बादाम</v>
      </c>
      <c r="D1607" s="2" t="s">
        <v>7447</v>
      </c>
      <c r="E1607" s="2" t="s">
        <v>2700</v>
      </c>
      <c r="F1607" s="1">
        <v>3.0</v>
      </c>
      <c r="G1607" s="3" t="s">
        <v>114</v>
      </c>
    </row>
    <row r="1608">
      <c r="A1608" s="3" t="s">
        <v>7452</v>
      </c>
      <c r="B1608" s="4" t="str">
        <f>IFERROR(__xludf.DUMMYFUNCTION("GOOGLETRANSLATE(A1608, ""en"", ""te"")"),"స్వాద్ బాదంపప్పులు")</f>
        <v>స్వాద్ బాదంపప్పులు</v>
      </c>
      <c r="C1608" s="4" t="str">
        <f>IFERROR(__xludf.DUMMYFUNCTION("GOOGLETRANSLATE(A1608, ""en"", ""hi"")"),"स्वाद बादाम")</f>
        <v>स्वाद बादाम</v>
      </c>
      <c r="D1608" s="2" t="s">
        <v>7447</v>
      </c>
      <c r="E1608" s="2" t="s">
        <v>2700</v>
      </c>
      <c r="F1608" s="1">
        <v>3.0</v>
      </c>
      <c r="G1608" s="3" t="s">
        <v>114</v>
      </c>
    </row>
    <row r="1609">
      <c r="A1609" s="3" t="s">
        <v>7453</v>
      </c>
      <c r="B1609" s="4" t="str">
        <f>IFERROR(__xludf.DUMMYFUNCTION("GOOGLETRANSLATE(A1609, ""en"", ""te"")"),"బోర్బన్ బిస్కెట్లు")</f>
        <v>బోర్బన్ బిస్కెట్లు</v>
      </c>
      <c r="C1609" s="4" t="str">
        <f>IFERROR(__xludf.DUMMYFUNCTION("GOOGLETRANSLATE(A1609, ""en"", ""hi"")"),"बोर्बन बिस्कुट")</f>
        <v>बोर्बन बिस्कुट</v>
      </c>
      <c r="D1609" s="2" t="s">
        <v>7119</v>
      </c>
      <c r="E1609" s="2" t="s">
        <v>4100</v>
      </c>
      <c r="F1609" s="1">
        <v>3.0</v>
      </c>
      <c r="G1609" s="3" t="s">
        <v>10</v>
      </c>
    </row>
    <row r="1610">
      <c r="A1610" s="3" t="s">
        <v>7454</v>
      </c>
      <c r="B1610" s="4" t="str">
        <f>IFERROR(__xludf.DUMMYFUNCTION("GOOGLETRANSLATE(A1610, ""en"", ""te"")"),"క్రాక్-జాక్ బిస్కెట్లు")</f>
        <v>క్రాక్-జాక్ బిస్కెట్లు</v>
      </c>
      <c r="C1610" s="4" t="str">
        <f>IFERROR(__xludf.DUMMYFUNCTION("GOOGLETRANSLATE(A1610, ""en"", ""hi"")"),"क्रैक-जैक बिस्कुट")</f>
        <v>क्रैक-जैक बिस्कुट</v>
      </c>
      <c r="D1610" s="2" t="s">
        <v>7050</v>
      </c>
      <c r="E1610" s="2" t="s">
        <v>4100</v>
      </c>
      <c r="F1610" s="1">
        <v>3.0</v>
      </c>
      <c r="G1610" s="3" t="s">
        <v>10</v>
      </c>
    </row>
    <row r="1611">
      <c r="A1611" s="3" t="s">
        <v>7438</v>
      </c>
      <c r="B1611" s="4" t="str">
        <f>IFERROR(__xludf.DUMMYFUNCTION("GOOGLETRANSLATE(A1611, ""en"", ""te"")"),"బ్రిటానియా టోస్టీ సుజీ రస్క్")</f>
        <v>బ్రిటానియా టోస్టీ సుజీ రస్క్</v>
      </c>
      <c r="C1611" s="4" t="str">
        <f>IFERROR(__xludf.DUMMYFUNCTION("GOOGLETRANSLATE(A1611, ""en"", ""hi"")"),"ब्रिटानिया टोस्टी सूजी रस्क")</f>
        <v>ब्रिटानिया टोस्टी सूजी रस्क</v>
      </c>
      <c r="D1611" s="2" t="s">
        <v>7123</v>
      </c>
      <c r="E1611" s="2" t="s">
        <v>4100</v>
      </c>
      <c r="F1611" s="1">
        <v>3.0</v>
      </c>
      <c r="G1611" s="3" t="s">
        <v>5746</v>
      </c>
    </row>
    <row r="1612">
      <c r="A1612" s="3" t="s">
        <v>7455</v>
      </c>
      <c r="B1612" s="4" t="str">
        <f>IFERROR(__xludf.DUMMYFUNCTION("GOOGLETRANSLATE(A1612, ""en"", ""te"")"),"బ్రిటానియా టోస్టీ మిల్క్ రస్క్")</f>
        <v>బ్రిటానియా టోస్టీ మిల్క్ రస్క్</v>
      </c>
      <c r="C1612" s="4" t="str">
        <f>IFERROR(__xludf.DUMMYFUNCTION("GOOGLETRANSLATE(A1612, ""en"", ""hi"")"),"ब्रिटानिया टोस्टी मिल्क रस्क")</f>
        <v>ब्रिटानिया टोस्टी मिल्क रस्क</v>
      </c>
      <c r="D1612" s="2" t="s">
        <v>7123</v>
      </c>
      <c r="E1612" s="2" t="s">
        <v>4100</v>
      </c>
      <c r="F1612" s="1">
        <v>3.0</v>
      </c>
      <c r="G1612" s="3" t="s">
        <v>5746</v>
      </c>
    </row>
    <row r="1613">
      <c r="A1613" s="3" t="s">
        <v>1535</v>
      </c>
      <c r="B1613" s="4" t="str">
        <f>IFERROR(__xludf.DUMMYFUNCTION("GOOGLETRANSLATE(A1613, ""en"", ""te"")"),"బ్రిటానియా మిల్క్ రస్క్")</f>
        <v>బ్రిటానియా మిల్క్ రస్క్</v>
      </c>
      <c r="C1613" s="4" t="str">
        <f>IFERROR(__xludf.DUMMYFUNCTION("GOOGLETRANSLATE(A1613, ""en"", ""hi"")"),"ब्रिटानिया मिल्क रस्क")</f>
        <v>ब्रिटानिया मिल्क रस्क</v>
      </c>
      <c r="D1613" s="2" t="s">
        <v>7456</v>
      </c>
      <c r="E1613" s="2" t="s">
        <v>4100</v>
      </c>
      <c r="F1613" s="1">
        <v>3.0</v>
      </c>
      <c r="G1613" s="3" t="s">
        <v>5746</v>
      </c>
    </row>
    <row r="1614">
      <c r="A1614" s="3" t="s">
        <v>7408</v>
      </c>
      <c r="B1614" s="4" t="str">
        <f>IFERROR(__xludf.DUMMYFUNCTION("GOOGLETRANSLATE(A1614, ""en"", ""te"")"),"మసాలా పారా")</f>
        <v>మసాలా పారా</v>
      </c>
      <c r="C1614" s="4" t="str">
        <f>IFERROR(__xludf.DUMMYFUNCTION("GOOGLETRANSLATE(A1614, ""en"", ""hi"")"),"मसाला पारा")</f>
        <v>मसाला पारा</v>
      </c>
      <c r="D1614" s="2" t="s">
        <v>1304</v>
      </c>
      <c r="E1614" s="2" t="s">
        <v>442</v>
      </c>
      <c r="F1614" s="1">
        <v>3.0</v>
      </c>
      <c r="G1614" s="3" t="s">
        <v>5752</v>
      </c>
    </row>
    <row r="1615">
      <c r="A1615" s="3" t="s">
        <v>7457</v>
      </c>
      <c r="B1615" s="4" t="str">
        <f>IFERROR(__xludf.DUMMYFUNCTION("GOOGLETRANSLATE(A1615, ""en"", ""te"")"),"మసాలా పాపడి")</f>
        <v>మసాలా పాపడి</v>
      </c>
      <c r="C1615" s="4" t="str">
        <f>IFERROR(__xludf.DUMMYFUNCTION("GOOGLETRANSLATE(A1615, ""en"", ""hi"")"),"मसाला पापड़ी")</f>
        <v>मसाला पापड़ी</v>
      </c>
      <c r="D1615" s="5"/>
      <c r="E1615" s="2" t="s">
        <v>1294</v>
      </c>
      <c r="F1615" s="1">
        <v>3.0</v>
      </c>
      <c r="G1615" s="3" t="s">
        <v>5752</v>
      </c>
    </row>
    <row r="1616">
      <c r="A1616" s="3" t="s">
        <v>7458</v>
      </c>
      <c r="B1616" s="4" t="str">
        <f>IFERROR(__xludf.DUMMYFUNCTION("GOOGLETRANSLATE(A1616, ""en"", ""te"")"),"జాబ్సన్స్ పీనట్స్ స్పైసీ మసాలా")</f>
        <v>జాబ్సన్స్ పీనట్స్ స్పైసీ మసాలా</v>
      </c>
      <c r="C1616" s="4" t="str">
        <f>IFERROR(__xludf.DUMMYFUNCTION("GOOGLETRANSLATE(A1616, ""en"", ""hi"")"),"जैब्सन्स पीनट्स स्पाइसी मसाला")</f>
        <v>जैब्सन्स पीनट्स स्पाइसी मसाला</v>
      </c>
      <c r="D1616" s="2" t="s">
        <v>945</v>
      </c>
      <c r="E1616" s="2" t="s">
        <v>1294</v>
      </c>
      <c r="F1616" s="1">
        <v>3.0</v>
      </c>
      <c r="G1616" s="3" t="s">
        <v>5756</v>
      </c>
    </row>
    <row r="1617">
      <c r="A1617" s="3" t="s">
        <v>7459</v>
      </c>
      <c r="B1617" s="4" t="str">
        <f>IFERROR(__xludf.DUMMYFUNCTION("GOOGLETRANSLATE(A1617, ""en"", ""te"")"),"జాబ్సన్స్ ఉప్పు వేసిన వేరుశెనగలు")</f>
        <v>జాబ్సన్స్ ఉప్పు వేసిన వేరుశెనగలు</v>
      </c>
      <c r="C1617" s="4" t="str">
        <f>IFERROR(__xludf.DUMMYFUNCTION("GOOGLETRANSLATE(A1617, ""en"", ""hi"")"),"जैब्सन्स नमकीन मूंगफली")</f>
        <v>जैब्सन्स नमकीन मूंगफली</v>
      </c>
      <c r="D1617" s="2" t="s">
        <v>945</v>
      </c>
      <c r="E1617" s="2" t="s">
        <v>1294</v>
      </c>
      <c r="F1617" s="1">
        <v>3.0</v>
      </c>
      <c r="G1617" s="3" t="s">
        <v>5756</v>
      </c>
    </row>
    <row r="1618">
      <c r="A1618" s="3" t="s">
        <v>7460</v>
      </c>
      <c r="B1618" s="4" t="str">
        <f>IFERROR(__xludf.DUMMYFUNCTION("GOOGLETRANSLATE(A1618, ""en"", ""te"")"),"జాబ్సన్స్ పీనట్స్ క్లాసిక్ సాల్టెడ్")</f>
        <v>జాబ్సన్స్ పీనట్స్ క్లాసిక్ సాల్టెడ్</v>
      </c>
      <c r="C1618" s="4" t="str">
        <f>IFERROR(__xludf.DUMMYFUNCTION("GOOGLETRANSLATE(A1618, ""en"", ""hi"")"),"जैब्सन्स पीनट्स क्लासिक सॉल्टेड")</f>
        <v>जैब्सन्स पीनट्स क्लासिक सॉल्टेड</v>
      </c>
      <c r="D1618" s="2" t="s">
        <v>945</v>
      </c>
      <c r="E1618" s="2" t="s">
        <v>1294</v>
      </c>
      <c r="F1618" s="1">
        <v>3.0</v>
      </c>
      <c r="G1618" s="3" t="s">
        <v>5756</v>
      </c>
    </row>
    <row r="1619">
      <c r="A1619" s="3" t="s">
        <v>7461</v>
      </c>
      <c r="B1619" s="4" t="str">
        <f>IFERROR(__xludf.DUMMYFUNCTION("GOOGLETRANSLATE(A1619, ""en"", ""te"")"),"లక్ష్మి టిల్ చిక్కీ")</f>
        <v>లక్ష్మి టిల్ చిక్కీ</v>
      </c>
      <c r="C1619" s="4" t="str">
        <f>IFERROR(__xludf.DUMMYFUNCTION("GOOGLETRANSLATE(A1619, ""en"", ""hi"")"),"लक्ष्मी तिल चिक्की")</f>
        <v>लक्ष्मी तिल चिक्की</v>
      </c>
      <c r="D1619" s="5"/>
      <c r="E1619" s="2" t="s">
        <v>2700</v>
      </c>
      <c r="F1619" s="1">
        <v>3.0</v>
      </c>
      <c r="G1619" s="3" t="s">
        <v>5761</v>
      </c>
    </row>
    <row r="1620">
      <c r="A1620" s="3" t="s">
        <v>1523</v>
      </c>
      <c r="B1620" s="4" t="str">
        <f>IFERROR(__xludf.DUMMYFUNCTION("GOOGLETRANSLATE(A1620, ""en"", ""te"")"),"బ్రిటానియా మేరీ గోల్డ్")</f>
        <v>బ్రిటానియా మేరీ గోల్డ్</v>
      </c>
      <c r="C1620" s="4" t="str">
        <f>IFERROR(__xludf.DUMMYFUNCTION("GOOGLETRANSLATE(A1620, ""en"", ""hi"")"),"ब्रिटानिया मैरी गोल्ड")</f>
        <v>ब्रिटानिया मैरी गोल्ड</v>
      </c>
      <c r="D1620" s="2" t="s">
        <v>4099</v>
      </c>
      <c r="E1620" s="2" t="s">
        <v>4100</v>
      </c>
      <c r="F1620" s="1">
        <v>3.0</v>
      </c>
      <c r="G1620" s="3" t="s">
        <v>7462</v>
      </c>
    </row>
    <row r="1621">
      <c r="A1621" s="3" t="s">
        <v>7438</v>
      </c>
      <c r="B1621" s="4" t="str">
        <f>IFERROR(__xludf.DUMMYFUNCTION("GOOGLETRANSLATE(A1621, ""en"", ""te"")"),"బ్రిటానియా టోస్టీ సుజీ రస్క్")</f>
        <v>బ్రిటానియా టోస్టీ సుజీ రస్క్</v>
      </c>
      <c r="C1621" s="4" t="str">
        <f>IFERROR(__xludf.DUMMYFUNCTION("GOOGLETRANSLATE(A1621, ""en"", ""hi"")"),"ब्रिटानिया टोस्टी सूजी रस्क")</f>
        <v>ब्रिटानिया टोस्टी सूजी रस्क</v>
      </c>
      <c r="D1621" s="2" t="s">
        <v>7123</v>
      </c>
      <c r="E1621" s="2" t="s">
        <v>4100</v>
      </c>
      <c r="F1621" s="1">
        <v>3.0</v>
      </c>
      <c r="G1621" s="3" t="s">
        <v>7463</v>
      </c>
    </row>
    <row r="1622">
      <c r="A1622" s="3" t="s">
        <v>7464</v>
      </c>
      <c r="B1622" s="4" t="str">
        <f>IFERROR(__xludf.DUMMYFUNCTION("GOOGLETRANSLATE(A1622, ""en"", ""te"")"),"బికాజీ రస్క్")</f>
        <v>బికాజీ రస్క్</v>
      </c>
      <c r="C1622" s="4" t="str">
        <f>IFERROR(__xludf.DUMMYFUNCTION("GOOGLETRANSLATE(A1622, ""en"", ""hi"")"),"बिकाजी रस्क")</f>
        <v>बिकाजी रस्क</v>
      </c>
      <c r="D1622" s="2" t="s">
        <v>7123</v>
      </c>
      <c r="E1622" s="2" t="s">
        <v>4100</v>
      </c>
      <c r="F1622" s="1">
        <v>3.0</v>
      </c>
      <c r="G1622" s="3" t="s">
        <v>5746</v>
      </c>
    </row>
    <row r="1623">
      <c r="A1623" s="3" t="s">
        <v>7465</v>
      </c>
      <c r="B1623" s="4" t="str">
        <f>IFERROR(__xludf.DUMMYFUNCTION("GOOGLETRANSLATE(A1623, ""en"", ""te"")"),"మెథి తేప్లా")</f>
        <v>మెథి తేప్లా</v>
      </c>
      <c r="C1623" s="4" t="str">
        <f>IFERROR(__xludf.DUMMYFUNCTION("GOOGLETRANSLATE(A1623, ""en"", ""hi"")"),"मेथी थेपला")</f>
        <v>मेथी थेपला</v>
      </c>
      <c r="D1623" s="5"/>
      <c r="E1623" s="2" t="s">
        <v>2649</v>
      </c>
      <c r="F1623" s="1">
        <v>3.0</v>
      </c>
      <c r="G1623" s="3" t="s">
        <v>5752</v>
      </c>
    </row>
    <row r="1624">
      <c r="A1624" s="3" t="s">
        <v>7466</v>
      </c>
      <c r="B1624" s="4" t="str">
        <f>IFERROR(__xludf.DUMMYFUNCTION("GOOGLETRANSLATE(A1624, ""en"", ""te"")"),"దేశీ మసాలా పారా")</f>
        <v>దేశీ మసాలా పారా</v>
      </c>
      <c r="C1624" s="4" t="str">
        <f>IFERROR(__xludf.DUMMYFUNCTION("GOOGLETRANSLATE(A1624, ""en"", ""hi"")"),"देसी मसाला पारा")</f>
        <v>देसी मसाला पारा</v>
      </c>
      <c r="D1624" s="5"/>
      <c r="E1624" s="2" t="s">
        <v>442</v>
      </c>
      <c r="F1624" s="1">
        <v>3.0</v>
      </c>
      <c r="G1624" s="3" t="s">
        <v>5752</v>
      </c>
    </row>
    <row r="1625">
      <c r="A1625" s="3" t="s">
        <v>7467</v>
      </c>
      <c r="B1625" s="4" t="str">
        <f>IFERROR(__xludf.DUMMYFUNCTION("GOOGLETRANSLATE(A1625, ""en"", ""te"")"),"దేశీ మసాలా పాపడి")</f>
        <v>దేశీ మసాలా పాపడి</v>
      </c>
      <c r="C1625" s="4" t="str">
        <f>IFERROR(__xludf.DUMMYFUNCTION("GOOGLETRANSLATE(A1625, ""en"", ""hi"")"),"देसी मसाला पापड़ी")</f>
        <v>देसी मसाला पापड़ी</v>
      </c>
      <c r="D1625" s="5"/>
      <c r="E1625" s="2" t="s">
        <v>442</v>
      </c>
      <c r="F1625" s="1">
        <v>3.0</v>
      </c>
      <c r="G1625" s="3" t="s">
        <v>5752</v>
      </c>
    </row>
    <row r="1626">
      <c r="A1626" s="3" t="s">
        <v>7468</v>
      </c>
      <c r="B1626" s="4" t="str">
        <f>IFERROR(__xludf.DUMMYFUNCTION("GOOGLETRANSLATE(A1626, ""en"", ""te"")"),"దేశీ పాపడి")</f>
        <v>దేశీ పాపడి</v>
      </c>
      <c r="C1626" s="4" t="str">
        <f>IFERROR(__xludf.DUMMYFUNCTION("GOOGLETRANSLATE(A1626, ""en"", ""hi"")"),"देसी पापड़ी")</f>
        <v>देसी पापड़ी</v>
      </c>
      <c r="D1626" s="2" t="s">
        <v>4403</v>
      </c>
      <c r="E1626" s="2" t="s">
        <v>442</v>
      </c>
      <c r="F1626" s="1">
        <v>3.0</v>
      </c>
      <c r="G1626" s="3" t="s">
        <v>5752</v>
      </c>
    </row>
    <row r="1627">
      <c r="A1627" s="3" t="s">
        <v>7469</v>
      </c>
      <c r="B1627" s="4" t="str">
        <f>IFERROR(__xludf.DUMMYFUNCTION("GOOGLETRANSLATE(A1627, ""en"", ""te"")"),"జాబ్సన్స్ పీనట్స్")</f>
        <v>జాబ్సన్స్ పీనట్స్</v>
      </c>
      <c r="C1627" s="4" t="str">
        <f>IFERROR(__xludf.DUMMYFUNCTION("GOOGLETRANSLATE(A1627, ""en"", ""hi"")"),"जैब्सन मूंगफली")</f>
        <v>जैब्सन मूंगफली</v>
      </c>
      <c r="D1627" s="2" t="s">
        <v>945</v>
      </c>
      <c r="E1627" s="2" t="s">
        <v>2700</v>
      </c>
      <c r="F1627" s="1">
        <v>3.0</v>
      </c>
      <c r="G1627" s="3" t="s">
        <v>5756</v>
      </c>
    </row>
    <row r="1628">
      <c r="A1628" s="3" t="s">
        <v>7470</v>
      </c>
      <c r="B1628" s="4" t="str">
        <f>IFERROR(__xludf.DUMMYFUNCTION("GOOGLETRANSLATE(A1628, ""en"", ""te"")"),"చిక్కీ రోల్స్")</f>
        <v>చిక్కీ రోల్స్</v>
      </c>
      <c r="C1628" s="4" t="str">
        <f>IFERROR(__xludf.DUMMYFUNCTION("GOOGLETRANSLATE(A1628, ""en"", ""hi"")"),"चिक्की रोल्स")</f>
        <v>चिक्की रोल्स</v>
      </c>
      <c r="D1628" s="2" t="s">
        <v>7200</v>
      </c>
      <c r="E1628" s="2" t="s">
        <v>1294</v>
      </c>
      <c r="F1628" s="1">
        <v>3.0</v>
      </c>
      <c r="G1628" s="3" t="s">
        <v>5761</v>
      </c>
    </row>
    <row r="1629">
      <c r="A1629" s="3" t="s">
        <v>7471</v>
      </c>
      <c r="B1629" s="4" t="str">
        <f>IFERROR(__xludf.DUMMYFUNCTION("GOOGLETRANSLATE(A1629, ""en"", ""te"")"),"టి&amp;జి లడ్డు")</f>
        <v>టి&amp;జి లడ్డు</v>
      </c>
      <c r="C1629" s="4" t="str">
        <f>IFERROR(__xludf.DUMMYFUNCTION("GOOGLETRANSLATE(A1629, ""en"", ""hi"")"),"टी एंड जी लड्डू")</f>
        <v>टी एंड जी लड्डू</v>
      </c>
      <c r="D1629" s="5"/>
      <c r="E1629" s="2" t="s">
        <v>3438</v>
      </c>
      <c r="F1629" s="1">
        <v>3.0</v>
      </c>
      <c r="G1629" s="3" t="s">
        <v>5761</v>
      </c>
    </row>
    <row r="1630">
      <c r="A1630" s="3" t="s">
        <v>7472</v>
      </c>
      <c r="B1630" s="4" t="str">
        <f>IFERROR(__xludf.DUMMYFUNCTION("GOOGLETRANSLATE(A1630, ""en"", ""te"")"),"హల్దీరామ్ దాల్ బిజి")</f>
        <v>హల్దీరామ్ దాల్ బిజి</v>
      </c>
      <c r="C1630" s="4" t="str">
        <f>IFERROR(__xludf.DUMMYFUNCTION("GOOGLETRANSLATE(A1630, ""en"", ""hi"")"),"हल्दीराम की दाल बीजी")</f>
        <v>हल्दीराम की दाल बीजी</v>
      </c>
      <c r="D1630" s="2" t="s">
        <v>3379</v>
      </c>
      <c r="E1630" s="2" t="s">
        <v>1038</v>
      </c>
      <c r="F1630" s="1">
        <v>3.0</v>
      </c>
      <c r="G1630" s="3" t="s">
        <v>5761</v>
      </c>
    </row>
    <row r="1631">
      <c r="A1631" s="3" t="s">
        <v>7473</v>
      </c>
      <c r="B1631" s="4" t="str">
        <f>IFERROR(__xludf.DUMMYFUNCTION("GOOGLETRANSLATE(A1631, ""en"", ""te"")"),"లక్ష్మి బాదంపప్పులు")</f>
        <v>లక్ష్మి బాదంపప్పులు</v>
      </c>
      <c r="C1631" s="4" t="str">
        <f>IFERROR(__xludf.DUMMYFUNCTION("GOOGLETRANSLATE(A1631, ""en"", ""hi"")"),"लक्ष्मी बादाम")</f>
        <v>लक्ष्मी बादाम</v>
      </c>
      <c r="D1631" s="2" t="s">
        <v>7270</v>
      </c>
      <c r="E1631" s="2" t="s">
        <v>2700</v>
      </c>
      <c r="F1631" s="1">
        <v>3.0</v>
      </c>
      <c r="G1631" s="3" t="s">
        <v>7462</v>
      </c>
    </row>
    <row r="1632">
      <c r="A1632" s="3" t="s">
        <v>7474</v>
      </c>
      <c r="B1632" s="4" t="str">
        <f>IFERROR(__xludf.DUMMYFUNCTION("GOOGLETRANSLATE(A1632, ""en"", ""te"")"),"లక్ష్మి పూర్తి బాదం పప్పులు")</f>
        <v>లక్ష్మి పూర్తి బాదం పప్పులు</v>
      </c>
      <c r="C1632" s="4" t="str">
        <f>IFERROR(__xludf.DUMMYFUNCTION("GOOGLETRANSLATE(A1632, ""en"", ""hi"")"),"लक्ष्मी साबुत बादाम")</f>
        <v>लक्ष्मी साबुत बादाम</v>
      </c>
      <c r="D1632" s="2" t="s">
        <v>7270</v>
      </c>
      <c r="E1632" s="2" t="s">
        <v>2700</v>
      </c>
      <c r="F1632" s="1">
        <v>3.0</v>
      </c>
      <c r="G1632" s="3" t="s">
        <v>7462</v>
      </c>
    </row>
    <row r="1633">
      <c r="A1633" s="3" t="s">
        <v>7475</v>
      </c>
      <c r="B1633" s="4" t="str">
        <f>IFERROR(__xludf.DUMMYFUNCTION("GOOGLETRANSLATE(A1633, ""en"", ""te"")"),"షాద్ పూర్తి బాదంపప్పులు")</f>
        <v>షాద్ పూర్తి బాదంపప్పులు</v>
      </c>
      <c r="C1633" s="4" t="str">
        <f>IFERROR(__xludf.DUMMYFUNCTION("GOOGLETRANSLATE(A1633, ""en"", ""hi"")"),"शाहद साबुत बादाम")</f>
        <v>शाहद साबुत बादाम</v>
      </c>
      <c r="D1633" s="2" t="s">
        <v>7447</v>
      </c>
      <c r="E1633" s="2" t="s">
        <v>2700</v>
      </c>
      <c r="F1633" s="1">
        <v>3.0</v>
      </c>
      <c r="G1633" s="3" t="s">
        <v>7462</v>
      </c>
    </row>
    <row r="1634">
      <c r="A1634" s="3" t="s">
        <v>7476</v>
      </c>
      <c r="B1634" s="4" t="str">
        <f>IFERROR(__xludf.DUMMYFUNCTION("GOOGLETRANSLATE(A1634, ""en"", ""te"")"),"ఎండిన ఆప్రికాట్లు")</f>
        <v>ఎండిన ఆప్రికాట్లు</v>
      </c>
      <c r="C1634" s="4" t="str">
        <f>IFERROR(__xludf.DUMMYFUNCTION("GOOGLETRANSLATE(A1634, ""en"", ""hi"")"),"सूखे खुबानी")</f>
        <v>सूखे खुबानी</v>
      </c>
      <c r="D1634" s="5"/>
      <c r="E1634" s="2" t="s">
        <v>2700</v>
      </c>
      <c r="F1634" s="1">
        <v>3.0</v>
      </c>
      <c r="G1634" s="3" t="s">
        <v>7462</v>
      </c>
    </row>
    <row r="1635">
      <c r="A1635" s="3" t="s">
        <v>7477</v>
      </c>
      <c r="B1635" s="4" t="str">
        <f>IFERROR(__xludf.DUMMYFUNCTION("GOOGLETRANSLATE(A1635, ""en"", ""te"")"),"జాబ్సన్స్")</f>
        <v>జాబ్సన్స్</v>
      </c>
      <c r="C1635" s="4" t="str">
        <f>IFERROR(__xludf.DUMMYFUNCTION("GOOGLETRANSLATE(A1635, ""en"", ""hi"")"),"जैब्सन्स")</f>
        <v>जैब्सन्स</v>
      </c>
      <c r="D1635" s="5"/>
      <c r="E1635" s="2" t="s">
        <v>2279</v>
      </c>
      <c r="F1635" s="1">
        <v>3.0</v>
      </c>
      <c r="G1635" s="3" t="s">
        <v>7462</v>
      </c>
    </row>
    <row r="1636">
      <c r="A1636" s="3" t="s">
        <v>7478</v>
      </c>
      <c r="B1636" s="4" t="str">
        <f>IFERROR(__xludf.DUMMYFUNCTION("GOOGLETRANSLATE(A1636, ""en"", ""te"")"),"BE CORN CHIWDA")</f>
        <v>BE CORN CHIWDA</v>
      </c>
      <c r="C1636" s="4" t="str">
        <f>IFERROR(__xludf.DUMMYFUNCTION("GOOGLETRANSLATE(A1636, ""en"", ""hi"")"),"बी कॉर्न चिवड़ा")</f>
        <v>बी कॉर्न चिवड़ा</v>
      </c>
      <c r="D1636" s="5"/>
      <c r="E1636" s="2" t="s">
        <v>1294</v>
      </c>
      <c r="F1636" s="1">
        <v>3.0</v>
      </c>
      <c r="G1636" s="3" t="s">
        <v>7462</v>
      </c>
    </row>
    <row r="1637">
      <c r="A1637" s="3" t="s">
        <v>1523</v>
      </c>
      <c r="B1637" s="4" t="str">
        <f>IFERROR(__xludf.DUMMYFUNCTION("GOOGLETRANSLATE(A1637, ""en"", ""te"")"),"బ్రిటానియా మేరీ గోల్డ్")</f>
        <v>బ్రిటానియా మేరీ గోల్డ్</v>
      </c>
      <c r="C1637" s="4" t="str">
        <f>IFERROR(__xludf.DUMMYFUNCTION("GOOGLETRANSLATE(A1637, ""en"", ""hi"")"),"ब्रिटानिया मैरी गोल्ड")</f>
        <v>ब्रिटानिया मैरी गोल्ड</v>
      </c>
      <c r="D1637" s="2" t="s">
        <v>4099</v>
      </c>
      <c r="E1637" s="2" t="s">
        <v>4100</v>
      </c>
      <c r="F1637" s="1">
        <v>3.0</v>
      </c>
      <c r="G1637" s="3" t="s">
        <v>7479</v>
      </c>
    </row>
    <row r="1638">
      <c r="A1638" s="3" t="s">
        <v>7480</v>
      </c>
      <c r="B1638" s="4" t="str">
        <f>IFERROR(__xludf.DUMMYFUNCTION("GOOGLETRANSLATE(A1638, ""en"", ""te"")"),"చికిత్స")</f>
        <v>చికిత్స</v>
      </c>
      <c r="C1638" s="4" t="str">
        <f>IFERROR(__xludf.DUMMYFUNCTION("GOOGLETRANSLATE(A1638, ""en"", ""hi"")"),"इलाज")</f>
        <v>इलाज</v>
      </c>
      <c r="D1638" s="5"/>
      <c r="E1638" s="2" t="s">
        <v>1294</v>
      </c>
      <c r="F1638" s="1">
        <v>3.0</v>
      </c>
      <c r="G1638" s="3" t="s">
        <v>7479</v>
      </c>
    </row>
    <row r="1639">
      <c r="A1639" s="3" t="s">
        <v>7481</v>
      </c>
      <c r="B1639" s="4" t="str">
        <f>IFERROR(__xludf.DUMMYFUNCTION("GOOGLETRANSLATE(A1639, ""en"", ""te"")"),"బికాజీ మిల్క్ రస్క్")</f>
        <v>బికాజీ మిల్క్ రస్క్</v>
      </c>
      <c r="C1639" s="4" t="str">
        <f>IFERROR(__xludf.DUMMYFUNCTION("GOOGLETRANSLATE(A1639, ""en"", ""hi"")"),"बिकाजी मिल्क रस्क")</f>
        <v>बिकाजी मिल्क रस्क</v>
      </c>
      <c r="D1639" s="2" t="s">
        <v>7123</v>
      </c>
      <c r="E1639" s="2" t="s">
        <v>4100</v>
      </c>
      <c r="F1639" s="1">
        <v>3.0</v>
      </c>
      <c r="G1639" s="3" t="s">
        <v>5746</v>
      </c>
    </row>
    <row r="1640">
      <c r="A1640" s="3" t="s">
        <v>7482</v>
      </c>
      <c r="B1640" s="4" t="str">
        <f>IFERROR(__xludf.DUMMYFUNCTION("GOOGLETRANSLATE(A1640, ""en"", ""te"")"),"బికాజీ ప్రీమియం సుజీ రస్క్")</f>
        <v>బికాజీ ప్రీమియం సుజీ రస్క్</v>
      </c>
      <c r="C1640" s="4" t="str">
        <f>IFERROR(__xludf.DUMMYFUNCTION("GOOGLETRANSLATE(A1640, ""en"", ""hi"")"),"बिकाजी प्रीमियम सूजी रस्क")</f>
        <v>बिकाजी प्रीमियम सूजी रस्क</v>
      </c>
      <c r="D1640" s="2" t="s">
        <v>7483</v>
      </c>
      <c r="E1640" s="2" t="s">
        <v>2649</v>
      </c>
      <c r="F1640" s="1">
        <v>3.0</v>
      </c>
      <c r="G1640" s="3" t="s">
        <v>5746</v>
      </c>
    </row>
    <row r="1641">
      <c r="A1641" s="3" t="s">
        <v>7484</v>
      </c>
      <c r="B1641" s="4" t="str">
        <f>IFERROR(__xludf.DUMMYFUNCTION("GOOGLETRANSLATE(A1641, ""en"", ""te"")"),"డీప్ మసాలా పారా")</f>
        <v>డీప్ మసాలా పారా</v>
      </c>
      <c r="C1641" s="4" t="str">
        <f>IFERROR(__xludf.DUMMYFUNCTION("GOOGLETRANSLATE(A1641, ""en"", ""hi"")"),"डीप मसाला पारा")</f>
        <v>डीप मसाला पारा</v>
      </c>
      <c r="D1641" s="5"/>
      <c r="E1641" s="2" t="s">
        <v>442</v>
      </c>
      <c r="F1641" s="1">
        <v>3.0</v>
      </c>
      <c r="G1641" s="3" t="s">
        <v>5752</v>
      </c>
    </row>
    <row r="1642">
      <c r="A1642" s="3" t="s">
        <v>7485</v>
      </c>
      <c r="B1642" s="4" t="str">
        <f>IFERROR(__xludf.DUMMYFUNCTION("GOOGLETRANSLATE(A1642, ""en"", ""te"")"),"డీప్ మసాలా పాపడి")</f>
        <v>డీప్ మసాలా పాపడి</v>
      </c>
      <c r="C1642" s="4" t="str">
        <f>IFERROR(__xludf.DUMMYFUNCTION("GOOGLETRANSLATE(A1642, ""en"", ""hi"")"),"डीप मसाला पापड़ी")</f>
        <v>डीप मसाला पापड़ी</v>
      </c>
      <c r="D1642" s="2" t="s">
        <v>7486</v>
      </c>
      <c r="E1642" s="2" t="s">
        <v>442</v>
      </c>
      <c r="F1642" s="1">
        <v>3.0</v>
      </c>
      <c r="G1642" s="3" t="s">
        <v>5752</v>
      </c>
    </row>
    <row r="1643">
      <c r="A1643" s="3" t="s">
        <v>7487</v>
      </c>
      <c r="B1643" s="4" t="str">
        <f>IFERROR(__xludf.DUMMYFUNCTION("GOOGLETRANSLATE(A1643, ""en"", ""te"")"),"డీప్ పాపడి సాంప్రదాయ శనగపిండి క్రిస్ప్స్")</f>
        <v>డీప్ పాపడి సాంప్రదాయ శనగపిండి క్రిస్ప్స్</v>
      </c>
      <c r="C1643" s="4" t="str">
        <f>IFERROR(__xludf.DUMMYFUNCTION("GOOGLETRANSLATE(A1643, ""en"", ""hi"")"),"डीप पापड़ी ट्रेडिशनल चने के आटे के क्रिस्प्स")</f>
        <v>डीप पापड़ी ट्रेडिशनल चने के आटे के क्रिस्प्स</v>
      </c>
      <c r="D1643" s="5"/>
      <c r="E1643" s="2" t="s">
        <v>2700</v>
      </c>
      <c r="F1643" s="1">
        <v>3.0</v>
      </c>
      <c r="G1643" s="3" t="s">
        <v>5425</v>
      </c>
    </row>
    <row r="1644">
      <c r="A1644" s="3" t="s">
        <v>7488</v>
      </c>
      <c r="B1644" s="4" t="str">
        <f>IFERROR(__xludf.DUMMYFUNCTION("GOOGLETRANSLATE(A1644, ""en"", ""te"")"),"డీప్ ఫాఫ్డా")</f>
        <v>డీప్ ఫాఫ్డా</v>
      </c>
      <c r="C1644" s="4" t="str">
        <f>IFERROR(__xludf.DUMMYFUNCTION("GOOGLETRANSLATE(A1644, ""en"", ""hi"")"),"डीप फाफड़ा")</f>
        <v>डीप फाफड़ा</v>
      </c>
      <c r="D1644" s="2" t="s">
        <v>3484</v>
      </c>
      <c r="E1644" s="2" t="s">
        <v>2649</v>
      </c>
      <c r="F1644" s="1">
        <v>3.0</v>
      </c>
      <c r="G1644" s="3" t="s">
        <v>5425</v>
      </c>
    </row>
    <row r="1645">
      <c r="A1645" s="3" t="s">
        <v>7489</v>
      </c>
      <c r="B1645" s="4" t="str">
        <f>IFERROR(__xludf.DUMMYFUNCTION("GOOGLETRANSLATE(A1645, ""en"", ""te"")"),"జాబ్సన్స్ తందూరి వేయించిన వేరుశెనగలు")</f>
        <v>జాబ్సన్స్ తందూరి వేయించిన వేరుశెనగలు</v>
      </c>
      <c r="C1645" s="4" t="str">
        <f>IFERROR(__xludf.DUMMYFUNCTION("GOOGLETRANSLATE(A1645, ""en"", ""hi"")"),"जैब्सन्स तंदूरी भुनी हुई मूंगफली")</f>
        <v>जैब्सन्स तंदूरी भुनी हुई मूंगफली</v>
      </c>
      <c r="D1645" s="2" t="s">
        <v>945</v>
      </c>
      <c r="E1645" s="2" t="s">
        <v>1294</v>
      </c>
      <c r="F1645" s="1">
        <v>3.0</v>
      </c>
      <c r="G1645" s="3" t="s">
        <v>5756</v>
      </c>
    </row>
    <row r="1646">
      <c r="A1646" s="3" t="s">
        <v>7490</v>
      </c>
      <c r="B1646" s="4" t="str">
        <f>IFERROR(__xludf.DUMMYFUNCTION("GOOGLETRANSLATE(A1646, ""en"", ""te"")"),"జాబ్సన్స్ వేయించిన వేరుశెనగలు నల్ల మిరియాలు")</f>
        <v>జాబ్సన్స్ వేయించిన వేరుశెనగలు నల్ల మిరియాలు</v>
      </c>
      <c r="C1646" s="4" t="str">
        <f>IFERROR(__xludf.DUMMYFUNCTION("GOOGLETRANSLATE(A1646, ""en"", ""hi"")"),"जैब्सन्स रोस्टेड पीनट्स ब्लैक पेपर")</f>
        <v>जैब्सन्स रोस्टेड पीनट्स ब्लैक पेपर</v>
      </c>
      <c r="D1646" s="2" t="s">
        <v>945</v>
      </c>
      <c r="E1646" s="2" t="s">
        <v>1294</v>
      </c>
      <c r="F1646" s="1">
        <v>3.0</v>
      </c>
      <c r="G1646" s="3" t="s">
        <v>5756</v>
      </c>
    </row>
    <row r="1647">
      <c r="A1647" s="3" t="s">
        <v>7491</v>
      </c>
      <c r="B1647" s="4" t="str">
        <f>IFERROR(__xludf.DUMMYFUNCTION("GOOGLETRANSLATE(A1647, ""en"", ""te"")"),"జాబ్సన్స్ వేయించిన వేరుశెనగలు")</f>
        <v>జాబ్సన్స్ వేయించిన వేరుశెనగలు</v>
      </c>
      <c r="C1647" s="4" t="str">
        <f>IFERROR(__xludf.DUMMYFUNCTION("GOOGLETRANSLATE(A1647, ""en"", ""hi"")"),"जैब्सन्स रोस्टेड पीनट्स")</f>
        <v>जैब्सन्स रोस्टेड पीनट्स</v>
      </c>
      <c r="D1647" s="2" t="s">
        <v>945</v>
      </c>
      <c r="E1647" s="2" t="s">
        <v>1294</v>
      </c>
      <c r="F1647" s="1">
        <v>3.0</v>
      </c>
      <c r="G1647" s="3" t="s">
        <v>5756</v>
      </c>
    </row>
    <row r="1648">
      <c r="A1648" s="3" t="s">
        <v>7492</v>
      </c>
      <c r="B1648" s="4" t="str">
        <f>IFERROR(__xludf.DUMMYFUNCTION("GOOGLETRANSLATE(A1648, ""en"", ""te"")"),"జాబ్సన్స్ చిల్లీ 'ఎన్' గార్లిక్ చనా")</f>
        <v>జాబ్సన్స్ చిల్లీ 'ఎన్' గార్లిక్ చనా</v>
      </c>
      <c r="C1648" s="4" t="str">
        <f>IFERROR(__xludf.DUMMYFUNCTION("GOOGLETRANSLATE(A1648, ""en"", ""hi"")"),"जैब्सन्स चिली 'एन' गार्लिक चना")</f>
        <v>जैब्सन्स चिली 'एन' गार्लिक चना</v>
      </c>
      <c r="D1648" s="2" t="s">
        <v>7493</v>
      </c>
      <c r="E1648" s="2" t="s">
        <v>1038</v>
      </c>
      <c r="F1648" s="1">
        <v>3.0</v>
      </c>
      <c r="G1648" s="3" t="s">
        <v>5756</v>
      </c>
    </row>
    <row r="1649">
      <c r="A1649" s="3" t="s">
        <v>7494</v>
      </c>
      <c r="B1649" s="4" t="str">
        <f>IFERROR(__xludf.DUMMYFUNCTION("GOOGLETRANSLATE(A1649, ""en"", ""te"")"),"జాబ్సన్స్ లెమన్ 'ఎన్' మింట్ చనా")</f>
        <v>జాబ్సన్స్ లెమన్ 'ఎన్' మింట్ చనా</v>
      </c>
      <c r="C1649" s="4" t="str">
        <f>IFERROR(__xludf.DUMMYFUNCTION("GOOGLETRANSLATE(A1649, ""en"", ""hi"")"),"जैब्सन्स लेमन 'एन' मिंट चना")</f>
        <v>जैब्सन्स लेमन 'एन' मिंट चना</v>
      </c>
      <c r="D1649" s="2" t="s">
        <v>1036</v>
      </c>
      <c r="E1649" s="2" t="s">
        <v>1038</v>
      </c>
      <c r="F1649" s="1">
        <v>3.0</v>
      </c>
      <c r="G1649" s="3" t="s">
        <v>5428</v>
      </c>
    </row>
    <row r="1650">
      <c r="A1650" s="3" t="s">
        <v>7495</v>
      </c>
      <c r="B1650" s="4" t="str">
        <f>IFERROR(__xludf.DUMMYFUNCTION("GOOGLETRANSLATE(A1650, ""en"", ""te"")"),"జాబ్సన్స్ నింబూ పుదీనా చనా")</f>
        <v>జాబ్సన్స్ నింబూ పుదీనా చనా</v>
      </c>
      <c r="C1650" s="4" t="str">
        <f>IFERROR(__xludf.DUMMYFUNCTION("GOOGLETRANSLATE(A1650, ""en"", ""hi"")"),"जैब्सन्स निम्बू पुदीना चना")</f>
        <v>जैब्सन्स निम्बू पुदीना चना</v>
      </c>
      <c r="D1650" s="2" t="s">
        <v>1036</v>
      </c>
      <c r="E1650" s="2" t="s">
        <v>1038</v>
      </c>
      <c r="F1650" s="1">
        <v>3.0</v>
      </c>
      <c r="G1650" s="3" t="s">
        <v>5428</v>
      </c>
    </row>
    <row r="1651">
      <c r="A1651" s="3" t="s">
        <v>7496</v>
      </c>
      <c r="B1651" s="4" t="str">
        <f>IFERROR(__xludf.DUMMYFUNCTION("GOOGLETRANSLATE(A1651, ""en"", ""te"")"),"లక్ష్మి టిల్ చిక్కీ")</f>
        <v>లక్ష్మి టిల్ చిక్కీ</v>
      </c>
      <c r="C1651" s="4" t="str">
        <f>IFERROR(__xludf.DUMMYFUNCTION("GOOGLETRANSLATE(A1651, ""en"", ""hi"")"),"लक्ष्मी तिल चिक्की")</f>
        <v>लक्ष्मी तिल चिक्की</v>
      </c>
      <c r="D1651" s="5"/>
      <c r="E1651" s="2" t="s">
        <v>2700</v>
      </c>
      <c r="F1651" s="1">
        <v>3.0</v>
      </c>
      <c r="G1651" s="3" t="s">
        <v>5761</v>
      </c>
    </row>
    <row r="1652">
      <c r="A1652" s="3" t="s">
        <v>7497</v>
      </c>
      <c r="B1652" s="4" t="str">
        <f>IFERROR(__xludf.DUMMYFUNCTION("GOOGLETRANSLATE(A1652, ""en"", ""te"")"),"జియా యొక్క ఉడికించిన వేరుశెనగలు")</f>
        <v>జియా యొక్క ఉడికించిన వేరుశెనగలు</v>
      </c>
      <c r="C1652" s="4" t="str">
        <f>IFERROR(__xludf.DUMMYFUNCTION("GOOGLETRANSLATE(A1652, ""en"", ""hi"")"),"जिया की उबली हुई मूंगफली")</f>
        <v>जिया की उबली हुई मूंगफली</v>
      </c>
      <c r="D1652" s="2" t="s">
        <v>945</v>
      </c>
      <c r="E1652" s="2" t="s">
        <v>2700</v>
      </c>
      <c r="F1652" s="1">
        <v>3.0</v>
      </c>
      <c r="G1652" s="3" t="s">
        <v>5761</v>
      </c>
    </row>
    <row r="1653">
      <c r="A1653" s="3" t="s">
        <v>7498</v>
      </c>
      <c r="B1653" s="4" t="str">
        <f>IFERROR(__xludf.DUMMYFUNCTION("GOOGLETRANSLATE(A1653, ""en"", ""te"")"),"శ్వేత వేరుశెనగ చిక్కీ బాల్స్")</f>
        <v>శ్వేత వేరుశెనగ చిక్కీ బాల్స్</v>
      </c>
      <c r="C1653" s="4" t="str">
        <f>IFERROR(__xludf.DUMMYFUNCTION("GOOGLETRANSLATE(A1653, ""en"", ""hi"")"),"श्वेता पीनट चिक्की बॉल्स")</f>
        <v>श्वेता पीनट चिक्की बॉल्स</v>
      </c>
      <c r="D1653" s="2" t="s">
        <v>945</v>
      </c>
      <c r="E1653" s="2" t="s">
        <v>2700</v>
      </c>
      <c r="F1653" s="1">
        <v>3.0</v>
      </c>
      <c r="G1653" s="3" t="s">
        <v>5428</v>
      </c>
    </row>
    <row r="1654">
      <c r="A1654" s="3" t="s">
        <v>7499</v>
      </c>
      <c r="B1654" s="4" t="str">
        <f>IFERROR(__xludf.DUMMYFUNCTION("GOOGLETRANSLATE(A1654, ""en"", ""te"")"),"శ్వేత పీనట్ చిక్కీ బార్")</f>
        <v>శ్వేత పీనట్ చిక్కీ బార్</v>
      </c>
      <c r="C1654" s="4" t="str">
        <f>IFERROR(__xludf.DUMMYFUNCTION("GOOGLETRANSLATE(A1654, ""en"", ""hi"")"),"श्वेता पीनट चिक्की बार")</f>
        <v>श्वेता पीनट चिक्की बार</v>
      </c>
      <c r="D1654" s="5"/>
      <c r="E1654" s="2" t="s">
        <v>3438</v>
      </c>
      <c r="F1654" s="1">
        <v>3.0</v>
      </c>
      <c r="G1654" s="3" t="s">
        <v>5428</v>
      </c>
    </row>
    <row r="1655">
      <c r="A1655" s="3" t="s">
        <v>7500</v>
      </c>
      <c r="B1655" s="4" t="str">
        <f>IFERROR(__xludf.DUMMYFUNCTION("GOOGLETRANSLATE(A1655, ""en"", ""te"")"),"డీప్ సెసేమ్ చిక్కీ")</f>
        <v>డీప్ సెసేమ్ చిక్కీ</v>
      </c>
      <c r="C1655" s="4" t="str">
        <f>IFERROR(__xludf.DUMMYFUNCTION("GOOGLETRANSLATE(A1655, ""en"", ""hi"")"),"डीप तिल चिक्की")</f>
        <v>डीप तिल चिक्की</v>
      </c>
      <c r="D1655" s="2" t="s">
        <v>7501</v>
      </c>
      <c r="E1655" s="2" t="s">
        <v>3438</v>
      </c>
      <c r="F1655" s="1">
        <v>3.0</v>
      </c>
      <c r="G1655" s="3" t="s">
        <v>5428</v>
      </c>
    </row>
    <row r="1656">
      <c r="A1656" s="3" t="s">
        <v>7502</v>
      </c>
      <c r="B1656" s="4" t="str">
        <f>IFERROR(__xludf.DUMMYFUNCTION("GOOGLETRANSLATE(A1656, ""en"", ""te"")"),"దీప్ మసాలా పారా")</f>
        <v>దీప్ మసాలా పారా</v>
      </c>
      <c r="C1656" s="4" t="str">
        <f>IFERROR(__xludf.DUMMYFUNCTION("GOOGLETRANSLATE(A1656, ""en"", ""hi"")"),"दीप मसाला पारा")</f>
        <v>दीप मसाला पारा</v>
      </c>
      <c r="D1656" s="5"/>
      <c r="E1656" s="2" t="s">
        <v>442</v>
      </c>
      <c r="F1656" s="1">
        <v>3.0</v>
      </c>
      <c r="G1656" s="3" t="s">
        <v>7503</v>
      </c>
    </row>
    <row r="1657">
      <c r="A1657" s="3" t="s">
        <v>7504</v>
      </c>
      <c r="B1657" s="4" t="str">
        <f>IFERROR(__xludf.DUMMYFUNCTION("GOOGLETRANSLATE(A1657, ""en"", ""te"")"),"దీప్ పాపడి")</f>
        <v>దీప్ పాపడి</v>
      </c>
      <c r="C1657" s="4" t="str">
        <f>IFERROR(__xludf.DUMMYFUNCTION("GOOGLETRANSLATE(A1657, ""en"", ""hi"")"),"दीप पापड़ी")</f>
        <v>दीप पापड़ी</v>
      </c>
      <c r="D1657" s="5"/>
      <c r="E1657" s="2" t="s">
        <v>1294</v>
      </c>
      <c r="F1657" s="1">
        <v>3.0</v>
      </c>
      <c r="G1657" s="3" t="s">
        <v>5425</v>
      </c>
    </row>
    <row r="1658">
      <c r="A1658" s="3" t="s">
        <v>7505</v>
      </c>
      <c r="B1658" s="4" t="str">
        <f>IFERROR(__xludf.DUMMYFUNCTION("GOOGLETRANSLATE(A1658, ""en"", ""te"")"),"జాబ్సన్స్ లెమన్ &amp; మింట్ చనా")</f>
        <v>జాబ్సన్స్ లెమన్ &amp; మింట్ చనా</v>
      </c>
      <c r="C1658" s="4" t="str">
        <f>IFERROR(__xludf.DUMMYFUNCTION("GOOGLETRANSLATE(A1658, ""en"", ""hi"")"),"जैब्सन्स लेमन और मिंट चना")</f>
        <v>जैब्सन्स लेमन और मिंट चना</v>
      </c>
      <c r="D1658" s="2" t="s">
        <v>1036</v>
      </c>
      <c r="E1658" s="2" t="s">
        <v>1038</v>
      </c>
      <c r="F1658" s="1">
        <v>3.0</v>
      </c>
      <c r="G1658" s="3" t="s">
        <v>5428</v>
      </c>
    </row>
    <row r="1659">
      <c r="A1659" s="3" t="s">
        <v>7506</v>
      </c>
      <c r="B1659" s="4" t="str">
        <f>IFERROR(__xludf.DUMMYFUNCTION("GOOGLETRANSLATE(A1659, ""en"", ""te"")"),"జాబ్సన్స్ హింగ్ జీరా చనా")</f>
        <v>జాబ్సన్స్ హింగ్ జీరా చనా</v>
      </c>
      <c r="C1659" s="4" t="str">
        <f>IFERROR(__xludf.DUMMYFUNCTION("GOOGLETRANSLATE(A1659, ""en"", ""hi"")"),"जैब्सन्स हींग जीरा चना")</f>
        <v>जैब्सन्स हींग जीरा चना</v>
      </c>
      <c r="D1659" s="2" t="s">
        <v>3861</v>
      </c>
      <c r="E1659" s="2" t="s">
        <v>1038</v>
      </c>
      <c r="F1659" s="1">
        <v>3.0</v>
      </c>
      <c r="G1659" s="3" t="s">
        <v>5428</v>
      </c>
    </row>
    <row r="1660">
      <c r="A1660" s="3" t="s">
        <v>7507</v>
      </c>
      <c r="B1660" s="4" t="str">
        <f>IFERROR(__xludf.DUMMYFUNCTION("GOOGLETRANSLATE(A1660, ""en"", ""te"")"),"జలరం స్నాక్స్")</f>
        <v>జలరం స్నాక్స్</v>
      </c>
      <c r="C1660" s="4" t="str">
        <f>IFERROR(__xludf.DUMMYFUNCTION("GOOGLETRANSLATE(A1660, ""en"", ""hi"")"),"जलाराम स्नैक्स")</f>
        <v>जलाराम स्नैक्स</v>
      </c>
      <c r="D1660" s="2" t="s">
        <v>7508</v>
      </c>
      <c r="E1660" s="2" t="s">
        <v>1294</v>
      </c>
      <c r="F1660" s="1">
        <v>3.0</v>
      </c>
      <c r="G1660" s="3" t="s">
        <v>5761</v>
      </c>
    </row>
    <row r="1661">
      <c r="A1661" s="3" t="s">
        <v>7509</v>
      </c>
      <c r="B1661" s="4" t="str">
        <f>IFERROR(__xludf.DUMMYFUNCTION("GOOGLETRANSLATE(A1661, ""en"", ""te"")"),"జియాస్ వేయించిన వేరుశెనగలు")</f>
        <v>జియాస్ వేయించిన వేరుశెనగలు</v>
      </c>
      <c r="C1661" s="4" t="str">
        <f>IFERROR(__xludf.DUMMYFUNCTION("GOOGLETRANSLATE(A1661, ""en"", ""hi"")"),"जियास रोस्टेड पीनट्स")</f>
        <v>जियास रोस्टेड पीनट्स</v>
      </c>
      <c r="D1661" s="2" t="s">
        <v>945</v>
      </c>
      <c r="E1661" s="2" t="s">
        <v>1294</v>
      </c>
      <c r="F1661" s="1">
        <v>3.0</v>
      </c>
      <c r="G1661" s="3" t="s">
        <v>5761</v>
      </c>
    </row>
    <row r="1662">
      <c r="A1662" s="3" t="s">
        <v>7510</v>
      </c>
      <c r="B1662" s="4" t="str">
        <f>IFERROR(__xludf.DUMMYFUNCTION("GOOGLETRANSLATE(A1662, ""en"", ""te"")"),"శ్వేత తెలుగు వేరుశెనగ చిక్కి బంతులు")</f>
        <v>శ్వేత తెలుగు వేరుశెనగ చిక్కి బంతులు</v>
      </c>
      <c r="C1662" s="4" t="str">
        <f>IFERROR(__xludf.DUMMYFUNCTION("GOOGLETRANSLATE(A1662, ""en"", ""hi"")"),"स्वेता तेलुगु मूंगफली चिक्की बॉल्स")</f>
        <v>स्वेता तेलुगु मूंगफली चिक्की बॉल्स</v>
      </c>
      <c r="D1662" s="2" t="s">
        <v>7511</v>
      </c>
      <c r="E1662" s="2" t="s">
        <v>3438</v>
      </c>
      <c r="F1662" s="1">
        <v>3.0</v>
      </c>
      <c r="G1662" s="3" t="s">
        <v>5432</v>
      </c>
    </row>
    <row r="1663">
      <c r="A1663" s="3" t="s">
        <v>7512</v>
      </c>
      <c r="B1663" s="4" t="str">
        <f>IFERROR(__xludf.DUMMYFUNCTION("GOOGLETRANSLATE(A1663, ""en"", ""te"")"),"శ్వేత తెలుగు వేరుశెనగ చిక్కి బార్")</f>
        <v>శ్వేత తెలుగు వేరుశెనగ చిక్కి బార్</v>
      </c>
      <c r="C1663" s="4" t="str">
        <f>IFERROR(__xludf.DUMMYFUNCTION("GOOGLETRANSLATE(A1663, ""en"", ""hi"")"),"स्वेता तेलुगु मूंगफली चिक्की बार")</f>
        <v>स्वेता तेलुगु मूंगफली चिक्की बार</v>
      </c>
      <c r="D1663" s="2" t="s">
        <v>7511</v>
      </c>
      <c r="E1663" s="2" t="s">
        <v>3438</v>
      </c>
      <c r="F1663" s="1">
        <v>3.0</v>
      </c>
      <c r="G1663" s="3" t="s">
        <v>5432</v>
      </c>
    </row>
    <row r="1664">
      <c r="A1664" s="3" t="s">
        <v>2790</v>
      </c>
      <c r="B1664" s="4" t="str">
        <f>IFERROR(__xludf.DUMMYFUNCTION("GOOGLETRANSLATE(A1664, ""en"", ""te"")"),"డీప్ సెసేమ్ చిక్కీ")</f>
        <v>డీప్ సెసేమ్ చిక్కీ</v>
      </c>
      <c r="C1664" s="4" t="str">
        <f>IFERROR(__xludf.DUMMYFUNCTION("GOOGLETRANSLATE(A1664, ""en"", ""hi"")"),"डीप सेसम चिक्की")</f>
        <v>डीप सेसम चिक्की</v>
      </c>
      <c r="D1664" s="2" t="s">
        <v>7501</v>
      </c>
      <c r="E1664" s="2" t="s">
        <v>3438</v>
      </c>
      <c r="F1664" s="1">
        <v>3.0</v>
      </c>
      <c r="G1664" s="3" t="s">
        <v>5432</v>
      </c>
    </row>
    <row r="1665">
      <c r="A1665" s="3" t="s">
        <v>7513</v>
      </c>
      <c r="B1665" s="4" t="str">
        <f>IFERROR(__xludf.DUMMYFUNCTION("GOOGLETRANSLATE(A1665, ""en"", ""te"")"),"బాదం పప్పులు (ప్యాకేజీ చేయబడినవి)")</f>
        <v>బాదం పప్పులు (ప్యాకేజీ చేయబడినవి)</v>
      </c>
      <c r="C1665" s="4" t="str">
        <f>IFERROR(__xludf.DUMMYFUNCTION("GOOGLETRANSLATE(A1665, ""en"", ""hi"")"),"बादाम (पैकेटबंद)")</f>
        <v>बादाम (पैकेटबंद)</v>
      </c>
      <c r="D1665" s="2" t="s">
        <v>7514</v>
      </c>
      <c r="E1665" s="2" t="s">
        <v>2700</v>
      </c>
      <c r="F1665" s="1">
        <v>3.0</v>
      </c>
      <c r="G1665" s="3" t="s">
        <v>7462</v>
      </c>
    </row>
    <row r="1666">
      <c r="A1666" s="3" t="s">
        <v>7515</v>
      </c>
      <c r="B1666" s="4" t="str">
        <f>IFERROR(__xludf.DUMMYFUNCTION("GOOGLETRANSLATE(A1666, ""en"", ""te"")"),"బి.కె. కార్న్ చివ్డా")</f>
        <v>బి.కె. కార్న్ చివ్డా</v>
      </c>
      <c r="C1666" s="4" t="str">
        <f>IFERROR(__xludf.DUMMYFUNCTION("GOOGLETRANSLATE(A1666, ""en"", ""hi"")"),"बीके कॉर्न चिवड़ा")</f>
        <v>बीके कॉर्न चिवड़ा</v>
      </c>
      <c r="D1666" s="5"/>
      <c r="E1666" s="2" t="s">
        <v>1294</v>
      </c>
      <c r="F1666" s="1">
        <v>3.0</v>
      </c>
      <c r="G1666" s="3" t="s">
        <v>7462</v>
      </c>
    </row>
    <row r="1667">
      <c r="A1667" s="3" t="s">
        <v>7516</v>
      </c>
      <c r="B1667" s="4" t="str">
        <f>IFERROR(__xludf.DUMMYFUNCTION("GOOGLETRANSLATE(A1667, ""en"", ""te"")"),"పొడి తేదీలు")</f>
        <v>పొడి తేదీలు</v>
      </c>
      <c r="C1667" s="4" t="str">
        <f>IFERROR(__xludf.DUMMYFUNCTION("GOOGLETRANSLATE(A1667, ""en"", ""hi"")"),"सूखे खजूर")</f>
        <v>सूखे खजूर</v>
      </c>
      <c r="D1667" s="2" t="s">
        <v>7062</v>
      </c>
      <c r="E1667" s="2" t="s">
        <v>2700</v>
      </c>
      <c r="F1667" s="1">
        <v>3.0</v>
      </c>
      <c r="G1667" s="3" t="s">
        <v>5445</v>
      </c>
    </row>
    <row r="1668">
      <c r="A1668" s="3" t="s">
        <v>7517</v>
      </c>
      <c r="B1668" s="4" t="str">
        <f>IFERROR(__xludf.DUMMYFUNCTION("GOOGLETRANSLATE(A1668, ""en"", ""te"")"),"ఎండు అంజీర్")</f>
        <v>ఎండు అంజీర్</v>
      </c>
      <c r="C1668" s="4" t="str">
        <f>IFERROR(__xludf.DUMMYFUNCTION("GOOGLETRANSLATE(A1668, ""en"", ""hi"")"),"सूखे अंजीर")</f>
        <v>सूखे अंजीर</v>
      </c>
      <c r="D1668" s="5"/>
      <c r="E1668" s="2" t="s">
        <v>2700</v>
      </c>
      <c r="F1668" s="1">
        <v>3.0</v>
      </c>
      <c r="G1668" s="3" t="s">
        <v>5445</v>
      </c>
    </row>
    <row r="1669">
      <c r="A1669" s="3" t="s">
        <v>7306</v>
      </c>
      <c r="B1669" s="4" t="str">
        <f>IFERROR(__xludf.DUMMYFUNCTION("GOOGLETRANSLATE(A1669, ""en"", ""te"")"),"బ్రిటానియా మేరీ గోల్డ్ బిస్కెట్లు")</f>
        <v>బ్రిటానియా మేరీ గోల్డ్ బిస్కెట్లు</v>
      </c>
      <c r="C1669" s="4" t="str">
        <f>IFERROR(__xludf.DUMMYFUNCTION("GOOGLETRANSLATE(A1669, ""en"", ""hi"")"),"ब्रिटानिया मैरी गोल्ड बिस्कुट")</f>
        <v>ब्रिटानिया मैरी गोल्ड बिस्कुट</v>
      </c>
      <c r="D1669" s="5"/>
      <c r="E1669" s="2" t="s">
        <v>4100</v>
      </c>
      <c r="F1669" s="1">
        <v>3.0</v>
      </c>
      <c r="G1669" s="3" t="s">
        <v>7518</v>
      </c>
    </row>
    <row r="1670">
      <c r="A1670" s="3" t="s">
        <v>7519</v>
      </c>
      <c r="B1670" s="4" t="str">
        <f>IFERROR(__xludf.DUMMYFUNCTION("GOOGLETRANSLATE(A1670, ""en"", ""te"")"),"KCB స్నాక్స్")</f>
        <v>KCB స్నాక్స్</v>
      </c>
      <c r="C1670" s="4" t="str">
        <f>IFERROR(__xludf.DUMMYFUNCTION("GOOGLETRANSLATE(A1670, ""en"", ""hi"")"),"केसीबी स्नैक्स")</f>
        <v>केसीबी स्नैक्स</v>
      </c>
      <c r="D1670" s="5"/>
      <c r="E1670" s="2" t="s">
        <v>1294</v>
      </c>
      <c r="F1670" s="1">
        <v>3.0</v>
      </c>
      <c r="G1670" s="3" t="s">
        <v>7518</v>
      </c>
    </row>
    <row r="1671">
      <c r="A1671" s="3" t="s">
        <v>7520</v>
      </c>
      <c r="B1671" s="4" t="str">
        <f>IFERROR(__xludf.DUMMYFUNCTION("GOOGLETRANSLATE(A1671, ""en"", ""te"")"),"హల్దీరామ్స్ స్నాక్స్")</f>
        <v>హల్దీరామ్స్ స్నాక్స్</v>
      </c>
      <c r="C1671" s="4" t="str">
        <f>IFERROR(__xludf.DUMMYFUNCTION("GOOGLETRANSLATE(A1671, ""en"", ""hi"")"),"हल्दीराम के स्नैक्स")</f>
        <v>हल्दीराम के स्नैक्स</v>
      </c>
      <c r="D1671" s="5"/>
      <c r="E1671" s="2" t="s">
        <v>1294</v>
      </c>
      <c r="F1671" s="1">
        <v>3.0</v>
      </c>
      <c r="G1671" s="3" t="s">
        <v>7521</v>
      </c>
    </row>
    <row r="1672">
      <c r="A1672" s="3" t="s">
        <v>7502</v>
      </c>
      <c r="B1672" s="4" t="str">
        <f>IFERROR(__xludf.DUMMYFUNCTION("GOOGLETRANSLATE(A1672, ""en"", ""te"")"),"దీప్ మసాలా పారా")</f>
        <v>దీప్ మసాలా పారా</v>
      </c>
      <c r="C1672" s="4" t="str">
        <f>IFERROR(__xludf.DUMMYFUNCTION("GOOGLETRANSLATE(A1672, ""en"", ""hi"")"),"दीप मसाला पारा")</f>
        <v>दीप मसाला पारा</v>
      </c>
      <c r="D1672" s="5"/>
      <c r="E1672" s="2" t="s">
        <v>442</v>
      </c>
      <c r="F1672" s="1">
        <v>3.0</v>
      </c>
      <c r="G1672" s="3" t="s">
        <v>71</v>
      </c>
    </row>
    <row r="1673">
      <c r="A1673" s="3" t="s">
        <v>7491</v>
      </c>
      <c r="B1673" s="4" t="str">
        <f>IFERROR(__xludf.DUMMYFUNCTION("GOOGLETRANSLATE(A1673, ""en"", ""te"")"),"జాబ్సన్స్ వేయించిన వేరుశెనగలు")</f>
        <v>జాబ్సన్స్ వేయించిన వేరుశెనగలు</v>
      </c>
      <c r="C1673" s="4" t="str">
        <f>IFERROR(__xludf.DUMMYFUNCTION("GOOGLETRANSLATE(A1673, ""en"", ""hi"")"),"जैब्सन्स रोस्टेड पीनट्स")</f>
        <v>जैब्सन्स रोस्टेड पीनट्स</v>
      </c>
      <c r="D1673" s="2" t="s">
        <v>945</v>
      </c>
      <c r="E1673" s="2" t="s">
        <v>1294</v>
      </c>
      <c r="F1673" s="1">
        <v>3.0</v>
      </c>
      <c r="G1673" s="3" t="s">
        <v>76</v>
      </c>
    </row>
    <row r="1674">
      <c r="A1674" s="3" t="s">
        <v>7522</v>
      </c>
      <c r="B1674" s="4" t="str">
        <f>IFERROR(__xludf.DUMMYFUNCTION("GOOGLETRANSLATE(A1674, ""en"", ""te"")"),"జాబ్సన్స్ టిల్ లడ్డు")</f>
        <v>జాబ్సన్స్ టిల్ లడ్డు</v>
      </c>
      <c r="C1674" s="4" t="str">
        <f>IFERROR(__xludf.DUMMYFUNCTION("GOOGLETRANSLATE(A1674, ""en"", ""hi"")"),"जैब्सन्स टिल लड्डू")</f>
        <v>जैब्सन्स टिल लड्डू</v>
      </c>
      <c r="D1674" s="2" t="s">
        <v>7523</v>
      </c>
      <c r="E1674" s="2" t="s">
        <v>3438</v>
      </c>
      <c r="F1674" s="1">
        <v>3.0</v>
      </c>
      <c r="G1674" s="3" t="s">
        <v>5761</v>
      </c>
    </row>
    <row r="1675">
      <c r="A1675" s="3" t="s">
        <v>7450</v>
      </c>
      <c r="B1675" s="4" t="str">
        <f>IFERROR(__xludf.DUMMYFUNCTION("GOOGLETRANSLATE(A1675, ""en"", ""te"")"),"స్వాద్ నేచురల్ స్లైస్డ్ ఆల్మండ్స్")</f>
        <v>స్వాద్ నేచురల్ స్లైస్డ్ ఆల్మండ్స్</v>
      </c>
      <c r="C1675" s="4" t="str">
        <f>IFERROR(__xludf.DUMMYFUNCTION("GOOGLETRANSLATE(A1675, ""en"", ""hi"")"),"स्वाद नेचुरल स्लाइसड बादाम")</f>
        <v>स्वाद नेचुरल स्लाइसड बादाम</v>
      </c>
      <c r="D1675" s="2" t="s">
        <v>7447</v>
      </c>
      <c r="E1675" s="2" t="s">
        <v>2700</v>
      </c>
      <c r="F1675" s="1">
        <v>3.0</v>
      </c>
      <c r="G1675" s="3" t="s">
        <v>7462</v>
      </c>
    </row>
    <row r="1676">
      <c r="A1676" s="3" t="s">
        <v>7524</v>
      </c>
      <c r="B1676" s="4" t="str">
        <f>IFERROR(__xludf.DUMMYFUNCTION("GOOGLETRANSLATE(A1676, ""en"", ""te"")"),"స్వాద్ నేచురల్ సిల్వర్డ్ ఆల్మండ్స్")</f>
        <v>స్వాద్ నేచురల్ సిల్వర్డ్ ఆల్మండ్స్</v>
      </c>
      <c r="C1676" s="4" t="str">
        <f>IFERROR(__xludf.DUMMYFUNCTION("GOOGLETRANSLATE(A1676, ""en"", ""hi"")"),"स्वाद नेचुरल सिल्वर बादाम")</f>
        <v>स्वाद नेचुरल सिल्वर बादाम</v>
      </c>
      <c r="D1676" s="2" t="s">
        <v>7514</v>
      </c>
      <c r="E1676" s="2" t="s">
        <v>2700</v>
      </c>
      <c r="F1676" s="1">
        <v>3.0</v>
      </c>
      <c r="G1676" s="3" t="s">
        <v>7462</v>
      </c>
    </row>
    <row r="1677">
      <c r="A1677" s="3" t="s">
        <v>7525</v>
      </c>
      <c r="B1677" s="4" t="str">
        <f>IFERROR(__xludf.DUMMYFUNCTION("GOOGLETRANSLATE(A1677, ""en"", ""te"")"),"పార్లే హైడ్ &amp; సీక్ బోర్బన్ బిస్కెట్లు")</f>
        <v>పార్లే హైడ్ &amp; సీక్ బోర్బన్ బిస్కెట్లు</v>
      </c>
      <c r="C1677" s="4" t="str">
        <f>IFERROR(__xludf.DUMMYFUNCTION("GOOGLETRANSLATE(A1677, ""en"", ""hi"")"),"पारले हाइड एंड सीक बॉर्बन बिस्कुट")</f>
        <v>पारले हाइड एंड सीक बॉर्बन बिस्कुट</v>
      </c>
      <c r="D1677" s="5"/>
      <c r="E1677" s="2" t="s">
        <v>4100</v>
      </c>
      <c r="F1677" s="1">
        <v>3.0</v>
      </c>
      <c r="G1677" s="3" t="s">
        <v>7518</v>
      </c>
    </row>
    <row r="1678">
      <c r="A1678" s="3" t="s">
        <v>7363</v>
      </c>
      <c r="B1678" s="4" t="str">
        <f>IFERROR(__xludf.DUMMYFUNCTION("GOOGLETRANSLATE(A1678, ""en"", ""te"")"),"పార్లే క్రాక్‌జాక్ బిస్కెట్లు")</f>
        <v>పార్లే క్రాక్‌జాక్ బిస్కెట్లు</v>
      </c>
      <c r="C1678" s="4" t="str">
        <f>IFERROR(__xludf.DUMMYFUNCTION("GOOGLETRANSLATE(A1678, ""en"", ""hi"")"),"पार्ले क्रैकजैक बिस्कुट")</f>
        <v>पार्ले क्रैकजैक बिस्कुट</v>
      </c>
      <c r="D1678" s="2" t="s">
        <v>7057</v>
      </c>
      <c r="E1678" s="2" t="s">
        <v>4100</v>
      </c>
      <c r="F1678" s="1">
        <v>3.0</v>
      </c>
      <c r="G1678" s="3" t="s">
        <v>7518</v>
      </c>
    </row>
    <row r="1679">
      <c r="A1679" s="44"/>
      <c r="B1679" s="44" t="str">
        <f>IFERROR(__xludf.DUMMYFUNCTION("GOOGLETRANSLATE(A1679, ""en"", ""te"")"),"#VALUE!")</f>
        <v>#VALUE!</v>
      </c>
      <c r="C1679" s="4" t="str">
        <f>IFERROR(__xludf.DUMMYFUNCTION("GOOGLETRANSLATE(A1679, ""en"", ""hi"")"),"#VALUE!")</f>
        <v>#VALUE!</v>
      </c>
      <c r="D1679" s="5"/>
      <c r="E1679" s="5"/>
    </row>
    <row r="1680">
      <c r="A1680" s="3" t="s">
        <v>7526</v>
      </c>
      <c r="B1680" s="4" t="str">
        <f>IFERROR(__xludf.DUMMYFUNCTION("GOOGLETRANSLATE(A1680, ""en"", ""te"")"),"హల్దీరామ్స్ ఆలూ భుజియా")</f>
        <v>హల్దీరామ్స్ ఆలూ భుజియా</v>
      </c>
      <c r="C1680" s="4" t="str">
        <f>IFERROR(__xludf.DUMMYFUNCTION("GOOGLETRANSLATE(A1680, ""en"", ""hi"")"),"हल्दीराम की आलू भुजिया")</f>
        <v>हल्दीराम की आलू भुजिया</v>
      </c>
      <c r="D1680" s="2" t="s">
        <v>7527</v>
      </c>
      <c r="E1680" s="2" t="s">
        <v>1294</v>
      </c>
      <c r="F1680" s="1">
        <v>4.0</v>
      </c>
      <c r="G1680" s="3" t="s">
        <v>7053</v>
      </c>
    </row>
    <row r="1681">
      <c r="A1681" s="3" t="s">
        <v>7528</v>
      </c>
      <c r="B1681" s="4" t="str">
        <f>IFERROR(__xludf.DUMMYFUNCTION("GOOGLETRANSLATE(A1681, ""en"", ""te"")"),"హల్దీరామ్స్ ఆల్ ఇన్ వన్")</f>
        <v>హల్దీరామ్స్ ఆల్ ఇన్ వన్</v>
      </c>
      <c r="C1681" s="4" t="str">
        <f>IFERROR(__xludf.DUMMYFUNCTION("GOOGLETRANSLATE(A1681, ""en"", ""hi"")"),"हल्दीराम का ऑल इन वन")</f>
        <v>हल्दीराम का ऑल इन वन</v>
      </c>
      <c r="D1681" s="5"/>
      <c r="E1681" s="2" t="s">
        <v>940</v>
      </c>
      <c r="F1681" s="1">
        <v>4.0</v>
      </c>
      <c r="G1681" s="3" t="s">
        <v>7053</v>
      </c>
    </row>
    <row r="1682">
      <c r="A1682" s="3" t="s">
        <v>7529</v>
      </c>
      <c r="B1682" s="4" t="str">
        <f>IFERROR(__xludf.DUMMYFUNCTION("GOOGLETRANSLATE(A1682, ""en"", ""te"")"),"బికాజీ కుచ్-కుచ్")</f>
        <v>బికాజీ కుచ్-కుచ్</v>
      </c>
      <c r="C1682" s="4" t="str">
        <f>IFERROR(__xludf.DUMMYFUNCTION("GOOGLETRANSLATE(A1682, ""en"", ""hi"")"),"बिकाजी कुछ-कुछ")</f>
        <v>बिकाजी कुछ-कुछ</v>
      </c>
      <c r="D1682" s="5"/>
      <c r="E1682" s="2" t="s">
        <v>3438</v>
      </c>
      <c r="F1682" s="1">
        <v>4.0</v>
      </c>
      <c r="G1682" s="3" t="s">
        <v>7053</v>
      </c>
    </row>
    <row r="1683">
      <c r="A1683" s="3" t="s">
        <v>7530</v>
      </c>
      <c r="B1683" s="4" t="str">
        <f>IFERROR(__xludf.DUMMYFUNCTION("GOOGLETRANSLATE(A1683, ""en"", ""te"")"),"రాజు భాత కని")</f>
        <v>రాజు భాత కని</v>
      </c>
      <c r="C1683" s="4" t="str">
        <f>IFERROR(__xludf.DUMMYFUNCTION("GOOGLETRANSLATE(A1683, ""en"", ""hi"")"),"राजू भाथा कानी")</f>
        <v>राजू भाथा कानी</v>
      </c>
      <c r="D1683" s="2" t="s">
        <v>7531</v>
      </c>
      <c r="E1683" s="2" t="s">
        <v>67</v>
      </c>
      <c r="F1683" s="1">
        <v>4.0</v>
      </c>
      <c r="G1683" s="3" t="s">
        <v>7053</v>
      </c>
    </row>
    <row r="1684">
      <c r="A1684" s="3" t="s">
        <v>7532</v>
      </c>
      <c r="B1684" s="4" t="str">
        <f>IFERROR(__xludf.DUMMYFUNCTION("GOOGLETRANSLATE(A1684, ""en"", ""te"")"),"మిర్చ్ మసాలా ఎ దాల్ మిక్చర్")</f>
        <v>మిర్చ్ మసాలా ఎ దాల్ మిక్చర్</v>
      </c>
      <c r="C1684" s="4" t="str">
        <f>IFERROR(__xludf.DUMMYFUNCTION("GOOGLETRANSLATE(A1684, ""en"", ""hi"")"),"मिर्च मसाला दाल का मिश्रण")</f>
        <v>मिर्च मसाला दाल का मिश्रण</v>
      </c>
      <c r="D1684" s="5"/>
      <c r="E1684" s="2" t="s">
        <v>442</v>
      </c>
      <c r="F1684" s="1">
        <v>4.0</v>
      </c>
      <c r="G1684" s="3" t="s">
        <v>4469</v>
      </c>
    </row>
    <row r="1685">
      <c r="A1685" s="3" t="s">
        <v>7533</v>
      </c>
      <c r="B1685" s="4" t="str">
        <f>IFERROR(__xludf.DUMMYFUNCTION("GOOGLETRANSLATE(A1685, ""en"", ""te"")"),"శ్వేత సేవ్ పకోడా")</f>
        <v>శ్వేత సేవ్ పకోడా</v>
      </c>
      <c r="C1685" s="4" t="str">
        <f>IFERROR(__xludf.DUMMYFUNCTION("GOOGLETRANSLATE(A1685, ""en"", ""hi"")"),"श्वेता सेव पकोड़ा")</f>
        <v>श्वेता सेव पकोड़ा</v>
      </c>
      <c r="D1685" s="5"/>
      <c r="E1685" s="2" t="s">
        <v>1294</v>
      </c>
      <c r="F1685" s="1">
        <v>4.0</v>
      </c>
      <c r="G1685" s="3" t="s">
        <v>4469</v>
      </c>
    </row>
    <row r="1686">
      <c r="A1686" s="3" t="s">
        <v>7534</v>
      </c>
      <c r="B1686" s="4" t="str">
        <f>IFERROR(__xludf.DUMMYFUNCTION("GOOGLETRANSLATE(A1686, ""en"", ""te"")"),"చెన్నై స్పెషల్ చోళం రిబ్బన్")</f>
        <v>చెన్నై స్పెషల్ చోళం రిబ్బన్</v>
      </c>
      <c r="C1686" s="4" t="str">
        <f>IFERROR(__xludf.DUMMYFUNCTION("GOOGLETRANSLATE(A1686, ""en"", ""hi"")"),"चेन्नई स्पेशल चोलम रिबन")</f>
        <v>चेन्नई स्पेशल चोलम रिबन</v>
      </c>
      <c r="D1686" s="5"/>
      <c r="E1686" s="2" t="s">
        <v>9</v>
      </c>
      <c r="F1686" s="1">
        <v>4.0</v>
      </c>
      <c r="G1686" s="3" t="s">
        <v>4469</v>
      </c>
    </row>
    <row r="1687">
      <c r="A1687" s="3" t="s">
        <v>7535</v>
      </c>
      <c r="B1687" s="4" t="str">
        <f>IFERROR(__xludf.DUMMYFUNCTION("GOOGLETRANSLATE(A1687, ""en"", ""te"")"),"లోతైన దక్షిణ భారతదేశం మురుక్కు")</f>
        <v>లోతైన దక్షిణ భారతదేశం మురుక్కు</v>
      </c>
      <c r="C1687" s="4" t="str">
        <f>IFERROR(__xludf.DUMMYFUNCTION("GOOGLETRANSLATE(A1687, ""en"", ""hi"")"),"दक्षिण भारत में मुरुक्कू")</f>
        <v>दक्षिण भारत में मुरुक्कू</v>
      </c>
      <c r="D1687" s="5"/>
      <c r="E1687" s="2" t="s">
        <v>1294</v>
      </c>
      <c r="F1687" s="1">
        <v>4.0</v>
      </c>
      <c r="G1687" s="3" t="s">
        <v>4469</v>
      </c>
    </row>
    <row r="1688">
      <c r="A1688" s="3" t="s">
        <v>7536</v>
      </c>
      <c r="B1688" s="4" t="str">
        <f>IFERROR(__xludf.DUMMYFUNCTION("GOOGLETRANSLATE(A1688, ""en"", ""te"")"),"శ్వేత తెలుగు శకినాలు")</f>
        <v>శ్వేత తెలుగు శకినాలు</v>
      </c>
      <c r="C1688" s="4" t="str">
        <f>IFERROR(__xludf.DUMMYFUNCTION("GOOGLETRANSLATE(A1688, ""en"", ""hi"")"),"श्वेता तेलुगु सकीनालू")</f>
        <v>श्वेता तेलुगु सकीनालू</v>
      </c>
      <c r="D1688" s="2" t="s">
        <v>7537</v>
      </c>
      <c r="E1688" s="2" t="s">
        <v>1294</v>
      </c>
      <c r="F1688" s="1">
        <v>4.0</v>
      </c>
      <c r="G1688" s="3" t="s">
        <v>4480</v>
      </c>
    </row>
    <row r="1689">
      <c r="A1689" s="3" t="s">
        <v>7538</v>
      </c>
      <c r="B1689" s="4" t="str">
        <f>IFERROR(__xludf.DUMMYFUNCTION("GOOGLETRANSLATE(A1689, ""en"", ""te"")"),"శ్వేత తెలుగు సన్న కరపుస")</f>
        <v>శ్వేత తెలుగు సన్న కరపుస</v>
      </c>
      <c r="C1689" s="4" t="str">
        <f>IFERROR(__xludf.DUMMYFUNCTION("GOOGLETRANSLATE(A1689, ""en"", ""hi"")"),"श्वेता तेलुगु सन्ना करापुसा")</f>
        <v>श्वेता तेलुगु सन्ना करापुसा</v>
      </c>
      <c r="D1689" s="5"/>
      <c r="E1689" s="2" t="s">
        <v>1294</v>
      </c>
      <c r="F1689" s="1">
        <v>4.0</v>
      </c>
      <c r="G1689" s="3" t="s">
        <v>4480</v>
      </c>
    </row>
    <row r="1690">
      <c r="A1690" s="3" t="s">
        <v>7539</v>
      </c>
      <c r="B1690" s="4" t="str">
        <f>IFERROR(__xludf.DUMMYFUNCTION("GOOGLETRANSLATE(A1690, ""en"", ""te"")"),"శ్వేత తెలుగు పోహా మిశ్రమం")</f>
        <v>శ్వేత తెలుగు పోహా మిశ్రమం</v>
      </c>
      <c r="C1690" s="4" t="str">
        <f>IFERROR(__xludf.DUMMYFUNCTION("GOOGLETRANSLATE(A1690, ""en"", ""hi"")"),"श्वेता तेलुगु पोहा मिश्रण")</f>
        <v>श्वेता तेलुगु पोहा मिश्रण</v>
      </c>
      <c r="D1690" s="2" t="s">
        <v>7537</v>
      </c>
      <c r="E1690" s="2" t="s">
        <v>1294</v>
      </c>
      <c r="F1690" s="1">
        <v>4.0</v>
      </c>
      <c r="G1690" s="3" t="s">
        <v>4480</v>
      </c>
    </row>
    <row r="1691">
      <c r="A1691" s="3" t="s">
        <v>7540</v>
      </c>
      <c r="B1691" s="4" t="str">
        <f>IFERROR(__xludf.DUMMYFUNCTION("GOOGLETRANSLATE(A1691, ""en"", ""te"")"),"శ్వేత తెలుగు పప్పు చెకోడిలు")</f>
        <v>శ్వేత తెలుగు పప్పు చెకోడిలు</v>
      </c>
      <c r="C1691" s="4" t="str">
        <f>IFERROR(__xludf.DUMMYFUNCTION("GOOGLETRANSLATE(A1691, ""en"", ""hi"")"),"श्वेता तेलुगु पप्पू चेकोदिलु")</f>
        <v>श्वेता तेलुगु पप्पू चेकोदिलु</v>
      </c>
      <c r="D1691" s="2" t="s">
        <v>7537</v>
      </c>
      <c r="E1691" s="2" t="s">
        <v>1294</v>
      </c>
      <c r="F1691" s="1">
        <v>4.0</v>
      </c>
      <c r="G1691" s="3" t="s">
        <v>4480</v>
      </c>
    </row>
    <row r="1692">
      <c r="A1692" s="3" t="s">
        <v>7541</v>
      </c>
      <c r="B1692" s="4" t="str">
        <f>IFERROR(__xludf.DUMMYFUNCTION("GOOGLETRANSLATE(A1692, ""en"", ""te"")"),"శ్వేత తెలుగు ముల్లు మురుకులు")</f>
        <v>శ్వేత తెలుగు ముల్లు మురుకులు</v>
      </c>
      <c r="C1692" s="4" t="str">
        <f>IFERROR(__xludf.DUMMYFUNCTION("GOOGLETRANSLATE(A1692, ""en"", ""hi"")"),"श्वेता तेलुगु मुल्लू मुरुकुलु")</f>
        <v>श्वेता तेलुगु मुल्लू मुरुकुलु</v>
      </c>
      <c r="D1692" s="2" t="s">
        <v>7542</v>
      </c>
      <c r="E1692" s="2" t="s">
        <v>1294</v>
      </c>
      <c r="F1692" s="1">
        <v>4.0</v>
      </c>
      <c r="G1692" s="3" t="s">
        <v>4480</v>
      </c>
    </row>
    <row r="1693">
      <c r="A1693" s="3" t="s">
        <v>7543</v>
      </c>
      <c r="B1693" s="4" t="str">
        <f>IFERROR(__xludf.DUMMYFUNCTION("GOOGLETRANSLATE(A1693, ""en"", ""te"")"),"శ్వేత తెలుగు మసాలా పీనట్స్")</f>
        <v>శ్వేత తెలుగు మసాలా పీనట్స్</v>
      </c>
      <c r="C1693" s="4" t="str">
        <f>IFERROR(__xludf.DUMMYFUNCTION("GOOGLETRANSLATE(A1693, ""en"", ""hi"")"),"श्वेता तेलुगु मसाला मूंगफली")</f>
        <v>श्वेता तेलुगु मसाला मूंगफली</v>
      </c>
      <c r="D1693" s="5"/>
      <c r="E1693" s="2" t="s">
        <v>1294</v>
      </c>
      <c r="F1693" s="1">
        <v>4.0</v>
      </c>
      <c r="G1693" s="3" t="s">
        <v>4480</v>
      </c>
    </row>
    <row r="1694">
      <c r="A1694" s="3" t="s">
        <v>7544</v>
      </c>
      <c r="B1694" s="4" t="str">
        <f>IFERROR(__xludf.DUMMYFUNCTION("GOOGLETRANSLATE(A1694, ""en"", ""te"")"),"ఆనంద్ మసాలా చనాడల్")</f>
        <v>ఆనంద్ మసాలా చనాడల్</v>
      </c>
      <c r="C1694" s="4" t="str">
        <f>IFERROR(__xludf.DUMMYFUNCTION("GOOGLETRANSLATE(A1694, ""en"", ""hi"")"),"आनंद मसाला चनादल")</f>
        <v>आनंद मसाला चनादल</v>
      </c>
      <c r="D1694" s="2" t="s">
        <v>1655</v>
      </c>
      <c r="E1694" s="2" t="s">
        <v>442</v>
      </c>
      <c r="F1694" s="1">
        <v>4.0</v>
      </c>
      <c r="G1694" s="3" t="s">
        <v>4480</v>
      </c>
    </row>
    <row r="1695">
      <c r="A1695" s="3" t="s">
        <v>7545</v>
      </c>
      <c r="B1695" s="4" t="str">
        <f>IFERROR(__xludf.DUMMYFUNCTION("GOOGLETRANSLATE(A1695, ""en"", ""te"")"),"ఆనంద్ మసాలా వేరుశెనగలు")</f>
        <v>ఆనంద్ మసాలా వేరుశెనగలు</v>
      </c>
      <c r="C1695" s="4" t="str">
        <f>IFERROR(__xludf.DUMMYFUNCTION("GOOGLETRANSLATE(A1695, ""en"", ""hi"")"),"आनंद मसाला मूंगफली")</f>
        <v>आनंद मसाला मूंगफली</v>
      </c>
      <c r="D1695" s="2" t="s">
        <v>945</v>
      </c>
      <c r="E1695" s="2" t="s">
        <v>1294</v>
      </c>
      <c r="F1695" s="1">
        <v>4.0</v>
      </c>
      <c r="G1695" s="3" t="s">
        <v>4480</v>
      </c>
    </row>
    <row r="1696">
      <c r="A1696" s="3" t="s">
        <v>7546</v>
      </c>
      <c r="B1696" s="4" t="str">
        <f>IFERROR(__xludf.DUMMYFUNCTION("GOOGLETRANSLATE(A1696, ""en"", ""te"")"),"యూరో మినీ భాకర్వాడి")</f>
        <v>యూరో మినీ భాకర్వాడి</v>
      </c>
      <c r="C1696" s="4" t="str">
        <f>IFERROR(__xludf.DUMMYFUNCTION("GOOGLETRANSLATE(A1696, ""en"", ""hi"")"),"यूरो मिनी भाकरवाड़ी")</f>
        <v>यूरो मिनी भाकरवाड़ी</v>
      </c>
      <c r="D1696" s="2" t="s">
        <v>7547</v>
      </c>
      <c r="E1696" s="2" t="s">
        <v>1294</v>
      </c>
      <c r="F1696" s="1">
        <v>4.0</v>
      </c>
      <c r="G1696" s="3" t="s">
        <v>4480</v>
      </c>
    </row>
    <row r="1697">
      <c r="A1697" s="3" t="s">
        <v>7548</v>
      </c>
      <c r="B1697" s="4" t="str">
        <f>IFERROR(__xludf.DUMMYFUNCTION("GOOGLETRANSLATE(A1697, ""en"", ""te"")"),"ఆనంద్ కప్పలాండి మసాలా")</f>
        <v>ఆనంద్ కప్పలాండి మసాలా</v>
      </c>
      <c r="C1697" s="4" t="str">
        <f>IFERROR(__xludf.DUMMYFUNCTION("GOOGLETRANSLATE(A1697, ""en"", ""hi"")"),"आनंद कप्पलांडी मसाला")</f>
        <v>आनंद कप्पलांडी मसाला</v>
      </c>
      <c r="D1697" s="5"/>
      <c r="E1697" s="2" t="s">
        <v>442</v>
      </c>
      <c r="F1697" s="1">
        <v>4.0</v>
      </c>
      <c r="G1697" s="3" t="s">
        <v>4480</v>
      </c>
    </row>
    <row r="1698">
      <c r="A1698" s="3" t="s">
        <v>7549</v>
      </c>
      <c r="B1698" s="4" t="str">
        <f>IFERROR(__xludf.DUMMYFUNCTION("GOOGLETRANSLATE(A1698, ""en"", ""te"")"),"ఆనంద్ కాబులి చనా స్పైసీ")</f>
        <v>ఆనంద్ కాబులి చనా స్పైసీ</v>
      </c>
      <c r="C1698" s="4" t="str">
        <f>IFERROR(__xludf.DUMMYFUNCTION("GOOGLETRANSLATE(A1698, ""en"", ""hi"")"),"आनंद काबुली चना मसालेदार")</f>
        <v>आनंद काबुली चना मसालेदार</v>
      </c>
      <c r="D1698" s="5"/>
      <c r="E1698" s="2" t="s">
        <v>1038</v>
      </c>
      <c r="F1698" s="1">
        <v>4.0</v>
      </c>
      <c r="G1698" s="3" t="s">
        <v>4480</v>
      </c>
    </row>
    <row r="1699">
      <c r="A1699" s="3" t="s">
        <v>7550</v>
      </c>
      <c r="B1699" s="4" t="str">
        <f>IFERROR(__xludf.DUMMYFUNCTION("GOOGLETRANSLATE(A1699, ""en"", ""te"")"),"ఆనంద్ కచోరీ తీపి &amp; కారపు గోధుమ రోల్స్")</f>
        <v>ఆనంద్ కచోరీ తీపి &amp; కారపు గోధుమ రోల్స్</v>
      </c>
      <c r="C1699" s="4" t="str">
        <f>IFERROR(__xludf.DUMMYFUNCTION("GOOGLETRANSLATE(A1699, ""en"", ""hi"")"),"आनंद कचौरी मीठे और मसालेदार गेहूं के रोल")</f>
        <v>आनंद कचौरी मीठे और मसालेदार गेहूं के रोल</v>
      </c>
      <c r="D1699" s="2" t="s">
        <v>7551</v>
      </c>
      <c r="E1699" s="2" t="s">
        <v>2649</v>
      </c>
      <c r="F1699" s="1">
        <v>4.0</v>
      </c>
      <c r="G1699" s="3" t="s">
        <v>4480</v>
      </c>
    </row>
    <row r="1700">
      <c r="A1700" s="3" t="s">
        <v>7552</v>
      </c>
      <c r="B1700" s="4" t="str">
        <f>IFERROR(__xludf.DUMMYFUNCTION("GOOGLETRANSLATE(A1700, ""en"", ""te"")"),"ఆనంద్ జలపెనో మురుక్కు స్టిక్స్")</f>
        <v>ఆనంద్ జలపెనో మురుక్కు స్టిక్స్</v>
      </c>
      <c r="C1700" s="4" t="str">
        <f>IFERROR(__xludf.DUMMYFUNCTION("GOOGLETRANSLATE(A1700, ""en"", ""hi"")"),"आनंद जलपीनो मुरुक्कू स्टिक्स")</f>
        <v>आनंद जलपीनो मुरुक्कू स्टिक्स</v>
      </c>
      <c r="D1700" s="2" t="s">
        <v>7553</v>
      </c>
      <c r="E1700" s="2" t="s">
        <v>1294</v>
      </c>
      <c r="F1700" s="1">
        <v>4.0</v>
      </c>
      <c r="G1700" s="3" t="s">
        <v>4480</v>
      </c>
    </row>
    <row r="1701">
      <c r="A1701" s="3" t="s">
        <v>7554</v>
      </c>
      <c r="B1701" s="4" t="str">
        <f>IFERROR(__xludf.DUMMYFUNCTION("GOOGLETRANSLATE(A1701, ""en"", ""te"")"),"రాజు భవనగరి గతియా")</f>
        <v>రాజు భవనగరి గతియా</v>
      </c>
      <c r="C1701" s="4" t="str">
        <f>IFERROR(__xludf.DUMMYFUNCTION("GOOGLETRANSLATE(A1701, ""en"", ""hi"")"),"राजू भावनगरी गठिया")</f>
        <v>राजू भावनगरी गठिया</v>
      </c>
      <c r="D1701" s="5"/>
      <c r="E1701" s="2" t="s">
        <v>1294</v>
      </c>
      <c r="F1701" s="1">
        <v>4.0</v>
      </c>
      <c r="G1701" s="3" t="s">
        <v>7163</v>
      </c>
    </row>
    <row r="1702">
      <c r="A1702" s="3" t="s">
        <v>7555</v>
      </c>
      <c r="B1702" s="4" t="str">
        <f>IFERROR(__xludf.DUMMYFUNCTION("GOOGLETRANSLATE(A1702, ""en"", ""te"")"),"రాజు రత్లామి సేవ")</f>
        <v>రాజు రత్లామి సేవ</v>
      </c>
      <c r="C1702" s="4" t="str">
        <f>IFERROR(__xludf.DUMMYFUNCTION("GOOGLETRANSLATE(A1702, ""en"", ""hi"")"),"राजू रतलामी सेव")</f>
        <v>राजू रतलामी सेव</v>
      </c>
      <c r="D1702" s="5"/>
      <c r="E1702" s="2" t="s">
        <v>1294</v>
      </c>
      <c r="F1702" s="1">
        <v>4.0</v>
      </c>
      <c r="G1702" s="3" t="s">
        <v>7163</v>
      </c>
    </row>
    <row r="1703">
      <c r="A1703" s="3" t="s">
        <v>7556</v>
      </c>
      <c r="B1703" s="4" t="str">
        <f>IFERROR(__xludf.DUMMYFUNCTION("GOOGLETRANSLATE(A1703, ""en"", ""te"")"),"హల్దీరామ్ యొక్క మైదాన భుజియా")</f>
        <v>హల్దీరామ్ యొక్క మైదాన భుజియా</v>
      </c>
      <c r="C1703" s="4" t="str">
        <f>IFERROR(__xludf.DUMMYFUNCTION("GOOGLETRANSLATE(A1703, ""en"", ""hi"")"),"हल्दीराम की प्लेन भुजिया")</f>
        <v>हल्दीराम की प्लेन भुजिया</v>
      </c>
      <c r="D1703" s="2" t="s">
        <v>7557</v>
      </c>
      <c r="E1703" s="2" t="s">
        <v>1294</v>
      </c>
      <c r="F1703" s="1">
        <v>4.0</v>
      </c>
      <c r="G1703" s="3" t="s">
        <v>7163</v>
      </c>
    </row>
    <row r="1704">
      <c r="A1704" s="3" t="s">
        <v>7558</v>
      </c>
      <c r="B1704" s="4" t="str">
        <f>IFERROR(__xludf.DUMMYFUNCTION("GOOGLETRANSLATE(A1704, ""en"", ""te"")"),"హల్దీరామ్స్ బూందీ సాల్టెడ్")</f>
        <v>హల్దీరామ్స్ బూందీ సాల్టెడ్</v>
      </c>
      <c r="C1704" s="4" t="str">
        <f>IFERROR(__xludf.DUMMYFUNCTION("GOOGLETRANSLATE(A1704, ""en"", ""hi"")"),"हल्दीराम की बूंदी नमकीन")</f>
        <v>हल्दीराम की बूंदी नमकीन</v>
      </c>
      <c r="D1704" s="5"/>
      <c r="E1704" s="2" t="s">
        <v>1294</v>
      </c>
      <c r="F1704" s="1">
        <v>4.0</v>
      </c>
      <c r="G1704" s="3" t="s">
        <v>7163</v>
      </c>
    </row>
    <row r="1705">
      <c r="A1705" s="3" t="s">
        <v>7559</v>
      </c>
      <c r="B1705" s="4" t="str">
        <f>IFERROR(__xludf.DUMMYFUNCTION("GOOGLETRANSLATE(A1705, ""en"", ""te"")"),"బికాజీ సబ్-కుచ్ నవరత్న మిక్స్")</f>
        <v>బికాజీ సబ్-కుచ్ నవరత్న మిక్స్</v>
      </c>
      <c r="C1705" s="4" t="str">
        <f>IFERROR(__xludf.DUMMYFUNCTION("GOOGLETRANSLATE(A1705, ""en"", ""hi"")"),"बिकाजी सब-कुछ नवरत्न मिक्स")</f>
        <v>बिकाजी सब-कुछ नवरत्न मिक्स</v>
      </c>
      <c r="D1705" s="2" t="s">
        <v>7560</v>
      </c>
      <c r="E1705" s="2" t="s">
        <v>1294</v>
      </c>
      <c r="F1705" s="1">
        <v>4.0</v>
      </c>
      <c r="G1705" s="3" t="s">
        <v>4419</v>
      </c>
    </row>
    <row r="1706">
      <c r="A1706" s="3" t="s">
        <v>7561</v>
      </c>
      <c r="B1706" s="4" t="str">
        <f>IFERROR(__xludf.DUMMYFUNCTION("GOOGLETRANSLATE(A1706, ""en"", ""te"")"),"బాంబే కిచెన్ పంజాబీ మిక్స్")</f>
        <v>బాంబే కిచెన్ పంజాబీ మిక్స్</v>
      </c>
      <c r="C1706" s="4" t="str">
        <f>IFERROR(__xludf.DUMMYFUNCTION("GOOGLETRANSLATE(A1706, ""en"", ""hi"")"),"बॉम्बे किचन पंजाबी मिक्स")</f>
        <v>बॉम्बे किचन पंजाबी मिक्स</v>
      </c>
      <c r="D1706" s="2" t="s">
        <v>7562</v>
      </c>
      <c r="E1706" s="2" t="s">
        <v>1294</v>
      </c>
      <c r="F1706" s="1">
        <v>4.0</v>
      </c>
      <c r="G1706" s="3" t="s">
        <v>4419</v>
      </c>
    </row>
    <row r="1707">
      <c r="A1707" s="3" t="s">
        <v>7563</v>
      </c>
      <c r="B1707" s="4" t="str">
        <f>IFERROR(__xludf.DUMMYFUNCTION("GOOGLETRANSLATE(A1707, ""en"", ""te"")"),"బాంబే కిచెన్ భేల్ మిక్స్")</f>
        <v>బాంబే కిచెన్ భేల్ మిక్స్</v>
      </c>
      <c r="C1707" s="4" t="str">
        <f>IFERROR(__xludf.DUMMYFUNCTION("GOOGLETRANSLATE(A1707, ""en"", ""hi"")"),"बॉम्बे किचन भेल मिक्स")</f>
        <v>बॉम्बे किचन भेल मिक्स</v>
      </c>
      <c r="D1707" s="2" t="s">
        <v>7564</v>
      </c>
      <c r="E1707" s="2" t="s">
        <v>1294</v>
      </c>
      <c r="F1707" s="1">
        <v>4.0</v>
      </c>
      <c r="G1707" s="3" t="s">
        <v>4419</v>
      </c>
    </row>
    <row r="1708">
      <c r="A1708" s="3" t="s">
        <v>7565</v>
      </c>
      <c r="B1708" s="4" t="str">
        <f>IFERROR(__xludf.DUMMYFUNCTION("GOOGLETRANSLATE(A1708, ""en"", ""te"")"),"బికాజీ మసాలా మిక్స్")</f>
        <v>బికాజీ మసాలా మిక్స్</v>
      </c>
      <c r="C1708" s="4" t="str">
        <f>IFERROR(__xludf.DUMMYFUNCTION("GOOGLETRANSLATE(A1708, ""en"", ""hi"")"),"बिकाजी मसाला मिक्स")</f>
        <v>बिकाजी मसाला मिक्स</v>
      </c>
      <c r="D1708" s="5"/>
      <c r="E1708" s="2" t="s">
        <v>442</v>
      </c>
      <c r="F1708" s="1">
        <v>4.0</v>
      </c>
      <c r="G1708" s="3" t="s">
        <v>4419</v>
      </c>
    </row>
    <row r="1709">
      <c r="A1709" s="3" t="s">
        <v>7566</v>
      </c>
      <c r="B1709" s="4" t="str">
        <f>IFERROR(__xludf.DUMMYFUNCTION("GOOGLETRANSLATE(A1709, ""en"", ""te"")"),"జి. పుల్లారెడ్డి మసాలా పీనట్స్")</f>
        <v>జి. పుల్లారెడ్డి మసాలా పీనట్స్</v>
      </c>
      <c r="C1709" s="4" t="str">
        <f>IFERROR(__xludf.DUMMYFUNCTION("GOOGLETRANSLATE(A1709, ""en"", ""hi"")"),"जी. पुल्ला रेड्डी मसाला मूंगफली")</f>
        <v>जी. पुल्ला रेड्डी मसाला मूंगफली</v>
      </c>
      <c r="D1709" s="5"/>
      <c r="E1709" s="2" t="s">
        <v>1294</v>
      </c>
      <c r="F1709" s="1">
        <v>4.0</v>
      </c>
      <c r="G1709" s="3" t="s">
        <v>4434</v>
      </c>
    </row>
    <row r="1710">
      <c r="A1710" s="3" t="s">
        <v>7567</v>
      </c>
      <c r="B1710" s="4" t="str">
        <f>IFERROR(__xludf.DUMMYFUNCTION("GOOGLETRANSLATE(A1710, ""en"", ""te"")"),"జి. పుల్లారెడ్డి మద్రాస్ మిశ్రమం")</f>
        <v>జి. పుల్లారెడ్డి మద్రాస్ మిశ్రమం</v>
      </c>
      <c r="C1710" s="4" t="str">
        <f>IFERROR(__xludf.DUMMYFUNCTION("GOOGLETRANSLATE(A1710, ""en"", ""hi"")"),"जी. पुल्ला रेड्डी मद्रास मिश्रण")</f>
        <v>जी. पुल्ला रेड्डी मद्रास मिश्रण</v>
      </c>
      <c r="D1710" s="2" t="s">
        <v>5175</v>
      </c>
      <c r="E1710" s="2" t="s">
        <v>1294</v>
      </c>
      <c r="F1710" s="1">
        <v>4.0</v>
      </c>
      <c r="G1710" s="3" t="s">
        <v>4434</v>
      </c>
    </row>
    <row r="1711">
      <c r="A1711" s="3" t="s">
        <v>7568</v>
      </c>
      <c r="B1711" s="4" t="str">
        <f>IFERROR(__xludf.DUMMYFUNCTION("GOOGLETRANSLATE(A1711, ""en"", ""te"")"),"జి. పుల్లారెడ్డి కరంపుస")</f>
        <v>జి. పుల్లారెడ్డి కరంపుస</v>
      </c>
      <c r="C1711" s="4" t="str">
        <f>IFERROR(__xludf.DUMMYFUNCTION("GOOGLETRANSLATE(A1711, ""en"", ""hi"")"),"जी. पुल्ला रेड्डी करमपुसा")</f>
        <v>जी. पुल्ला रेड्डी करमपुसा</v>
      </c>
      <c r="D1711" s="2" t="s">
        <v>7569</v>
      </c>
      <c r="E1711" s="2" t="s">
        <v>1294</v>
      </c>
      <c r="F1711" s="1">
        <v>4.0</v>
      </c>
      <c r="G1711" s="3" t="s">
        <v>4434</v>
      </c>
    </row>
    <row r="1712">
      <c r="A1712" s="3" t="s">
        <v>7570</v>
      </c>
      <c r="B1712" s="4" t="str">
        <f>IFERROR(__xludf.DUMMYFUNCTION("GOOGLETRANSLATE(A1712, ""en"", ""te"")"),"జి. పుల్లారెడ్డి జంతికలు")</f>
        <v>జి. పుల్లారెడ్డి జంతికలు</v>
      </c>
      <c r="C1712" s="4" t="str">
        <f>IFERROR(__xludf.DUMMYFUNCTION("GOOGLETRANSLATE(A1712, ""en"", ""hi"")"),"जी. पुल्ला रेड्डी जंथिकालु")</f>
        <v>जी. पुल्ला रेड्डी जंथिकालु</v>
      </c>
      <c r="D1712" s="5"/>
      <c r="E1712" s="2" t="s">
        <v>1294</v>
      </c>
      <c r="F1712" s="1">
        <v>4.0</v>
      </c>
      <c r="G1712" s="3" t="s">
        <v>4434</v>
      </c>
    </row>
    <row r="1713">
      <c r="A1713" s="3" t="s">
        <v>7571</v>
      </c>
      <c r="B1713" s="4" t="str">
        <f>IFERROR(__xludf.DUMMYFUNCTION("GOOGLETRANSLATE(A1713, ""en"", ""te"")"),"జి. పుల్లారెడ్డి బటర్ మురుక్కు")</f>
        <v>జి. పుల్లారెడ్డి బటర్ మురుక్కు</v>
      </c>
      <c r="C1713" s="4" t="str">
        <f>IFERROR(__xludf.DUMMYFUNCTION("GOOGLETRANSLATE(A1713, ""en"", ""hi"")"),"जी. पुल्ला रेड्डी बटर मुरुक्कू")</f>
        <v>जी. पुल्ला रेड्डी बटर मुरुक्कू</v>
      </c>
      <c r="D1713" s="5"/>
      <c r="E1713" s="2" t="s">
        <v>1294</v>
      </c>
      <c r="F1713" s="1">
        <v>4.0</v>
      </c>
      <c r="G1713" s="3" t="s">
        <v>4434</v>
      </c>
    </row>
    <row r="1714">
      <c r="A1714" s="3" t="s">
        <v>7536</v>
      </c>
      <c r="B1714" s="4" t="str">
        <f>IFERROR(__xludf.DUMMYFUNCTION("GOOGLETRANSLATE(A1714, ""en"", ""te"")"),"శ్వేత తెలుగు శకినాలు")</f>
        <v>శ్వేత తెలుగు శకినాలు</v>
      </c>
      <c r="C1714" s="4" t="str">
        <f>IFERROR(__xludf.DUMMYFUNCTION("GOOGLETRANSLATE(A1714, ""en"", ""hi"")"),"श्वेता तेलुगु सकीनालू")</f>
        <v>श्वेता तेलुगु सकीनालू</v>
      </c>
      <c r="D1714" s="2" t="s">
        <v>7537</v>
      </c>
      <c r="E1714" s="2" t="s">
        <v>1294</v>
      </c>
      <c r="F1714" s="1">
        <v>4.0</v>
      </c>
      <c r="G1714" s="3" t="s">
        <v>4434</v>
      </c>
    </row>
    <row r="1715">
      <c r="A1715" s="3" t="s">
        <v>7572</v>
      </c>
      <c r="B1715" s="4" t="str">
        <f>IFERROR(__xludf.DUMMYFUNCTION("GOOGLETRANSLATE(A1715, ""en"", ""te"")"),"ఆనంద్ రిబ్బన్ పకోడా")</f>
        <v>ఆనంద్ రిబ్బన్ పకోడా</v>
      </c>
      <c r="C1715" s="4" t="str">
        <f>IFERROR(__xludf.DUMMYFUNCTION("GOOGLETRANSLATE(A1715, ""en"", ""hi"")"),"आनंद रिबन पकोड़ा")</f>
        <v>आनंद रिबन पकोड़ा</v>
      </c>
      <c r="D1715" s="5"/>
      <c r="E1715" s="2" t="s">
        <v>1294</v>
      </c>
      <c r="F1715" s="1">
        <v>4.0</v>
      </c>
      <c r="G1715" s="3" t="s">
        <v>4446</v>
      </c>
    </row>
    <row r="1716">
      <c r="A1716" s="3" t="s">
        <v>7573</v>
      </c>
      <c r="B1716" s="4" t="str">
        <f>IFERROR(__xludf.DUMMYFUNCTION("GOOGLETRANSLATE(A1716, ""en"", ""te"")"),"ఆనంద్ రాగి మురుకు")</f>
        <v>ఆనంద్ రాగి మురుకు</v>
      </c>
      <c r="C1716" s="4" t="str">
        <f>IFERROR(__xludf.DUMMYFUNCTION("GOOGLETRANSLATE(A1716, ""en"", ""hi"")"),"आनंद रागी मुरुक्कू")</f>
        <v>आनंद रागी मुरुक्कू</v>
      </c>
      <c r="D1716" s="2" t="s">
        <v>7537</v>
      </c>
      <c r="E1716" s="2" t="s">
        <v>1294</v>
      </c>
      <c r="F1716" s="1">
        <v>4.0</v>
      </c>
      <c r="G1716" s="3" t="s">
        <v>4446</v>
      </c>
    </row>
    <row r="1717">
      <c r="A1717" s="3" t="s">
        <v>7574</v>
      </c>
      <c r="B1717" s="4" t="str">
        <f>IFERROR(__xludf.DUMMYFUNCTION("GOOGLETRANSLATE(A1717, ""en"", ""te"")"),"ఆనంద్ ప్లాంటైన్ చిప్స్ సాల్టెడ్")</f>
        <v>ఆనంద్ ప్లాంటైన్ చిప్స్ సాల్టెడ్</v>
      </c>
      <c r="C1717" s="4" t="str">
        <f>IFERROR(__xludf.DUMMYFUNCTION("GOOGLETRANSLATE(A1717, ""en"", ""hi"")"),"आनंद नमकीन केले के चिप्स")</f>
        <v>आनंद नमकीन केले के चिप्स</v>
      </c>
      <c r="D1717" s="5"/>
      <c r="E1717" s="2" t="s">
        <v>1294</v>
      </c>
      <c r="F1717" s="1">
        <v>4.0</v>
      </c>
      <c r="G1717" s="3" t="s">
        <v>4446</v>
      </c>
    </row>
    <row r="1718">
      <c r="A1718" s="3" t="s">
        <v>7575</v>
      </c>
      <c r="B1718" s="4" t="str">
        <f>IFERROR(__xludf.DUMMYFUNCTION("GOOGLETRANSLATE(A1718, ""en"", ""te"")"),"ఆనంద్ స్పెషల్ పాలక్ మురుకు")</f>
        <v>ఆనంద్ స్పెషల్ పాలక్ మురుకు</v>
      </c>
      <c r="C1718" s="4" t="str">
        <f>IFERROR(__xludf.DUMMYFUNCTION("GOOGLETRANSLATE(A1718, ""en"", ""hi"")"),"आनंद स्पेशल पालक मुरुक्कू")</f>
        <v>आनंद स्पेशल पालक मुरुक्कू</v>
      </c>
      <c r="D1718" s="2" t="s">
        <v>7576</v>
      </c>
      <c r="E1718" s="2" t="s">
        <v>1294</v>
      </c>
      <c r="F1718" s="1">
        <v>4.0</v>
      </c>
      <c r="G1718" s="3" t="s">
        <v>4446</v>
      </c>
    </row>
    <row r="1719">
      <c r="A1719" s="3" t="s">
        <v>715</v>
      </c>
      <c r="B1719" s="4" t="str">
        <f>IFERROR(__xludf.DUMMYFUNCTION("GOOGLETRANSLATE(A1719, ""en"", ""te"")"),"ఆనంద్ మురుకు మినీ")</f>
        <v>ఆనంద్ మురుకు మినీ</v>
      </c>
      <c r="C1719" s="4" t="str">
        <f>IFERROR(__xludf.DUMMYFUNCTION("GOOGLETRANSLATE(A1719, ""en"", ""hi"")"),"आनंद मुरुकु मिनी")</f>
        <v>आनंद मुरुकु मिनी</v>
      </c>
      <c r="D1719" s="2" t="s">
        <v>7577</v>
      </c>
      <c r="E1719" s="2" t="s">
        <v>1294</v>
      </c>
      <c r="F1719" s="1">
        <v>4.0</v>
      </c>
      <c r="G1719" s="3" t="s">
        <v>4446</v>
      </c>
    </row>
    <row r="1720">
      <c r="A1720" s="3" t="s">
        <v>7578</v>
      </c>
      <c r="B1720" s="4" t="str">
        <f>IFERROR(__xludf.DUMMYFUNCTION("GOOGLETRANSLATE(A1720, ""en"", ""te"")"),"ఆనంద్ మినీ భాకర్వాడి")</f>
        <v>ఆనంద్ మినీ భాకర్వాడి</v>
      </c>
      <c r="C1720" s="4" t="str">
        <f>IFERROR(__xludf.DUMMYFUNCTION("GOOGLETRANSLATE(A1720, ""en"", ""hi"")"),"आनंद मिनी भाकरवाड़ी")</f>
        <v>आनंद मिनी भाकरवाड़ी</v>
      </c>
      <c r="D1720" s="2" t="s">
        <v>440</v>
      </c>
      <c r="E1720" s="2" t="s">
        <v>1294</v>
      </c>
      <c r="F1720" s="1">
        <v>4.0</v>
      </c>
      <c r="G1720" s="3" t="s">
        <v>4446</v>
      </c>
    </row>
    <row r="1721">
      <c r="A1721" s="3" t="s">
        <v>7544</v>
      </c>
      <c r="B1721" s="4" t="str">
        <f>IFERROR(__xludf.DUMMYFUNCTION("GOOGLETRANSLATE(A1721, ""en"", ""te"")"),"ఆనంద్ మసాలా చనాడల్")</f>
        <v>ఆనంద్ మసాలా చనాడల్</v>
      </c>
      <c r="C1721" s="4" t="str">
        <f>IFERROR(__xludf.DUMMYFUNCTION("GOOGLETRANSLATE(A1721, ""en"", ""hi"")"),"आनंद मसाला चनादल")</f>
        <v>आनंद मसाला चनादल</v>
      </c>
      <c r="D1721" s="2" t="s">
        <v>1655</v>
      </c>
      <c r="E1721" s="2" t="s">
        <v>442</v>
      </c>
      <c r="F1721" s="1">
        <v>4.0</v>
      </c>
      <c r="G1721" s="3" t="s">
        <v>4446</v>
      </c>
    </row>
    <row r="1722">
      <c r="A1722" s="3" t="s">
        <v>7579</v>
      </c>
      <c r="B1722" s="4" t="str">
        <f>IFERROR(__xludf.DUMMYFUNCTION("GOOGLETRANSLATE(A1722, ""en"", ""te"")"),"యూరో టేస్టీ పీనట్స్")</f>
        <v>యూరో టేస్టీ పీనట్స్</v>
      </c>
      <c r="C1722" s="4" t="str">
        <f>IFERROR(__xludf.DUMMYFUNCTION("GOOGLETRANSLATE(A1722, ""en"", ""hi"")"),"यूरो टेस्टी मूंगफली")</f>
        <v>यूरो टेस्टी मूंगफली</v>
      </c>
      <c r="D1722" s="2" t="s">
        <v>945</v>
      </c>
      <c r="E1722" s="2" t="s">
        <v>2700</v>
      </c>
      <c r="F1722" s="1">
        <v>4.0</v>
      </c>
      <c r="G1722" s="3" t="s">
        <v>329</v>
      </c>
    </row>
    <row r="1723">
      <c r="A1723" s="3" t="s">
        <v>7580</v>
      </c>
      <c r="B1723" s="4" t="str">
        <f>IFERROR(__xludf.DUMMYFUNCTION("GOOGLETRANSLATE(A1723, ""en"", ""te"")"),"యూరో షాహి మిశ్రమం")</f>
        <v>యూరో షాహి మిశ్రమం</v>
      </c>
      <c r="C1723" s="4" t="str">
        <f>IFERROR(__xludf.DUMMYFUNCTION("GOOGLETRANSLATE(A1723, ""en"", ""hi"")"),"यूरो शाही मिश्रण")</f>
        <v>यूरो शाही मिश्रण</v>
      </c>
      <c r="D1723" s="5"/>
      <c r="E1723" s="2" t="s">
        <v>1294</v>
      </c>
      <c r="F1723" s="1">
        <v>4.0</v>
      </c>
      <c r="G1723" s="3" t="s">
        <v>329</v>
      </c>
    </row>
    <row r="1724">
      <c r="A1724" s="3" t="s">
        <v>7581</v>
      </c>
      <c r="B1724" s="4" t="str">
        <f>IFERROR(__xludf.DUMMYFUNCTION("GOOGLETRANSLATE(A1724, ""en"", ""te"")"),"యూరో రత్లామి సెవ్")</f>
        <v>యూరో రత్లామి సెవ్</v>
      </c>
      <c r="C1724" s="4" t="str">
        <f>IFERROR(__xludf.DUMMYFUNCTION("GOOGLETRANSLATE(A1724, ""en"", ""hi"")"),"यूरो रतलामी सेव")</f>
        <v>यूरो रतलामी सेव</v>
      </c>
      <c r="D1724" s="2" t="s">
        <v>6339</v>
      </c>
      <c r="E1724" s="2" t="s">
        <v>1294</v>
      </c>
      <c r="F1724" s="1">
        <v>4.0</v>
      </c>
      <c r="G1724" s="3" t="s">
        <v>329</v>
      </c>
    </row>
    <row r="1725">
      <c r="A1725" s="3" t="s">
        <v>7582</v>
      </c>
      <c r="B1725" s="4" t="str">
        <f>IFERROR(__xludf.DUMMYFUNCTION("GOOGLETRANSLATE(A1725, ""en"", ""te"")"),"యూరో నైలాన్ సెవ్")</f>
        <v>యూరో నైలాన్ సెవ్</v>
      </c>
      <c r="C1725" s="4" t="str">
        <f>IFERROR(__xludf.DUMMYFUNCTION("GOOGLETRANSLATE(A1725, ""en"", ""hi"")"),"यूरो नायलॉन सेव")</f>
        <v>यूरो नायलॉन सेव</v>
      </c>
      <c r="D1725" s="5"/>
      <c r="E1725" s="2" t="s">
        <v>1294</v>
      </c>
      <c r="F1725" s="1">
        <v>4.0</v>
      </c>
      <c r="G1725" s="3" t="s">
        <v>329</v>
      </c>
    </row>
    <row r="1726">
      <c r="A1726" s="3" t="s">
        <v>7583</v>
      </c>
      <c r="B1726" s="4" t="str">
        <f>IFERROR(__xludf.DUMMYFUNCTION("GOOGLETRANSLATE(A1726, ""en"", ""te"")"),"యూరో నవరతన్ మిక్స్")</f>
        <v>యూరో నవరతన్ మిక్స్</v>
      </c>
      <c r="C1726" s="4" t="str">
        <f>IFERROR(__xludf.DUMMYFUNCTION("GOOGLETRANSLATE(A1726, ""en"", ""hi"")"),"यूरो नवरतन मिक्स")</f>
        <v>यूरो नवरतन मिक्स</v>
      </c>
      <c r="D1726" s="2" t="s">
        <v>7584</v>
      </c>
      <c r="E1726" s="2" t="s">
        <v>940</v>
      </c>
      <c r="F1726" s="1">
        <v>4.0</v>
      </c>
      <c r="G1726" s="3" t="s">
        <v>329</v>
      </c>
    </row>
    <row r="1727">
      <c r="A1727" s="3" t="s">
        <v>7585</v>
      </c>
      <c r="B1727" s="4" t="str">
        <f>IFERROR(__xludf.DUMMYFUNCTION("GOOGLETRANSLATE(A1727, ""en"", ""te"")"),"యూరో మసాలా సోయా")</f>
        <v>యూరో మసాలా సోయా</v>
      </c>
      <c r="C1727" s="4" t="str">
        <f>IFERROR(__xludf.DUMMYFUNCTION("GOOGLETRANSLATE(A1727, ""en"", ""hi"")"),"यूरो मसाला सोया")</f>
        <v>यूरो मसाला सोया</v>
      </c>
      <c r="D1727" s="5"/>
      <c r="E1727" s="2" t="s">
        <v>940</v>
      </c>
      <c r="F1727" s="1">
        <v>4.0</v>
      </c>
      <c r="G1727" s="3" t="s">
        <v>329</v>
      </c>
    </row>
    <row r="1728">
      <c r="A1728" s="3" t="s">
        <v>7586</v>
      </c>
      <c r="B1728" s="4" t="str">
        <f>IFERROR(__xludf.DUMMYFUNCTION("GOOGLETRANSLATE(A1728, ""en"", ""te"")"),"యూరో మద్రాస్ మిక్స్")</f>
        <v>యూరో మద్రాస్ మిక్స్</v>
      </c>
      <c r="C1728" s="4" t="str">
        <f>IFERROR(__xludf.DUMMYFUNCTION("GOOGLETRANSLATE(A1728, ""en"", ""hi"")"),"यूरो मद्रास मिक्स")</f>
        <v>यूरो मद्रास मिक्स</v>
      </c>
      <c r="D1728" s="2" t="s">
        <v>7587</v>
      </c>
      <c r="E1728" s="2" t="s">
        <v>940</v>
      </c>
      <c r="F1728" s="1">
        <v>4.0</v>
      </c>
      <c r="G1728" s="3" t="s">
        <v>329</v>
      </c>
    </row>
    <row r="1729">
      <c r="A1729" s="3" t="s">
        <v>7588</v>
      </c>
      <c r="B1729" s="4" t="str">
        <f>IFERROR(__xludf.DUMMYFUNCTION("GOOGLETRANSLATE(A1729, ""en"", ""te"")"),"జాబ్సన్స్ సోయా స్టిక్స్ మ్యాజిక్ మసాలా")</f>
        <v>జాబ్సన్స్ సోయా స్టిక్స్ మ్యాజిక్ మసాలా</v>
      </c>
      <c r="C1729" s="4" t="str">
        <f>IFERROR(__xludf.DUMMYFUNCTION("GOOGLETRANSLATE(A1729, ""en"", ""hi"")"),"जैब्सन्स सोया स्टिक्स मैजिक मसाला")</f>
        <v>जैब्सन्स सोया स्टिक्स मैजिक मसाला</v>
      </c>
      <c r="D1729" s="5"/>
      <c r="E1729" s="2" t="s">
        <v>1294</v>
      </c>
      <c r="F1729" s="1">
        <v>4.0</v>
      </c>
      <c r="G1729" s="3" t="s">
        <v>524</v>
      </c>
    </row>
    <row r="1730">
      <c r="A1730" s="3" t="s">
        <v>7589</v>
      </c>
      <c r="B1730" s="4" t="str">
        <f>IFERROR(__xludf.DUMMYFUNCTION("GOOGLETRANSLATE(A1730, ""en"", ""te"")"),"జాబ్సన్స్ సోయా స్టిక్స్ టాంగీ టొమాటో")</f>
        <v>జాబ్సన్స్ సోయా స్టిక్స్ టాంగీ టొమాటో</v>
      </c>
      <c r="C1730" s="4" t="str">
        <f>IFERROR(__xludf.DUMMYFUNCTION("GOOGLETRANSLATE(A1730, ""en"", ""hi"")"),"जैब्सन्स सोया स्टिक्स टैंगी टोमैटो")</f>
        <v>जैब्सन्स सोया स्टिक्स टैंगी टोमैटो</v>
      </c>
      <c r="D1730" s="5"/>
      <c r="E1730" s="2" t="s">
        <v>1294</v>
      </c>
      <c r="F1730" s="1">
        <v>4.0</v>
      </c>
      <c r="G1730" s="3" t="s">
        <v>524</v>
      </c>
    </row>
    <row r="1731">
      <c r="A1731" s="3" t="s">
        <v>7590</v>
      </c>
      <c r="B1731" s="4" t="str">
        <f>IFERROR(__xludf.DUMMYFUNCTION("GOOGLETRANSLATE(A1731, ""en"", ""te"")"),"జాబ్సన్స్ సబుదానా మిక్స్")</f>
        <v>జాబ్సన్స్ సబుదానా మిక్స్</v>
      </c>
      <c r="C1731" s="4" t="str">
        <f>IFERROR(__xludf.DUMMYFUNCTION("GOOGLETRANSLATE(A1731, ""en"", ""hi"")"),"जैब्सन्स साबूदाना मिक्स")</f>
        <v>जैब्सन्स साबूदाना मिक्स</v>
      </c>
      <c r="D1731" s="2" t="s">
        <v>6469</v>
      </c>
      <c r="E1731" s="2" t="s">
        <v>940</v>
      </c>
      <c r="F1731" s="1">
        <v>4.0</v>
      </c>
      <c r="G1731" s="3" t="s">
        <v>524</v>
      </c>
    </row>
    <row r="1732">
      <c r="A1732" s="3" t="s">
        <v>7591</v>
      </c>
      <c r="B1732" s="4" t="str">
        <f>IFERROR(__xludf.DUMMYFUNCTION("GOOGLETRANSLATE(A1732, ""en"", ""te"")"),"జాబ్సన్స్ ఫలహారి మిశ్రమం")</f>
        <v>జాబ్సన్స్ ఫలహారి మిశ్రమం</v>
      </c>
      <c r="C1732" s="4" t="str">
        <f>IFERROR(__xludf.DUMMYFUNCTION("GOOGLETRANSLATE(A1732, ""en"", ""hi"")"),"जैब्सन फलाहारी मिश्रण")</f>
        <v>जैब्सन फलाहारी मिश्रण</v>
      </c>
      <c r="D1732" s="5"/>
      <c r="E1732" s="2" t="s">
        <v>1294</v>
      </c>
      <c r="F1732" s="1">
        <v>4.0</v>
      </c>
      <c r="G1732" s="3" t="s">
        <v>524</v>
      </c>
    </row>
    <row r="1733">
      <c r="A1733" s="3" t="s">
        <v>7592</v>
      </c>
      <c r="B1733" s="4" t="str">
        <f>IFERROR(__xludf.DUMMYFUNCTION("GOOGLETRANSLATE(A1733, ""en"", ""te"")"),"గర్వి గుజరాత్ పసుపు అరటిపండు వేఫర్లు")</f>
        <v>గర్వి గుజరాత్ పసుపు అరటిపండు వేఫర్లు</v>
      </c>
      <c r="C1733" s="4" t="str">
        <f>IFERROR(__xludf.DUMMYFUNCTION("GOOGLETRANSLATE(A1733, ""en"", ""hi"")"),"गरवी गुजरात येलो बनाना वेफर्स")</f>
        <v>गरवी गुजरात येलो बनाना वेफर्स</v>
      </c>
      <c r="D1733" s="2" t="s">
        <v>7508</v>
      </c>
      <c r="E1733" s="2" t="s">
        <v>1294</v>
      </c>
      <c r="F1733" s="1">
        <v>4.0</v>
      </c>
      <c r="G1733" s="3" t="s">
        <v>530</v>
      </c>
    </row>
    <row r="1734">
      <c r="A1734" s="3" t="s">
        <v>7593</v>
      </c>
      <c r="B1734" s="4" t="str">
        <f>IFERROR(__xludf.DUMMYFUNCTION("GOOGLETRANSLATE(A1734, ""en"", ""te"")"),"గర్వి గుజరాత్ సదా సేవ")</f>
        <v>గర్వి గుజరాత్ సదా సేవ</v>
      </c>
      <c r="C1734" s="4" t="str">
        <f>IFERROR(__xludf.DUMMYFUNCTION("GOOGLETRANSLATE(A1734, ""en"", ""hi"")"),"गरवी गुजरात सदा सेव")</f>
        <v>गरवी गुजरात सदा सेव</v>
      </c>
      <c r="D1734" s="2" t="s">
        <v>7174</v>
      </c>
      <c r="E1734" s="2" t="s">
        <v>1294</v>
      </c>
      <c r="F1734" s="1">
        <v>4.0</v>
      </c>
      <c r="G1734" s="3" t="s">
        <v>530</v>
      </c>
    </row>
    <row r="1735">
      <c r="A1735" s="3" t="s">
        <v>7594</v>
      </c>
      <c r="B1735" s="4" t="str">
        <f>IFERROR(__xludf.DUMMYFUNCTION("GOOGLETRANSLATE(A1735, ""en"", ""te"")"),"గర్వి గుజరాత్ కాల్చిన పోహా చివ్డా")</f>
        <v>గర్వి గుజరాత్ కాల్చిన పోహా చివ్డా</v>
      </c>
      <c r="C1735" s="4" t="str">
        <f>IFERROR(__xludf.DUMMYFUNCTION("GOOGLETRANSLATE(A1735, ""en"", ""hi"")"),"गरवी गुजरात भुना हुआ पोहा चिवड़ा")</f>
        <v>गरवी गुजरात भुना हुआ पोहा चिवड़ा</v>
      </c>
      <c r="D1735" s="2" t="s">
        <v>7595</v>
      </c>
      <c r="E1735" s="2" t="s">
        <v>1294</v>
      </c>
      <c r="F1735" s="1">
        <v>4.0</v>
      </c>
      <c r="G1735" s="3" t="s">
        <v>530</v>
      </c>
    </row>
    <row r="1736">
      <c r="A1736" s="3" t="s">
        <v>3191</v>
      </c>
      <c r="B1736" s="4" t="str">
        <f>IFERROR(__xludf.DUMMYFUNCTION("GOOGLETRANSLATE(A1736, ""en"", ""te"")"),"గర్వి గుజరాత్ రత్లామి సేవ్")</f>
        <v>గర్వి గుజరాత్ రత్లామి సేవ్</v>
      </c>
      <c r="C1736" s="4" t="str">
        <f>IFERROR(__xludf.DUMMYFUNCTION("GOOGLETRANSLATE(A1736, ""en"", ""hi"")"),"गरवी गुजरात रतलामी सेव")</f>
        <v>गरवी गुजरात रतलामी सेव</v>
      </c>
      <c r="D1736" s="2" t="s">
        <v>7596</v>
      </c>
      <c r="E1736" s="2" t="s">
        <v>1294</v>
      </c>
      <c r="F1736" s="1">
        <v>4.0</v>
      </c>
      <c r="G1736" s="3" t="s">
        <v>530</v>
      </c>
    </row>
    <row r="1737">
      <c r="A1737" s="3" t="s">
        <v>7597</v>
      </c>
      <c r="B1737" s="4" t="str">
        <f>IFERROR(__xludf.DUMMYFUNCTION("GOOGLETRANSLATE(A1737, ""en"", ""te"")"),"గర్వి గుజరాత్ నదియాది మిక్స్")</f>
        <v>గర్వి గుజరాత్ నదియాది మిక్స్</v>
      </c>
      <c r="C1737" s="4" t="str">
        <f>IFERROR(__xludf.DUMMYFUNCTION("GOOGLETRANSLATE(A1737, ""en"", ""hi"")"),"गरवी गुजरात नाडियाडी मिक्स")</f>
        <v>गरवी गुजरात नाडियाडी मिक्स</v>
      </c>
      <c r="D1737" s="2" t="s">
        <v>7598</v>
      </c>
      <c r="E1737" s="2" t="s">
        <v>1294</v>
      </c>
      <c r="F1737" s="1">
        <v>4.0</v>
      </c>
      <c r="G1737" s="3" t="s">
        <v>530</v>
      </c>
    </row>
    <row r="1738">
      <c r="A1738" s="3" t="s">
        <v>7599</v>
      </c>
      <c r="B1738" s="4" t="str">
        <f>IFERROR(__xludf.DUMMYFUNCTION("GOOGLETRANSLATE(A1738, ""en"", ""te"")"),"గర్వి గుజరాత్ గుజరాతీ చక్రి")</f>
        <v>గర్వి గుజరాత్ గుజరాతీ చక్రి</v>
      </c>
      <c r="C1738" s="4" t="str">
        <f>IFERROR(__xludf.DUMMYFUNCTION("GOOGLETRANSLATE(A1738, ""en"", ""hi"")"),"गरवी गुजरात गुजराती चक्री")</f>
        <v>गरवी गुजरात गुजराती चक्री</v>
      </c>
      <c r="D1738" s="2" t="s">
        <v>7600</v>
      </c>
      <c r="E1738" s="2" t="s">
        <v>1294</v>
      </c>
      <c r="F1738" s="1">
        <v>4.0</v>
      </c>
      <c r="G1738" s="3" t="s">
        <v>530</v>
      </c>
    </row>
    <row r="1739">
      <c r="A1739" s="3" t="s">
        <v>7601</v>
      </c>
      <c r="B1739" s="4" t="str">
        <f>IFERROR(__xludf.DUMMYFUNCTION("GOOGLETRANSLATE(A1739, ""en"", ""te"")"),"గర్వి గుజరాత్ భుంగ్రా")</f>
        <v>గర్వి గుజరాత్ భుంగ్రా</v>
      </c>
      <c r="C1739" s="4" t="str">
        <f>IFERROR(__xludf.DUMMYFUNCTION("GOOGLETRANSLATE(A1739, ""en"", ""hi"")"),"गरवी गुजरात भुंगरा")</f>
        <v>गरवी गुजरात भुंगरा</v>
      </c>
      <c r="D1739" s="2" t="s">
        <v>4054</v>
      </c>
      <c r="E1739" s="2" t="s">
        <v>1294</v>
      </c>
      <c r="F1739" s="1">
        <v>4.0</v>
      </c>
      <c r="G1739" s="3" t="s">
        <v>449</v>
      </c>
    </row>
    <row r="1740">
      <c r="A1740" s="3" t="s">
        <v>7602</v>
      </c>
      <c r="B1740" s="4" t="str">
        <f>IFERROR(__xludf.DUMMYFUNCTION("GOOGLETRANSLATE(A1740, ""en"", ""te"")"),"జాబ్సన్స్ సబుదానా మిశ్రమం")</f>
        <v>జాబ్సన్స్ సబుదానా మిశ్రమం</v>
      </c>
      <c r="C1740" s="4" t="str">
        <f>IFERROR(__xludf.DUMMYFUNCTION("GOOGLETRANSLATE(A1740, ""en"", ""hi"")"),"जैब्सन साबूदाना मिश्रण")</f>
        <v>जैब्सन साबूदाना मिश्रण</v>
      </c>
      <c r="D1740" s="2" t="s">
        <v>4054</v>
      </c>
      <c r="E1740" s="2" t="s">
        <v>1294</v>
      </c>
      <c r="F1740" s="1">
        <v>4.0</v>
      </c>
      <c r="G1740" s="3" t="s">
        <v>530</v>
      </c>
    </row>
    <row r="1741">
      <c r="A1741" s="3" t="s">
        <v>7591</v>
      </c>
      <c r="B1741" s="4" t="str">
        <f>IFERROR(__xludf.DUMMYFUNCTION("GOOGLETRANSLATE(A1741, ""en"", ""te"")"),"జాబ్సన్స్ ఫలహారి మిశ్రమం")</f>
        <v>జాబ్సన్స్ ఫలహారి మిశ్రమం</v>
      </c>
      <c r="C1741" s="4" t="str">
        <f>IFERROR(__xludf.DUMMYFUNCTION("GOOGLETRANSLATE(A1741, ""en"", ""hi"")"),"जैब्सन फलाहारी मिश्रण")</f>
        <v>जैब्सन फलाहारी मिश्रण</v>
      </c>
      <c r="D1741" s="5"/>
      <c r="E1741" s="2" t="s">
        <v>1294</v>
      </c>
      <c r="F1741" s="1">
        <v>4.0</v>
      </c>
      <c r="G1741" s="3" t="s">
        <v>530</v>
      </c>
    </row>
    <row r="1742">
      <c r="A1742" s="3" t="s">
        <v>7603</v>
      </c>
      <c r="B1742" s="4" t="str">
        <f>IFERROR(__xludf.DUMMYFUNCTION("GOOGLETRANSLATE(A1742, ""en"", ""te"")"),"హల్దీరామ్స్ బికనేరి భుజియా")</f>
        <v>హల్దీరామ్స్ బికనేరి భుజియా</v>
      </c>
      <c r="C1742" s="4" t="str">
        <f>IFERROR(__xludf.DUMMYFUNCTION("GOOGLETRANSLATE(A1742, ""en"", ""hi"")"),"हल्दीराम की बीकानेरी भुजिया")</f>
        <v>हल्दीराम की बीकानेरी भुजिया</v>
      </c>
      <c r="D1742" s="2" t="s">
        <v>4932</v>
      </c>
      <c r="E1742" s="2" t="s">
        <v>1294</v>
      </c>
      <c r="F1742" s="1">
        <v>4.0</v>
      </c>
      <c r="G1742" s="3" t="s">
        <v>530</v>
      </c>
    </row>
    <row r="1743">
      <c r="A1743" s="3" t="s">
        <v>7604</v>
      </c>
      <c r="B1743" s="4" t="str">
        <f>IFERROR(__xludf.DUMMYFUNCTION("GOOGLETRANSLATE(A1743, ""en"", ""te"")"),"లింబు మారి సెవ్")</f>
        <v>లింబు మారి సెవ్</v>
      </c>
      <c r="C1743" s="4" t="str">
        <f>IFERROR(__xludf.DUMMYFUNCTION("GOOGLETRANSLATE(A1743, ""en"", ""hi"")"),"लिंबू मारी सेव")</f>
        <v>लिंबू मारी सेव</v>
      </c>
      <c r="D1743" s="5"/>
      <c r="E1743" s="2" t="s">
        <v>996</v>
      </c>
      <c r="F1743" s="1">
        <v>4.0</v>
      </c>
      <c r="G1743" s="3" t="s">
        <v>530</v>
      </c>
    </row>
    <row r="1744">
      <c r="A1744" s="3" t="s">
        <v>3191</v>
      </c>
      <c r="B1744" s="4" t="str">
        <f>IFERROR(__xludf.DUMMYFUNCTION("GOOGLETRANSLATE(A1744, ""en"", ""te"")"),"గర్వి గుజరాత్ రత్లామి సేవ్")</f>
        <v>గర్వి గుజరాత్ రత్లామి సేవ్</v>
      </c>
      <c r="C1744" s="4" t="str">
        <f>IFERROR(__xludf.DUMMYFUNCTION("GOOGLETRANSLATE(A1744, ""en"", ""hi"")"),"गरवी गुजरात रतलामी सेव")</f>
        <v>गरवी गुजरात रतलामी सेव</v>
      </c>
      <c r="D1744" s="2" t="s">
        <v>7596</v>
      </c>
      <c r="E1744" s="2" t="s">
        <v>1294</v>
      </c>
      <c r="F1744" s="1">
        <v>4.0</v>
      </c>
      <c r="G1744" s="3" t="s">
        <v>449</v>
      </c>
    </row>
    <row r="1745">
      <c r="A1745" s="3" t="s">
        <v>7597</v>
      </c>
      <c r="B1745" s="4" t="str">
        <f>IFERROR(__xludf.DUMMYFUNCTION("GOOGLETRANSLATE(A1745, ""en"", ""te"")"),"గర్వి గుజరాత్ నదియాది మిక్స్")</f>
        <v>గర్వి గుజరాత్ నదియాది మిక్స్</v>
      </c>
      <c r="C1745" s="4" t="str">
        <f>IFERROR(__xludf.DUMMYFUNCTION("GOOGLETRANSLATE(A1745, ""en"", ""hi"")"),"गरवी गुजरात नाडियाडी मिक्स")</f>
        <v>गरवी गुजरात नाडियाडी मिक्स</v>
      </c>
      <c r="D1745" s="2" t="s">
        <v>7598</v>
      </c>
      <c r="E1745" s="2" t="s">
        <v>1294</v>
      </c>
      <c r="F1745" s="1">
        <v>4.0</v>
      </c>
      <c r="G1745" s="3" t="s">
        <v>449</v>
      </c>
    </row>
    <row r="1746">
      <c r="A1746" s="3" t="s">
        <v>7599</v>
      </c>
      <c r="B1746" s="4" t="str">
        <f>IFERROR(__xludf.DUMMYFUNCTION("GOOGLETRANSLATE(A1746, ""en"", ""te"")"),"గర్వి గుజరాత్ గుజరాతీ చక్రి")</f>
        <v>గర్వి గుజరాత్ గుజరాతీ చక్రి</v>
      </c>
      <c r="C1746" s="4" t="str">
        <f>IFERROR(__xludf.DUMMYFUNCTION("GOOGLETRANSLATE(A1746, ""en"", ""hi"")"),"गरवी गुजरात गुजराती चक्री")</f>
        <v>गरवी गुजरात गुजराती चक्री</v>
      </c>
      <c r="D1746" s="2" t="s">
        <v>7600</v>
      </c>
      <c r="E1746" s="2" t="s">
        <v>1294</v>
      </c>
      <c r="F1746" s="1">
        <v>4.0</v>
      </c>
      <c r="G1746" s="3" t="s">
        <v>449</v>
      </c>
    </row>
    <row r="1747">
      <c r="A1747" s="3" t="s">
        <v>7605</v>
      </c>
      <c r="B1747" s="4" t="str">
        <f>IFERROR(__xludf.DUMMYFUNCTION("GOOGLETRANSLATE(A1747, ""en"", ""te"")"),"కుర్కురే మసాలా మంచ్")</f>
        <v>కుర్కురే మసాలా మంచ్</v>
      </c>
      <c r="C1747" s="4" t="str">
        <f>IFERROR(__xludf.DUMMYFUNCTION("GOOGLETRANSLATE(A1747, ""en"", ""hi"")"),"कुरकुरे मसाला मंच")</f>
        <v>कुरकुरे मसाला मंच</v>
      </c>
      <c r="D1747" s="5"/>
      <c r="E1747" s="2" t="s">
        <v>1294</v>
      </c>
      <c r="F1747" s="1">
        <v>4.0</v>
      </c>
      <c r="G1747" s="3" t="s">
        <v>7479</v>
      </c>
    </row>
    <row r="1748">
      <c r="A1748" s="3" t="s">
        <v>7606</v>
      </c>
      <c r="B1748" s="4" t="str">
        <f>IFERROR(__xludf.DUMMYFUNCTION("GOOGLETRANSLATE(A1748, ""en"", ""te"")"),"లేస్ స్పానిష్ టొమాటో టాంగీ")</f>
        <v>లేస్ స్పానిష్ టొమాటో టాంగీ</v>
      </c>
      <c r="C1748" s="4" t="str">
        <f>IFERROR(__xludf.DUMMYFUNCTION("GOOGLETRANSLATE(A1748, ""en"", ""hi"")"),"लेज़ स्पैनिश टोमैटो टैंगी")</f>
        <v>लेज़ स्पैनिश टोमैटो टैंगी</v>
      </c>
      <c r="D1748" s="5"/>
      <c r="E1748" s="2" t="s">
        <v>1294</v>
      </c>
      <c r="F1748" s="1">
        <v>4.0</v>
      </c>
      <c r="G1748" s="3" t="s">
        <v>7479</v>
      </c>
    </row>
    <row r="1749">
      <c r="A1749" s="3" t="s">
        <v>7607</v>
      </c>
      <c r="B1749" s="4" t="str">
        <f>IFERROR(__xludf.DUMMYFUNCTION("GOOGLETRANSLATE(A1749, ""en"", ""te"")"),"ఆనంద బనానా పెప్పర్ చిప్స్")</f>
        <v>ఆనంద బనానా పెప్పర్ చిప్స్</v>
      </c>
      <c r="C1749" s="4" t="str">
        <f>IFERROR(__xludf.DUMMYFUNCTION("GOOGLETRANSLATE(A1749, ""en"", ""hi"")"),"आनंदा बनाना पेपर चिप्स")</f>
        <v>आनंदा बनाना पेपर चिप्स</v>
      </c>
      <c r="D1749" s="2" t="s">
        <v>7608</v>
      </c>
      <c r="E1749" s="2" t="s">
        <v>1294</v>
      </c>
      <c r="F1749" s="1">
        <v>4.0</v>
      </c>
      <c r="G1749" s="3" t="s">
        <v>71</v>
      </c>
    </row>
    <row r="1750">
      <c r="A1750" s="3" t="s">
        <v>7609</v>
      </c>
      <c r="B1750" s="4" t="str">
        <f>IFERROR(__xludf.DUMMYFUNCTION("GOOGLETRANSLATE(A1750, ""en"", ""te"")"),"అమ్మ వంటగది మద్రాస్ మిశ్రమం")</f>
        <v>అమ్మ వంటగది మద్రాస్ మిశ్రమం</v>
      </c>
      <c r="C1750" s="4" t="str">
        <f>IFERROR(__xludf.DUMMYFUNCTION("GOOGLETRANSLATE(A1750, ""en"", ""hi"")"),"अम्मा की रसोई का मद्रास मिश्रण")</f>
        <v>अम्मा की रसोई का मद्रास मिश्रण</v>
      </c>
      <c r="D1750" s="2" t="s">
        <v>7610</v>
      </c>
      <c r="E1750" s="2" t="s">
        <v>442</v>
      </c>
      <c r="F1750" s="1">
        <v>4.0</v>
      </c>
      <c r="G1750" s="3" t="s">
        <v>71</v>
      </c>
    </row>
    <row r="1751">
      <c r="A1751" s="3" t="s">
        <v>1658</v>
      </c>
      <c r="B1751" s="4" t="str">
        <f>IFERROR(__xludf.DUMMYFUNCTION("GOOGLETRANSLATE(A1751, ""en"", ""te"")"),"కేక్ రస్క్")</f>
        <v>కేక్ రస్క్</v>
      </c>
      <c r="C1751" s="4" t="str">
        <f>IFERROR(__xludf.DUMMYFUNCTION("GOOGLETRANSLATE(A1751, ""en"", ""hi"")"),"केक रस्क")</f>
        <v>केक रस्क</v>
      </c>
      <c r="D1751" s="2" t="s">
        <v>7387</v>
      </c>
      <c r="E1751" s="2" t="s">
        <v>4100</v>
      </c>
      <c r="F1751" s="1">
        <v>4.0</v>
      </c>
      <c r="G1751" s="3" t="s">
        <v>71</v>
      </c>
    </row>
    <row r="1752">
      <c r="A1752" s="3" t="s">
        <v>7611</v>
      </c>
      <c r="B1752" s="4" t="str">
        <f>IFERROR(__xludf.DUMMYFUNCTION("GOOGLETRANSLATE(A1752, ""en"", ""te"")"),"యూరో పెప్పర్ బనానా వేఫర్")</f>
        <v>యూరో పెప్పర్ బనానా వేఫర్</v>
      </c>
      <c r="C1752" s="4" t="str">
        <f>IFERROR(__xludf.DUMMYFUNCTION("GOOGLETRANSLATE(A1752, ""en"", ""hi"")"),"यूरो पेपर बनाना वेफर")</f>
        <v>यूरो पेपर बनाना वेफर</v>
      </c>
      <c r="D1752" s="2" t="s">
        <v>7612</v>
      </c>
      <c r="E1752" s="2" t="s">
        <v>1294</v>
      </c>
      <c r="F1752" s="1">
        <v>4.0</v>
      </c>
      <c r="G1752" s="3" t="s">
        <v>71</v>
      </c>
    </row>
    <row r="1753">
      <c r="A1753" s="3" t="s">
        <v>7613</v>
      </c>
      <c r="B1753" s="4" t="str">
        <f>IFERROR(__xludf.DUMMYFUNCTION("GOOGLETRANSLATE(A1753, ""en"", ""te"")"),"A2B తట్టై")</f>
        <v>A2B తట్టై</v>
      </c>
      <c r="C1753" s="4" t="str">
        <f>IFERROR(__xludf.DUMMYFUNCTION("GOOGLETRANSLATE(A1753, ""en"", ""hi"")"),"ए2बी थट्टई")</f>
        <v>ए2बी थट्टई</v>
      </c>
      <c r="D1753" s="5"/>
      <c r="E1753" s="2" t="s">
        <v>1294</v>
      </c>
      <c r="F1753" s="1">
        <v>4.0</v>
      </c>
      <c r="G1753" s="3" t="s">
        <v>76</v>
      </c>
    </row>
    <row r="1754">
      <c r="A1754" s="3" t="s">
        <v>7614</v>
      </c>
      <c r="B1754" s="4" t="str">
        <f>IFERROR(__xludf.DUMMYFUNCTION("GOOGLETRANSLATE(A1754, ""en"", ""te"")"),"A2B రిబ్బన్ పకోడా")</f>
        <v>A2B రిబ్బన్ పకోడా</v>
      </c>
      <c r="C1754" s="4" t="str">
        <f>IFERROR(__xludf.DUMMYFUNCTION("GOOGLETRANSLATE(A1754, ""en"", ""hi"")"),"ए2बी रिबन पकोड़ा")</f>
        <v>ए2बी रिबन पकोड़ा</v>
      </c>
      <c r="D1754" s="5"/>
      <c r="E1754" s="2" t="s">
        <v>1294</v>
      </c>
      <c r="F1754" s="1">
        <v>4.0</v>
      </c>
      <c r="G1754" s="3" t="s">
        <v>76</v>
      </c>
    </row>
    <row r="1755">
      <c r="A1755" s="3" t="s">
        <v>7615</v>
      </c>
      <c r="B1755" s="4" t="str">
        <f>IFERROR(__xludf.DUMMYFUNCTION("GOOGLETRANSLATE(A1755, ""en"", ""te"")"),"A2B పెప్పర్ తొట్టల్")</f>
        <v>A2B పెప్పర్ తొట్టల్</v>
      </c>
      <c r="C1755" s="4" t="str">
        <f>IFERROR(__xludf.DUMMYFUNCTION("GOOGLETRANSLATE(A1755, ""en"", ""hi"")"),"ए2बी पेपर थोट्टल")</f>
        <v>ए2बी पेपर थोट्टल</v>
      </c>
      <c r="D1755" s="5"/>
      <c r="E1755" s="2" t="s">
        <v>1294</v>
      </c>
      <c r="F1755" s="1">
        <v>4.0</v>
      </c>
      <c r="G1755" s="3" t="s">
        <v>76</v>
      </c>
    </row>
    <row r="1756">
      <c r="A1756" s="3" t="s">
        <v>7616</v>
      </c>
      <c r="B1756" s="4" t="str">
        <f>IFERROR(__xludf.DUMMYFUNCTION("GOOGLETRANSLATE(A1756, ""en"", ""te"")"),"A2B పెప్పర్ సేవ్")</f>
        <v>A2B పెప్పర్ సేవ్</v>
      </c>
      <c r="C1756" s="4" t="str">
        <f>IFERROR(__xludf.DUMMYFUNCTION("GOOGLETRANSLATE(A1756, ""en"", ""hi"")"),"A2B पेपर सेव")</f>
        <v>A2B पेपर सेव</v>
      </c>
      <c r="D1756" s="5"/>
      <c r="E1756" s="2" t="s">
        <v>1294</v>
      </c>
      <c r="F1756" s="1">
        <v>4.0</v>
      </c>
      <c r="G1756" s="3" t="s">
        <v>76</v>
      </c>
    </row>
    <row r="1757">
      <c r="A1757" s="3" t="s">
        <v>7617</v>
      </c>
      <c r="B1757" s="4" t="str">
        <f>IFERROR(__xludf.DUMMYFUNCTION("GOOGLETRANSLATE(A1757, ""en"", ""te"")"),"A2B నవధాన్య మిశ్రమం")</f>
        <v>A2B నవధాన్య మిశ్రమం</v>
      </c>
      <c r="C1757" s="4" t="str">
        <f>IFERROR(__xludf.DUMMYFUNCTION("GOOGLETRANSLATE(A1757, ""en"", ""hi"")"),"A2B नवधान्य मिश्रण")</f>
        <v>A2B नवधान्य मिश्रण</v>
      </c>
      <c r="D1757" s="2" t="s">
        <v>4054</v>
      </c>
      <c r="E1757" s="2" t="s">
        <v>1294</v>
      </c>
      <c r="F1757" s="1">
        <v>4.0</v>
      </c>
      <c r="G1757" s="3" t="s">
        <v>76</v>
      </c>
    </row>
    <row r="1758">
      <c r="A1758" s="3" t="s">
        <v>7618</v>
      </c>
      <c r="B1758" s="4" t="str">
        <f>IFERROR(__xludf.DUMMYFUNCTION("GOOGLETRANSLATE(A1758, ""en"", ""te"")"),"A2B కారా బూందీ")</f>
        <v>A2B కారా బూందీ</v>
      </c>
      <c r="C1758" s="4" t="str">
        <f>IFERROR(__xludf.DUMMYFUNCTION("GOOGLETRANSLATE(A1758, ""en"", ""hi"")"),"ए2बी कारा बूंदी")</f>
        <v>ए2बी कारा बूंदी</v>
      </c>
      <c r="D1758" s="5"/>
      <c r="E1758" s="2" t="s">
        <v>1294</v>
      </c>
      <c r="F1758" s="1">
        <v>4.0</v>
      </c>
      <c r="G1758" s="3" t="s">
        <v>76</v>
      </c>
    </row>
    <row r="1759">
      <c r="A1759" s="3" t="s">
        <v>7619</v>
      </c>
      <c r="B1759" s="4" t="str">
        <f>IFERROR(__xludf.DUMMYFUNCTION("GOOGLETRANSLATE(A1759, ""en"", ""te"")"),"శ్వేత చెక్కలు")</f>
        <v>శ్వేత చెక్కలు</v>
      </c>
      <c r="C1759" s="4" t="str">
        <f>IFERROR(__xludf.DUMMYFUNCTION("GOOGLETRANSLATE(A1759, ""en"", ""hi"")"),"श्वेता चेक्कलू")</f>
        <v>श्वेता चेक्कलू</v>
      </c>
      <c r="D1759" s="2" t="s">
        <v>7319</v>
      </c>
      <c r="E1759" s="2" t="s">
        <v>1294</v>
      </c>
      <c r="F1759" s="1">
        <v>4.0</v>
      </c>
      <c r="G1759" s="3" t="s">
        <v>85</v>
      </c>
    </row>
    <row r="1760">
      <c r="A1760" s="3" t="s">
        <v>7620</v>
      </c>
      <c r="B1760" s="4" t="str">
        <f>IFERROR(__xludf.DUMMYFUNCTION("GOOGLETRANSLATE(A1760, ""en"", ""te"")"),"శ్వేత బెల్లం గవ్వలు")</f>
        <v>శ్వేత బెల్లం గవ్వలు</v>
      </c>
      <c r="C1760" s="4" t="str">
        <f>IFERROR(__xludf.DUMMYFUNCTION("GOOGLETRANSLATE(A1760, ""en"", ""hi"")"),"श्वेता बेल्लम गवलू")</f>
        <v>श्वेता बेल्लम गवलू</v>
      </c>
      <c r="D1760" s="5"/>
      <c r="E1760" s="2" t="s">
        <v>1294</v>
      </c>
      <c r="F1760" s="1">
        <v>4.0</v>
      </c>
      <c r="G1760" s="3" t="s">
        <v>85</v>
      </c>
    </row>
    <row r="1761">
      <c r="A1761" s="3" t="s">
        <v>7621</v>
      </c>
      <c r="B1761" s="4" t="str">
        <f>IFERROR(__xludf.DUMMYFUNCTION("GOOGLETRANSLATE(A1761, ""en"", ""te"")"),"శ్వేత బనానా చిప్స్")</f>
        <v>శ్వేత బనానా చిప్స్</v>
      </c>
      <c r="C1761" s="4" t="str">
        <f>IFERROR(__xludf.DUMMYFUNCTION("GOOGLETRANSLATE(A1761, ""en"", ""hi"")"),"श्वेता केले के चिप्स")</f>
        <v>श्वेता केले के चिप्स</v>
      </c>
      <c r="D1761" s="2" t="s">
        <v>4054</v>
      </c>
      <c r="E1761" s="2" t="s">
        <v>1294</v>
      </c>
      <c r="F1761" s="1">
        <v>4.0</v>
      </c>
      <c r="G1761" s="3" t="s">
        <v>85</v>
      </c>
    </row>
    <row r="1762">
      <c r="A1762" s="3" t="s">
        <v>7622</v>
      </c>
      <c r="B1762" s="4" t="str">
        <f>IFERROR(__xludf.DUMMYFUNCTION("GOOGLETRANSLATE(A1762, ""en"", ""te"")"),"శ్వేత ఆంధ్ర మిశ్రమం")</f>
        <v>శ్వేత ఆంధ్ర మిశ్రమం</v>
      </c>
      <c r="C1762" s="4" t="str">
        <f>IFERROR(__xludf.DUMMYFUNCTION("GOOGLETRANSLATE(A1762, ""en"", ""hi"")"),"श्वेता आंध्र मिश्रण")</f>
        <v>श्वेता आंध्र मिश्रण</v>
      </c>
      <c r="D1762" s="2" t="s">
        <v>4054</v>
      </c>
      <c r="E1762" s="2" t="s">
        <v>1294</v>
      </c>
      <c r="F1762" s="1">
        <v>4.0</v>
      </c>
      <c r="G1762" s="3" t="s">
        <v>85</v>
      </c>
    </row>
    <row r="1763">
      <c r="A1763" s="3" t="s">
        <v>7623</v>
      </c>
      <c r="B1763" s="4" t="str">
        <f>IFERROR(__xludf.DUMMYFUNCTION("GOOGLETRANSLATE(A1763, ""en"", ""te"")"),"యానాక్ట్స్ తట్టై")</f>
        <v>యానాక్ట్స్ తట్టై</v>
      </c>
      <c r="C1763" s="4" t="str">
        <f>IFERROR(__xludf.DUMMYFUNCTION("GOOGLETRANSLATE(A1763, ""en"", ""hi"")"),"Yanakts Thattai")</f>
        <v>Yanakts Thattai</v>
      </c>
      <c r="D1763" s="5"/>
      <c r="E1763" s="2" t="s">
        <v>1294</v>
      </c>
      <c r="F1763" s="1">
        <v>4.0</v>
      </c>
      <c r="G1763" s="3" t="s">
        <v>85</v>
      </c>
    </row>
    <row r="1764">
      <c r="A1764" s="3" t="s">
        <v>7624</v>
      </c>
      <c r="B1764" s="4" t="str">
        <f>IFERROR(__xludf.DUMMYFUNCTION("GOOGLETRANSLATE(A1764, ""en"", ""te"")"),"ఆనంద్ బూందీ")</f>
        <v>ఆనంద్ బూందీ</v>
      </c>
      <c r="C1764" s="4" t="str">
        <f>IFERROR(__xludf.DUMMYFUNCTION("GOOGLETRANSLATE(A1764, ""en"", ""hi"")"),"आनंद बूंदी")</f>
        <v>आनंद बूंदी</v>
      </c>
      <c r="D1764" s="2" t="s">
        <v>7625</v>
      </c>
      <c r="E1764" s="2" t="s">
        <v>3438</v>
      </c>
      <c r="F1764" s="1">
        <v>4.0</v>
      </c>
      <c r="G1764" s="3" t="s">
        <v>114</v>
      </c>
    </row>
    <row r="1765">
      <c r="A1765" s="3" t="s">
        <v>7626</v>
      </c>
      <c r="B1765" s="4" t="str">
        <f>IFERROR(__xludf.DUMMYFUNCTION("GOOGLETRANSLATE(A1765, ""en"", ""te"")"),"ఆనంద్ భూటియా")</f>
        <v>ఆనంద్ భూటియా</v>
      </c>
      <c r="C1765" s="4" t="str">
        <f>IFERROR(__xludf.DUMMYFUNCTION("GOOGLETRANSLATE(A1765, ""en"", ""hi"")"),"आनंद भूटिया")</f>
        <v>आनंद भूटिया</v>
      </c>
      <c r="D1765" s="2" t="s">
        <v>7557</v>
      </c>
      <c r="E1765" s="2" t="s">
        <v>1294</v>
      </c>
      <c r="F1765" s="1">
        <v>4.0</v>
      </c>
      <c r="G1765" s="3" t="s">
        <v>114</v>
      </c>
    </row>
    <row r="1766">
      <c r="A1766" s="3" t="s">
        <v>7627</v>
      </c>
      <c r="B1766" s="4" t="str">
        <f>IFERROR(__xludf.DUMMYFUNCTION("GOOGLETRANSLATE(A1766, ""en"", ""te"")"),"ఆనంద్ బెన్నె మురుకు")</f>
        <v>ఆనంద్ బెన్నె మురుకు</v>
      </c>
      <c r="C1766" s="4" t="str">
        <f>IFERROR(__xludf.DUMMYFUNCTION("GOOGLETRANSLATE(A1766, ""en"", ""hi"")"),"आनंद बेन्ने मुरुक्कू")</f>
        <v>आनंद बेन्ने मुरुक्कू</v>
      </c>
      <c r="D1766" s="2" t="s">
        <v>2357</v>
      </c>
      <c r="E1766" s="2" t="s">
        <v>1294</v>
      </c>
      <c r="F1766" s="1">
        <v>4.0</v>
      </c>
      <c r="G1766" s="3" t="s">
        <v>114</v>
      </c>
    </row>
    <row r="1767">
      <c r="A1767" s="3" t="s">
        <v>7628</v>
      </c>
      <c r="B1767" s="4" t="str">
        <f>IFERROR(__xludf.DUMMYFUNCTION("GOOGLETRANSLATE(A1767, ""en"", ""te"")"),"ఆనంద్ బనానా చిప్స్")</f>
        <v>ఆనంద్ బనానా చిప్స్</v>
      </c>
      <c r="C1767" s="4" t="str">
        <f>IFERROR(__xludf.DUMMYFUNCTION("GOOGLETRANSLATE(A1767, ""en"", ""hi"")"),"आनंद केले के चिप्स")</f>
        <v>आनंद केले के चिप्स</v>
      </c>
      <c r="D1767" s="2" t="s">
        <v>4054</v>
      </c>
      <c r="E1767" s="2" t="s">
        <v>1294</v>
      </c>
      <c r="F1767" s="1">
        <v>4.0</v>
      </c>
      <c r="G1767" s="3" t="s">
        <v>114</v>
      </c>
    </row>
    <row r="1768">
      <c r="A1768" s="3" t="s">
        <v>7629</v>
      </c>
      <c r="B1768" s="4" t="str">
        <f>IFERROR(__xludf.DUMMYFUNCTION("GOOGLETRANSLATE(A1768, ""en"", ""te"")"),"ఆనంద్ బనానా చిప్స్ (పెప్పర్)")</f>
        <v>ఆనంద్ బనానా చిప్స్ (పెప్పర్)</v>
      </c>
      <c r="C1768" s="4" t="str">
        <f>IFERROR(__xludf.DUMMYFUNCTION("GOOGLETRANSLATE(A1768, ""en"", ""hi"")"),"आनंद बनाना चिप्स (मिर्च)")</f>
        <v>आनंद बनाना चिप्स (मिर्च)</v>
      </c>
      <c r="D1768" s="2" t="s">
        <v>7630</v>
      </c>
      <c r="E1768" s="2" t="s">
        <v>1294</v>
      </c>
      <c r="F1768" s="1">
        <v>4.0</v>
      </c>
      <c r="G1768" s="3" t="s">
        <v>114</v>
      </c>
    </row>
    <row r="1769">
      <c r="A1769" s="3" t="s">
        <v>7631</v>
      </c>
      <c r="B1769" s="4" t="str">
        <f>IFERROR(__xludf.DUMMYFUNCTION("GOOGLETRANSLATE(A1769, ""en"", ""te"")"),"ఆనంద్ బేబీ మురుకు")</f>
        <v>ఆనంద్ బేబీ మురుకు</v>
      </c>
      <c r="C1769" s="4" t="str">
        <f>IFERROR(__xludf.DUMMYFUNCTION("GOOGLETRANSLATE(A1769, ""en"", ""hi"")"),"आनंद बेबी मुरुक्कू")</f>
        <v>आनंद बेबी मुरुक्कू</v>
      </c>
      <c r="D1769" s="2" t="s">
        <v>7576</v>
      </c>
      <c r="E1769" s="2" t="s">
        <v>1294</v>
      </c>
      <c r="F1769" s="1">
        <v>4.0</v>
      </c>
      <c r="G1769" s="3" t="s">
        <v>114</v>
      </c>
    </row>
    <row r="1770">
      <c r="A1770" s="3" t="s">
        <v>7632</v>
      </c>
      <c r="B1770" s="4" t="str">
        <f>IFERROR(__xludf.DUMMYFUNCTION("GOOGLETRANSLATE(A1770, ""en"", ""te"")"),"ఆనంద్ ఆంధ్ర మిశ్రమం")</f>
        <v>ఆనంద్ ఆంధ్ర మిశ్రమం</v>
      </c>
      <c r="C1770" s="4" t="str">
        <f>IFERROR(__xludf.DUMMYFUNCTION("GOOGLETRANSLATE(A1770, ""en"", ""hi"")"),"आनंद आंध्र मिश्रण")</f>
        <v>आनंद आंध्र मिश्रण</v>
      </c>
      <c r="D1770" s="5"/>
      <c r="E1770" s="2" t="s">
        <v>1294</v>
      </c>
      <c r="F1770" s="1">
        <v>4.0</v>
      </c>
      <c r="G1770" s="3" t="s">
        <v>114</v>
      </c>
    </row>
    <row r="1771">
      <c r="A1771" s="3" t="s">
        <v>7633</v>
      </c>
      <c r="B1771" s="4" t="str">
        <f>IFERROR(__xludf.DUMMYFUNCTION("GOOGLETRANSLATE(A1771, ""en"", ""te"")"),"తీపి కారం కాఫీ మసాలా వేరుశనగలు")</f>
        <v>తీపి కారం కాఫీ మసాలా వేరుశనగలు</v>
      </c>
      <c r="C1771" s="4" t="str">
        <f>IFERROR(__xludf.DUMMYFUNCTION("GOOGLETRANSLATE(A1771, ""en"", ""hi"")"),"स्वीट करम कॉफी स्पाइस्ड पीनट्स")</f>
        <v>स्वीट करम कॉफी स्पाइस्ड पीनट्स</v>
      </c>
      <c r="D1771" s="2" t="s">
        <v>945</v>
      </c>
      <c r="E1771" s="2" t="s">
        <v>1294</v>
      </c>
      <c r="F1771" s="1">
        <v>4.0</v>
      </c>
      <c r="G1771" s="3" t="s">
        <v>10</v>
      </c>
    </row>
    <row r="1772">
      <c r="A1772" s="3" t="s">
        <v>7634</v>
      </c>
      <c r="B1772" s="4" t="str">
        <f>IFERROR(__xludf.DUMMYFUNCTION("GOOGLETRANSLATE(A1772, ""en"", ""te"")"),"స్వీట్ కరమ్ కాఫీ రిబ్బన్ పకోడా")</f>
        <v>స్వీట్ కరమ్ కాఫీ రిబ్బన్ పకోడా</v>
      </c>
      <c r="C1772" s="4" t="str">
        <f>IFERROR(__xludf.DUMMYFUNCTION("GOOGLETRANSLATE(A1772, ""en"", ""hi"")"),"मीठा करम कॉफी रिबन पकोड़ा")</f>
        <v>मीठा करम कॉफी रिबन पकोड़ा</v>
      </c>
      <c r="D1772" s="5"/>
      <c r="E1772" s="2" t="s">
        <v>1294</v>
      </c>
      <c r="F1772" s="1">
        <v>4.0</v>
      </c>
      <c r="G1772" s="3" t="s">
        <v>10</v>
      </c>
    </row>
    <row r="1773">
      <c r="A1773" s="3" t="s">
        <v>7635</v>
      </c>
      <c r="B1773" s="4" t="str">
        <f>IFERROR(__xludf.DUMMYFUNCTION("GOOGLETRANSLATE(A1773, ""en"", ""te"")"),"తీపి కారం కాఫీ మిరియాల మురుక్కు పుల్లలు")</f>
        <v>తీపి కారం కాఫీ మిరియాల మురుక్కు పుల్లలు</v>
      </c>
      <c r="C1773" s="4" t="str">
        <f>IFERROR(__xludf.DUMMYFUNCTION("GOOGLETRANSLATE(A1773, ""en"", ""hi"")"),"स्वीट करम कॉफी पेपर मुरुक्कू स्टिक्स")</f>
        <v>स्वीट करम कॉफी पेपर मुरुक्कू स्टिक्स</v>
      </c>
      <c r="D1773" s="2" t="s">
        <v>7636</v>
      </c>
      <c r="E1773" s="2" t="s">
        <v>1294</v>
      </c>
      <c r="F1773" s="1">
        <v>4.0</v>
      </c>
      <c r="G1773" s="3" t="s">
        <v>10</v>
      </c>
    </row>
    <row r="1774">
      <c r="A1774" s="3" t="s">
        <v>7637</v>
      </c>
      <c r="B1774" s="4" t="str">
        <f>IFERROR(__xludf.DUMMYFUNCTION("GOOGLETRANSLATE(A1774, ""en"", ""te"")"),"స్వీట్ కారం కాఫీ నిప్పట్టు (తట్టై)")</f>
        <v>స్వీట్ కారం కాఫీ నిప్పట్టు (తట్టై)</v>
      </c>
      <c r="C1774" s="4" t="str">
        <f>IFERROR(__xludf.DUMMYFUNCTION("GOOGLETRANSLATE(A1774, ""en"", ""hi"")"),"मीठी करम कॉफ़ी निप्पट्टू (थट्टाई)")</f>
        <v>मीठी करम कॉफ़ी निप्पट्टू (थट्टाई)</v>
      </c>
      <c r="D1774" s="2" t="s">
        <v>7638</v>
      </c>
      <c r="E1774" s="2" t="s">
        <v>1294</v>
      </c>
      <c r="F1774" s="1">
        <v>4.0</v>
      </c>
      <c r="G1774" s="3" t="s">
        <v>10</v>
      </c>
    </row>
    <row r="1775">
      <c r="A1775" s="3" t="s">
        <v>7639</v>
      </c>
      <c r="B1775" s="4" t="str">
        <f>IFERROR(__xludf.DUMMYFUNCTION("GOOGLETRANSLATE(A1775, ""en"", ""te"")"),"స్వీట్ కరం కాఫీ మద్రాస్ మిశ్రమం")</f>
        <v>స్వీట్ కరం కాఫీ మద్రాస్ మిశ్రమం</v>
      </c>
      <c r="C1775" s="4" t="str">
        <f>IFERROR(__xludf.DUMMYFUNCTION("GOOGLETRANSLATE(A1775, ""en"", ""hi"")"),"स्वीट करम कॉफी मद्रास मिक्सचर")</f>
        <v>स्वीट करम कॉफी मद्रास मिक्सचर</v>
      </c>
      <c r="D1775" s="2" t="s">
        <v>5175</v>
      </c>
      <c r="E1775" s="2" t="s">
        <v>1294</v>
      </c>
      <c r="F1775" s="1">
        <v>4.0</v>
      </c>
      <c r="G1775" s="3" t="s">
        <v>10</v>
      </c>
    </row>
    <row r="1776">
      <c r="A1776" s="3" t="s">
        <v>7640</v>
      </c>
      <c r="B1776" s="4" t="str">
        <f>IFERROR(__xludf.DUMMYFUNCTION("GOOGLETRANSLATE(A1776, ""en"", ""te"")"),"స్వీట్ కరమ్ కాఫీ క్లాసిక్ మురుక్కు స్టిక్స్")</f>
        <v>స్వీట్ కరమ్ కాఫీ క్లాసిక్ మురుక్కు స్టిక్స్</v>
      </c>
      <c r="C1776" s="4" t="str">
        <f>IFERROR(__xludf.DUMMYFUNCTION("GOOGLETRANSLATE(A1776, ""en"", ""hi"")"),"मीठी करम कॉफी क्लासिक मुरुक्कू स्टिक")</f>
        <v>मीठी करम कॉफी क्लासिक मुरुक्कू स्टिक</v>
      </c>
      <c r="D1776" s="2" t="s">
        <v>7638</v>
      </c>
      <c r="E1776" s="2" t="s">
        <v>1294</v>
      </c>
      <c r="F1776" s="1">
        <v>4.0</v>
      </c>
      <c r="G1776" s="3" t="s">
        <v>10</v>
      </c>
    </row>
    <row r="1777">
      <c r="A1777" s="3" t="s">
        <v>7641</v>
      </c>
      <c r="B1777" s="4" t="str">
        <f>IFERROR(__xludf.DUMMYFUNCTION("GOOGLETRANSLATE(A1777, ""en"", ""te"")"),"స్వీట్ కరం కాఫీ క్లాసిక్ సీడై")</f>
        <v>స్వీట్ కరం కాఫీ క్లాసిక్ సీడై</v>
      </c>
      <c r="C1777" s="4" t="str">
        <f>IFERROR(__xludf.DUMMYFUNCTION("GOOGLETRANSLATE(A1777, ""en"", ""hi"")"),"स्वीट करम कॉफी क्लासिक सीडाई")</f>
        <v>स्वीट करम कॉफी क्लासिक सीडाई</v>
      </c>
      <c r="D1777" s="5"/>
      <c r="E1777" s="2" t="s">
        <v>1294</v>
      </c>
      <c r="F1777" s="1">
        <v>4.0</v>
      </c>
      <c r="G1777" s="3" t="s">
        <v>10</v>
      </c>
    </row>
    <row r="1778">
      <c r="A1778" s="3" t="s">
        <v>7642</v>
      </c>
      <c r="B1778" s="4" t="str">
        <f>IFERROR(__xludf.DUMMYFUNCTION("GOOGLETRANSLATE(A1778, ""en"", ""te"")"),"కుర్కురే చీజ్ బాల్స్")</f>
        <v>కుర్కురే చీజ్ బాల్స్</v>
      </c>
      <c r="C1778" s="4" t="str">
        <f>IFERROR(__xludf.DUMMYFUNCTION("GOOGLETRANSLATE(A1778, ""en"", ""hi"")"),"कुरकुरे चीज़ बॉल्स")</f>
        <v>कुरकुरे चीज़ बॉल्स</v>
      </c>
      <c r="D1778" s="5"/>
      <c r="E1778" s="2" t="s">
        <v>1294</v>
      </c>
      <c r="F1778" s="1">
        <v>4.0</v>
      </c>
      <c r="G1778" s="3" t="s">
        <v>20</v>
      </c>
    </row>
    <row r="1779">
      <c r="A1779" s="3" t="s">
        <v>7643</v>
      </c>
      <c r="B1779" s="4" t="str">
        <f>IFERROR(__xludf.DUMMYFUNCTION("GOOGLETRANSLATE(A1779, ""en"", ""te"")"),"బింగో! టెడ్హే మెడ్హే")</f>
        <v>బింగో! టెడ్హే మెడ్హే</v>
      </c>
      <c r="C1779" s="4" t="str">
        <f>IFERROR(__xludf.DUMMYFUNCTION("GOOGLETRANSLATE(A1779, ""en"", ""hi"")"),"बिंगो! तेधे मेधे")</f>
        <v>बिंगो! तेधे मेधे</v>
      </c>
      <c r="D1779" s="5"/>
      <c r="E1779" s="2" t="s">
        <v>1294</v>
      </c>
      <c r="F1779" s="1">
        <v>4.0</v>
      </c>
      <c r="G1779" s="3" t="s">
        <v>20</v>
      </c>
    </row>
    <row r="1780">
      <c r="A1780" s="3" t="s">
        <v>7644</v>
      </c>
      <c r="B1780" s="4" t="str">
        <f>IFERROR(__xludf.DUMMYFUNCTION("GOOGLETRANSLATE(A1780, ""en"", ""te"")"),"బింగో! మ్యాడ్ యాంగిల్స్")</f>
        <v>బింగో! మ్యాడ్ యాంగిల్స్</v>
      </c>
      <c r="C1780" s="4" t="str">
        <f>IFERROR(__xludf.DUMMYFUNCTION("GOOGLETRANSLATE(A1780, ""en"", ""hi"")"),"बिंगो! पागल कोण")</f>
        <v>बिंगो! पागल कोण</v>
      </c>
      <c r="D1780" s="5"/>
      <c r="E1780" s="2" t="s">
        <v>1294</v>
      </c>
      <c r="F1780" s="1">
        <v>4.0</v>
      </c>
      <c r="G1780" s="3" t="s">
        <v>20</v>
      </c>
    </row>
    <row r="1781">
      <c r="A1781" s="3" t="s">
        <v>7645</v>
      </c>
      <c r="B1781" s="4" t="str">
        <f>IFERROR(__xludf.DUMMYFUNCTION("GOOGLETRANSLATE(A1781, ""en"", ""te"")"),"ఆనంద్ భేల్ మిక్స్ స్పైసీ")</f>
        <v>ఆనంద్ భేల్ మిక్స్ స్పైసీ</v>
      </c>
      <c r="C1781" s="4" t="str">
        <f>IFERROR(__xludf.DUMMYFUNCTION("GOOGLETRANSLATE(A1781, ""en"", ""hi"")"),"आनंद भेल मिक्स स्पाइसी")</f>
        <v>आनंद भेल मिक्स स्पाइसी</v>
      </c>
      <c r="D1781" s="5"/>
      <c r="E1781" s="2" t="s">
        <v>1294</v>
      </c>
      <c r="F1781" s="1">
        <v>4.0</v>
      </c>
      <c r="G1781" s="3" t="s">
        <v>29</v>
      </c>
    </row>
    <row r="1782">
      <c r="A1782" s="3" t="s">
        <v>7646</v>
      </c>
      <c r="B1782" s="4" t="str">
        <f>IFERROR(__xludf.DUMMYFUNCTION("GOOGLETRANSLATE(A1782, ""en"", ""te"")"),"ఆనంద్ భెల్ మిక్స్")</f>
        <v>ఆనంద్ భెల్ మిక్స్</v>
      </c>
      <c r="C1782" s="4" t="str">
        <f>IFERROR(__xludf.DUMMYFUNCTION("GOOGLETRANSLATE(A1782, ""en"", ""hi"")"),"आनंद भेल मिक्स")</f>
        <v>आनंद भेल मिक्स</v>
      </c>
      <c r="D1782" s="5"/>
      <c r="E1782" s="2" t="s">
        <v>1294</v>
      </c>
      <c r="F1782" s="1">
        <v>4.0</v>
      </c>
      <c r="G1782" s="3" t="s">
        <v>29</v>
      </c>
    </row>
    <row r="1783">
      <c r="A1783" s="3" t="s">
        <v>7647</v>
      </c>
      <c r="B1783" s="4" t="str">
        <f>IFERROR(__xludf.DUMMYFUNCTION("GOOGLETRANSLATE(A1783, ""en"", ""te"")"),"ఆనంద్ పొటాటో చిప్స్")</f>
        <v>ఆనంద్ పొటాటో చిప్స్</v>
      </c>
      <c r="C1783" s="4" t="str">
        <f>IFERROR(__xludf.DUMMYFUNCTION("GOOGLETRANSLATE(A1783, ""en"", ""hi"")"),"आनंद पोटैटो चिप्स")</f>
        <v>आनंद पोटैटो चिप्स</v>
      </c>
      <c r="D1783" s="2" t="s">
        <v>7648</v>
      </c>
      <c r="E1783" s="2" t="s">
        <v>1294</v>
      </c>
      <c r="F1783" s="1">
        <v>4.0</v>
      </c>
      <c r="G1783" s="3" t="s">
        <v>29</v>
      </c>
    </row>
    <row r="1784">
      <c r="A1784" s="3" t="s">
        <v>7628</v>
      </c>
      <c r="B1784" s="4" t="str">
        <f>IFERROR(__xludf.DUMMYFUNCTION("GOOGLETRANSLATE(A1784, ""en"", ""te"")"),"ఆనంద్ బనానా చిప్స్")</f>
        <v>ఆనంద్ బనానా చిప్స్</v>
      </c>
      <c r="C1784" s="4" t="str">
        <f>IFERROR(__xludf.DUMMYFUNCTION("GOOGLETRANSLATE(A1784, ""en"", ""hi"")"),"आनंद केले के चिप्स")</f>
        <v>आनंद केले के चिप्स</v>
      </c>
      <c r="D1784" s="2" t="s">
        <v>4054</v>
      </c>
      <c r="E1784" s="2" t="s">
        <v>1294</v>
      </c>
      <c r="F1784" s="1">
        <v>4.0</v>
      </c>
      <c r="G1784" s="3" t="s">
        <v>29</v>
      </c>
    </row>
    <row r="1785">
      <c r="A1785" s="3" t="s">
        <v>7649</v>
      </c>
      <c r="B1785" s="4" t="str">
        <f>IFERROR(__xludf.DUMMYFUNCTION("GOOGLETRANSLATE(A1785, ""en"", ""te"")"),"ఆనంద్ పెప్పర్ బనానా చిప్స్")</f>
        <v>ఆనంద్ పెప్పర్ బనానా చిప్స్</v>
      </c>
      <c r="C1785" s="4" t="str">
        <f>IFERROR(__xludf.DUMMYFUNCTION("GOOGLETRANSLATE(A1785, ""en"", ""hi"")"),"आनंद पेपर बनाना चिप्स")</f>
        <v>आनंद पेपर बनाना चिप्स</v>
      </c>
      <c r="D1785" s="2" t="s">
        <v>4054</v>
      </c>
      <c r="E1785" s="2" t="s">
        <v>1294</v>
      </c>
      <c r="F1785" s="1">
        <v>4.0</v>
      </c>
      <c r="G1785" s="3" t="s">
        <v>29</v>
      </c>
    </row>
    <row r="1786">
      <c r="A1786" s="3" t="s">
        <v>7609</v>
      </c>
      <c r="B1786" s="4" t="str">
        <f>IFERROR(__xludf.DUMMYFUNCTION("GOOGLETRANSLATE(A1786, ""en"", ""te"")"),"అమ్మ వంటగది మద్రాస్ మిశ్రమం")</f>
        <v>అమ్మ వంటగది మద్రాస్ మిశ్రమం</v>
      </c>
      <c r="C1786" s="4" t="str">
        <f>IFERROR(__xludf.DUMMYFUNCTION("GOOGLETRANSLATE(A1786, ""en"", ""hi"")"),"अम्मा की रसोई का मद्रास मिश्रण")</f>
        <v>अम्मा की रसोई का मद्रास मिश्रण</v>
      </c>
      <c r="D1786" s="2" t="s">
        <v>7610</v>
      </c>
      <c r="E1786" s="2" t="s">
        <v>442</v>
      </c>
      <c r="F1786" s="1">
        <v>4.0</v>
      </c>
      <c r="G1786" s="3" t="s">
        <v>29</v>
      </c>
    </row>
    <row r="1787">
      <c r="A1787" s="3" t="s">
        <v>7650</v>
      </c>
      <c r="B1787" s="4" t="str">
        <f>IFERROR(__xludf.DUMMYFUNCTION("GOOGLETRANSLATE(A1787, ""en"", ""te"")"),"ఆనంద్ బూందీ సాల్టెడ్")</f>
        <v>ఆనంద్ బూందీ సాల్టెడ్</v>
      </c>
      <c r="C1787" s="4" t="str">
        <f>IFERROR(__xludf.DUMMYFUNCTION("GOOGLETRANSLATE(A1787, ""en"", ""hi"")"),"आनंद बूंदी नमकीन")</f>
        <v>आनंद बूंदी नमकीन</v>
      </c>
      <c r="D1787" s="5"/>
      <c r="E1787" s="2" t="s">
        <v>1294</v>
      </c>
      <c r="F1787" s="1">
        <v>4.0</v>
      </c>
      <c r="G1787" s="3" t="s">
        <v>39</v>
      </c>
    </row>
    <row r="1788">
      <c r="A1788" s="3" t="s">
        <v>7651</v>
      </c>
      <c r="B1788" s="4" t="str">
        <f>IFERROR(__xludf.DUMMYFUNCTION("GOOGLETRANSLATE(A1788, ""en"", ""te"")"),"ఆనంద్ కార్న్‌ఫ్లేక్స్ చిందా")</f>
        <v>ఆనంద్ కార్న్‌ఫ్లేక్స్ చిందా</v>
      </c>
      <c r="C1788" s="4" t="str">
        <f>IFERROR(__xludf.DUMMYFUNCTION("GOOGLETRANSLATE(A1788, ""en"", ""hi"")"),"आनंद कॉर्नफ्लेक्स चिंदा")</f>
        <v>आनंद कॉर्नफ्लेक्स चिंदा</v>
      </c>
      <c r="D1788" s="5"/>
      <c r="E1788" s="2" t="s">
        <v>67</v>
      </c>
      <c r="F1788" s="1">
        <v>4.0</v>
      </c>
      <c r="G1788" s="3" t="s">
        <v>39</v>
      </c>
    </row>
    <row r="1789">
      <c r="A1789" s="3" t="s">
        <v>7613</v>
      </c>
      <c r="B1789" s="4" t="str">
        <f>IFERROR(__xludf.DUMMYFUNCTION("GOOGLETRANSLATE(A1789, ""en"", ""te"")"),"A2B తట్టై")</f>
        <v>A2B తట్టై</v>
      </c>
      <c r="C1789" s="4" t="str">
        <f>IFERROR(__xludf.DUMMYFUNCTION("GOOGLETRANSLATE(A1789, ""en"", ""hi"")"),"ए2बी थट्टई")</f>
        <v>ए2बी थट्टई</v>
      </c>
      <c r="D1789" s="5"/>
      <c r="E1789" s="2" t="s">
        <v>1294</v>
      </c>
      <c r="F1789" s="1">
        <v>4.0</v>
      </c>
      <c r="G1789" s="3" t="s">
        <v>39</v>
      </c>
    </row>
    <row r="1790">
      <c r="A1790" s="3" t="s">
        <v>7614</v>
      </c>
      <c r="B1790" s="4" t="str">
        <f>IFERROR(__xludf.DUMMYFUNCTION("GOOGLETRANSLATE(A1790, ""en"", ""te"")"),"A2B రిబ్బన్ పకోడా")</f>
        <v>A2B రిబ్బన్ పకోడా</v>
      </c>
      <c r="C1790" s="4" t="str">
        <f>IFERROR(__xludf.DUMMYFUNCTION("GOOGLETRANSLATE(A1790, ""en"", ""hi"")"),"ए2बी रिबन पकोड़ा")</f>
        <v>ए2बी रिबन पकोड़ा</v>
      </c>
      <c r="D1790" s="5"/>
      <c r="E1790" s="2" t="s">
        <v>1294</v>
      </c>
      <c r="F1790" s="1">
        <v>4.0</v>
      </c>
      <c r="G1790" s="3" t="s">
        <v>39</v>
      </c>
    </row>
    <row r="1791">
      <c r="A1791" s="3" t="s">
        <v>7652</v>
      </c>
      <c r="B1791" s="4" t="str">
        <f>IFERROR(__xludf.DUMMYFUNCTION("GOOGLETRANSLATE(A1791, ""en"", ""te"")"),"A2B పెప్పర్ తట్టై")</f>
        <v>A2B పెప్పర్ తట్టై</v>
      </c>
      <c r="C1791" s="4" t="str">
        <f>IFERROR(__xludf.DUMMYFUNCTION("GOOGLETRANSLATE(A1791, ""en"", ""hi"")"),"ए2बी पेपर थाटाई")</f>
        <v>ए2बी पेपर थाटाई</v>
      </c>
      <c r="D1791" s="5"/>
      <c r="E1791" s="2" t="s">
        <v>1294</v>
      </c>
      <c r="F1791" s="1">
        <v>4.0</v>
      </c>
      <c r="G1791" s="3" t="s">
        <v>39</v>
      </c>
    </row>
    <row r="1792">
      <c r="A1792" s="3" t="s">
        <v>7653</v>
      </c>
      <c r="B1792" s="4" t="str">
        <f>IFERROR(__xludf.DUMMYFUNCTION("GOOGLETRANSLATE(A1792, ""en"", ""te"")"),"స్వీత తెలుగు కరపుస")</f>
        <v>స్వీత తెలుగు కరపుస</v>
      </c>
      <c r="C1792" s="4" t="str">
        <f>IFERROR(__xludf.DUMMYFUNCTION("GOOGLETRANSLATE(A1792, ""en"", ""hi"")"),"स्वीथा तेलुगु करापुसा")</f>
        <v>स्वीथा तेलुगु करापुसा</v>
      </c>
      <c r="D1792" s="5"/>
      <c r="E1792" s="2" t="s">
        <v>1294</v>
      </c>
      <c r="F1792" s="1">
        <v>4.0</v>
      </c>
      <c r="G1792" s="3" t="s">
        <v>194</v>
      </c>
    </row>
    <row r="1793">
      <c r="A1793" s="3" t="s">
        <v>7654</v>
      </c>
      <c r="B1793" s="4" t="str">
        <f>IFERROR(__xludf.DUMMYFUNCTION("GOOGLETRANSLATE(A1793, ""en"", ""te"")"),"స్వీతా తెలుగు కర బూందీ")</f>
        <v>స్వీతా తెలుగు కర బూందీ</v>
      </c>
      <c r="C1793" s="4" t="str">
        <f>IFERROR(__xludf.DUMMYFUNCTION("GOOGLETRANSLATE(A1793, ""en"", ""hi"")"),"स्वीथा तेलुगु कारा बूंदी")</f>
        <v>स्वीथा तेलुगु कारा बूंदी</v>
      </c>
      <c r="D1793" s="2" t="s">
        <v>7655</v>
      </c>
      <c r="E1793" s="2" t="s">
        <v>1294</v>
      </c>
      <c r="F1793" s="1">
        <v>4.0</v>
      </c>
      <c r="G1793" s="3" t="s">
        <v>194</v>
      </c>
    </row>
    <row r="1794">
      <c r="A1794" s="3" t="s">
        <v>7656</v>
      </c>
      <c r="B1794" s="4" t="str">
        <f>IFERROR(__xludf.DUMMYFUNCTION("GOOGLETRANSLATE(A1794, ""en"", ""te"")"),"స్వీత తెలుగు జంతికలు")</f>
        <v>స్వీత తెలుగు జంతికలు</v>
      </c>
      <c r="C1794" s="4" t="str">
        <f>IFERROR(__xludf.DUMMYFUNCTION("GOOGLETRANSLATE(A1794, ""en"", ""hi"")"),"स्वीथा तेलुगु जंथिकालु")</f>
        <v>स्वीथा तेलुगु जंथिकालु</v>
      </c>
      <c r="D1794" s="2" t="s">
        <v>7657</v>
      </c>
      <c r="E1794" s="2" t="s">
        <v>1294</v>
      </c>
      <c r="F1794" s="1">
        <v>4.0</v>
      </c>
      <c r="G1794" s="3" t="s">
        <v>194</v>
      </c>
    </row>
    <row r="1795">
      <c r="A1795" s="3" t="s">
        <v>7658</v>
      </c>
      <c r="B1795" s="4" t="str">
        <f>IFERROR(__xludf.DUMMYFUNCTION("GOOGLETRANSLATE(A1795, ""en"", ""te"")"),"స్వీతా తెలుగు పనస చిప్స్")</f>
        <v>స్వీతా తెలుగు పనస చిప్స్</v>
      </c>
      <c r="C1795" s="4" t="str">
        <f>IFERROR(__xludf.DUMMYFUNCTION("GOOGLETRANSLATE(A1795, ""en"", ""hi"")"),"स्वीथा तेलुगु कटहल चिप्स")</f>
        <v>स्वीथा तेलुगु कटहल चिप्स</v>
      </c>
      <c r="D1795" s="2" t="s">
        <v>7659</v>
      </c>
      <c r="E1795" s="2" t="s">
        <v>1294</v>
      </c>
      <c r="F1795" s="1">
        <v>4.0</v>
      </c>
      <c r="G1795" s="3" t="s">
        <v>194</v>
      </c>
    </row>
    <row r="1796">
      <c r="A1796" s="3" t="s">
        <v>7660</v>
      </c>
      <c r="B1796" s="4" t="str">
        <f>IFERROR(__xludf.DUMMYFUNCTION("GOOGLETRANSLATE(A1796, ""en"", ""te"")"),"స్వీత తెలుగు చేతి చెక్కలు")</f>
        <v>స్వీత తెలుగు చేతి చెక్కలు</v>
      </c>
      <c r="C1796" s="4" t="str">
        <f>IFERROR(__xludf.DUMMYFUNCTION("GOOGLETRANSLATE(A1796, ""en"", ""hi"")"),"स्वीटहा तेलुगू चेथी चेक्कालू")</f>
        <v>स्वीटहा तेलुगू चेथी चेक्कालू</v>
      </c>
      <c r="D1796" s="2" t="s">
        <v>7661</v>
      </c>
      <c r="E1796" s="2" t="s">
        <v>1294</v>
      </c>
      <c r="F1796" s="1">
        <v>4.0</v>
      </c>
      <c r="G1796" s="3" t="s">
        <v>194</v>
      </c>
    </row>
    <row r="1797">
      <c r="A1797" s="3" t="s">
        <v>7662</v>
      </c>
      <c r="B1797" s="4" t="str">
        <f>IFERROR(__xludf.DUMMYFUNCTION("GOOGLETRANSLATE(A1797, ""en"", ""te"")"),"స్వీతా తెలుగు చెట్లు")</f>
        <v>స్వీతా తెలుగు చెట్లు</v>
      </c>
      <c r="C1797" s="4" t="str">
        <f>IFERROR(__xludf.DUMMYFUNCTION("GOOGLETRANSLATE(A1797, ""en"", ""hi"")"),"स्वीथा तेलुगु चेक्कलू")</f>
        <v>स्वीथा तेलुगु चेक्कलू</v>
      </c>
      <c r="D1797" s="2" t="s">
        <v>7663</v>
      </c>
      <c r="E1797" s="2" t="s">
        <v>1294</v>
      </c>
      <c r="F1797" s="1">
        <v>4.0</v>
      </c>
      <c r="G1797" s="3" t="s">
        <v>194</v>
      </c>
    </row>
    <row r="1798">
      <c r="A1798" s="3" t="s">
        <v>7664</v>
      </c>
      <c r="B1798" s="4" t="str">
        <f>IFERROR(__xludf.DUMMYFUNCTION("GOOGLETRANSLATE(A1798, ""en"", ""te"")"),"స్వీతా తెలుగు బెల్లం గవ్వలు")</f>
        <v>స్వీతా తెలుగు బెల్లం గవ్వలు</v>
      </c>
      <c r="C1798" s="4" t="str">
        <f>IFERROR(__xludf.DUMMYFUNCTION("GOOGLETRANSLATE(A1798, ""en"", ""hi"")"),"स्वीथा तेलुगु बेल्लम गवलु")</f>
        <v>स्वीथा तेलुगु बेल्लम गवलु</v>
      </c>
      <c r="D1798" s="2" t="s">
        <v>7100</v>
      </c>
      <c r="E1798" s="2" t="s">
        <v>3438</v>
      </c>
      <c r="F1798" s="1">
        <v>4.0</v>
      </c>
      <c r="G1798" s="3" t="s">
        <v>194</v>
      </c>
    </row>
    <row r="1799">
      <c r="A1799" s="3" t="s">
        <v>7665</v>
      </c>
      <c r="B1799" s="4" t="str">
        <f>IFERROR(__xludf.DUMMYFUNCTION("GOOGLETRANSLATE(A1799, ""en"", ""te"")"),"స్వీతా తెలుగు బనానా చిప్స్")</f>
        <v>స్వీతా తెలుగు బనానా చిప్స్</v>
      </c>
      <c r="C1799" s="4" t="str">
        <f>IFERROR(__xludf.DUMMYFUNCTION("GOOGLETRANSLATE(A1799, ""en"", ""hi"")"),"स्वीथा तेलुगु केले के चिप्स")</f>
        <v>स्वीथा तेलुगु केले के चिप्स</v>
      </c>
      <c r="D1799" s="2" t="s">
        <v>4054</v>
      </c>
      <c r="E1799" s="2" t="s">
        <v>1294</v>
      </c>
      <c r="F1799" s="1">
        <v>4.0</v>
      </c>
      <c r="G1799" s="3" t="s">
        <v>194</v>
      </c>
    </row>
    <row r="1800">
      <c r="A1800" s="3" t="s">
        <v>7666</v>
      </c>
      <c r="B1800" s="4" t="str">
        <f>IFERROR(__xludf.DUMMYFUNCTION("GOOGLETRANSLATE(A1800, ""en"", ""te"")"),"ఆనంద్ ఫర్సన్ మార్ట్ ఫరాలీ చివ్డా")</f>
        <v>ఆనంద్ ఫర్సన్ మార్ట్ ఫరాలీ చివ్డా</v>
      </c>
      <c r="C1800" s="4" t="str">
        <f>IFERROR(__xludf.DUMMYFUNCTION("GOOGLETRANSLATE(A1800, ""en"", ""hi"")"),"आनंद फरसाण मार्ट फराली चिवड़ा")</f>
        <v>आनंद फरसाण मार्ट फराली चिवड़ा</v>
      </c>
      <c r="D1800" s="5"/>
      <c r="E1800" s="2" t="s">
        <v>1294</v>
      </c>
      <c r="F1800" s="1">
        <v>4.0</v>
      </c>
      <c r="G1800" s="3" t="s">
        <v>240</v>
      </c>
    </row>
    <row r="1801">
      <c r="A1801" s="3" t="s">
        <v>7667</v>
      </c>
      <c r="B1801" s="4" t="str">
        <f>IFERROR(__xludf.DUMMYFUNCTION("GOOGLETRANSLATE(A1801, ""en"", ""te"")"),"ఆనంద్ ఫర్సన్ మార్ట్ ఫరాలీ చివ్డా మిథాయ్")</f>
        <v>ఆనంద్ ఫర్సన్ మార్ట్ ఫరాలీ చివ్డా మిథాయ్</v>
      </c>
      <c r="C1801" s="4" t="str">
        <f>IFERROR(__xludf.DUMMYFUNCTION("GOOGLETRANSLATE(A1801, ""en"", ""hi"")"),"आनंद फरसाण मार्ट फराली चिवड़ा मिठाई")</f>
        <v>आनंद फरसाण मार्ट फराली चिवड़ा मिठाई</v>
      </c>
      <c r="D1801" s="5"/>
      <c r="E1801" s="2" t="s">
        <v>3438</v>
      </c>
      <c r="F1801" s="1">
        <v>4.0</v>
      </c>
      <c r="G1801" s="3" t="s">
        <v>240</v>
      </c>
    </row>
    <row r="1802">
      <c r="A1802" s="3" t="s">
        <v>7668</v>
      </c>
      <c r="B1802" s="4" t="str">
        <f>IFERROR(__xludf.DUMMYFUNCTION("GOOGLETRANSLATE(A1802, ""en"", ""te"")"),"ఆనంద్ చనాచూర్ మిశ్రమం")</f>
        <v>ఆనంద్ చనాచూర్ మిశ్రమం</v>
      </c>
      <c r="C1802" s="4" t="str">
        <f>IFERROR(__xludf.DUMMYFUNCTION("GOOGLETRANSLATE(A1802, ""en"", ""hi"")"),"आनंद चनाचुर मिश्रण")</f>
        <v>आनंद चनाचुर मिश्रण</v>
      </c>
      <c r="D1802" s="2" t="s">
        <v>4054</v>
      </c>
      <c r="E1802" s="2" t="s">
        <v>1294</v>
      </c>
      <c r="F1802" s="1">
        <v>4.0</v>
      </c>
      <c r="G1802" s="3" t="s">
        <v>240</v>
      </c>
    </row>
    <row r="1803">
      <c r="A1803" s="3" t="s">
        <v>7669</v>
      </c>
      <c r="B1803" s="4" t="str">
        <f>IFERROR(__xludf.DUMMYFUNCTION("GOOGLETRANSLATE(A1803, ""en"", ""te"")"),"ఆనంద్ బటర్ మురుక్కు స్టిక్స్")</f>
        <v>ఆనంద్ బటర్ మురుక్కు స్టిక్స్</v>
      </c>
      <c r="C1803" s="4" t="str">
        <f>IFERROR(__xludf.DUMMYFUNCTION("GOOGLETRANSLATE(A1803, ""en"", ""hi"")"),"आनंद बटर मुरुक्कू स्टिक्स")</f>
        <v>आनंद बटर मुरुक्कू स्टिक्स</v>
      </c>
      <c r="D1803" s="2" t="s">
        <v>7670</v>
      </c>
      <c r="E1803" s="2" t="s">
        <v>1294</v>
      </c>
      <c r="F1803" s="1">
        <v>4.0</v>
      </c>
      <c r="G1803" s="3" t="s">
        <v>240</v>
      </c>
    </row>
    <row r="1804">
      <c r="A1804" s="3" t="s">
        <v>674</v>
      </c>
      <c r="B1804" s="4" t="str">
        <f>IFERROR(__xludf.DUMMYFUNCTION("GOOGLETRANSLATE(A1804, ""en"", ""te"")"),"ఆనంద్ బూందీ మసాలా")</f>
        <v>ఆనంద్ బూందీ మసాలా</v>
      </c>
      <c r="C1804" s="4" t="str">
        <f>IFERROR(__xludf.DUMMYFUNCTION("GOOGLETRANSLATE(A1804, ""en"", ""hi"")"),"आनंद बूंदी मसाला")</f>
        <v>आनंद बूंदी मसाला</v>
      </c>
      <c r="D1804" s="2" t="s">
        <v>7671</v>
      </c>
      <c r="E1804" s="2" t="s">
        <v>1294</v>
      </c>
      <c r="F1804" s="1">
        <v>4.0</v>
      </c>
      <c r="G1804" s="3" t="s">
        <v>240</v>
      </c>
    </row>
    <row r="1805">
      <c r="A1805" s="3" t="s">
        <v>7672</v>
      </c>
      <c r="B1805" s="4" t="str">
        <f>IFERROR(__xludf.DUMMYFUNCTION("GOOGLETRANSLATE(A1805, ""en"", ""te"")"),"ఆనంద్ బూందీ మైదానం")</f>
        <v>ఆనంద్ బూందీ మైదానం</v>
      </c>
      <c r="C1805" s="4" t="str">
        <f>IFERROR(__xludf.DUMMYFUNCTION("GOOGLETRANSLATE(A1805, ""en"", ""hi"")"),"आनंद बूंदी मैदान")</f>
        <v>आनंद बूंदी मैदान</v>
      </c>
      <c r="D1805" s="2" t="s">
        <v>7673</v>
      </c>
      <c r="E1805" s="2" t="s">
        <v>1294</v>
      </c>
      <c r="F1805" s="1">
        <v>4.0</v>
      </c>
      <c r="G1805" s="3" t="s">
        <v>240</v>
      </c>
    </row>
    <row r="1806">
      <c r="A1806" s="3" t="s">
        <v>660</v>
      </c>
      <c r="B1806" s="4" t="str">
        <f>IFERROR(__xludf.DUMMYFUNCTION("GOOGLETRANSLATE(A1806, ""en"", ""te"")"),"ఆనంద్ భుజియా")</f>
        <v>ఆనంద్ భుజియా</v>
      </c>
      <c r="C1806" s="4" t="str">
        <f>IFERROR(__xludf.DUMMYFUNCTION("GOOGLETRANSLATE(A1806, ""en"", ""hi"")"),"आनंद भुजिया")</f>
        <v>आनंद भुजिया</v>
      </c>
      <c r="D1806" s="5"/>
      <c r="E1806" s="2" t="s">
        <v>1294</v>
      </c>
      <c r="F1806" s="1">
        <v>4.0</v>
      </c>
      <c r="G1806" s="3" t="s">
        <v>240</v>
      </c>
    </row>
    <row r="1807">
      <c r="A1807" s="3" t="s">
        <v>7674</v>
      </c>
      <c r="B1807" s="4" t="str">
        <f>IFERROR(__xludf.DUMMYFUNCTION("GOOGLETRANSLATE(A1807, ""en"", ""te"")"),"ఆనంద్ బెన్నె మురుక్కు")</f>
        <v>ఆనంద్ బెన్నె మురుక్కు</v>
      </c>
      <c r="C1807" s="4" t="str">
        <f>IFERROR(__xludf.DUMMYFUNCTION("GOOGLETRANSLATE(A1807, ""en"", ""hi"")"),"आनंद बेन्ने मुरुक्कू")</f>
        <v>आनंद बेन्ने मुरुक्कू</v>
      </c>
      <c r="D1807" s="2" t="s">
        <v>7675</v>
      </c>
      <c r="E1807" s="2" t="s">
        <v>1294</v>
      </c>
      <c r="F1807" s="1">
        <v>4.0</v>
      </c>
      <c r="G1807" s="3" t="s">
        <v>240</v>
      </c>
    </row>
    <row r="1808">
      <c r="A1808" s="3" t="s">
        <v>7628</v>
      </c>
      <c r="B1808" s="4" t="str">
        <f>IFERROR(__xludf.DUMMYFUNCTION("GOOGLETRANSLATE(A1808, ""en"", ""te"")"),"ఆనంద్ బనానా చిప్స్")</f>
        <v>ఆనంద్ బనానా చిప్స్</v>
      </c>
      <c r="C1808" s="4" t="str">
        <f>IFERROR(__xludf.DUMMYFUNCTION("GOOGLETRANSLATE(A1808, ""en"", ""hi"")"),"आनंद केले के चिप्स")</f>
        <v>आनंद केले के चिप्स</v>
      </c>
      <c r="D1808" s="2" t="s">
        <v>4054</v>
      </c>
      <c r="E1808" s="2" t="s">
        <v>1294</v>
      </c>
      <c r="F1808" s="1">
        <v>4.0</v>
      </c>
      <c r="G1808" s="3" t="s">
        <v>240</v>
      </c>
    </row>
    <row r="1809">
      <c r="A1809" s="3" t="s">
        <v>7676</v>
      </c>
      <c r="B1809" s="4" t="str">
        <f>IFERROR(__xludf.DUMMYFUNCTION("GOOGLETRANSLATE(A1809, ""en"", ""te"")"),"యూరో ఆల్డో సెవ్")</f>
        <v>యూరో ఆల్డో సెవ్</v>
      </c>
      <c r="C1809" s="4" t="str">
        <f>IFERROR(__xludf.DUMMYFUNCTION("GOOGLETRANSLATE(A1809, ""en"", ""hi"")"),"यूरो एल्डो सेव")</f>
        <v>यूरो एल्डो सेव</v>
      </c>
      <c r="D1809" s="5"/>
      <c r="E1809" s="2" t="s">
        <v>2649</v>
      </c>
      <c r="F1809" s="1">
        <v>4.0</v>
      </c>
      <c r="G1809" s="3" t="s">
        <v>10</v>
      </c>
    </row>
    <row r="1810">
      <c r="A1810" s="3" t="s">
        <v>7677</v>
      </c>
      <c r="B1810" s="4" t="str">
        <f>IFERROR(__xludf.DUMMYFUNCTION("GOOGLETRANSLATE(A1810, ""en"", ""te"")"),"యూరో ఆల్ ఇన్ వన్")</f>
        <v>యూరో ఆల్ ఇన్ వన్</v>
      </c>
      <c r="C1810" s="4" t="str">
        <f>IFERROR(__xludf.DUMMYFUNCTION("GOOGLETRANSLATE(A1810, ""en"", ""hi"")"),"यूरो ऑल इन वन")</f>
        <v>यूरो ऑल इन वन</v>
      </c>
      <c r="D1810" s="5"/>
      <c r="E1810" s="2" t="s">
        <v>9</v>
      </c>
      <c r="F1810" s="1">
        <v>4.0</v>
      </c>
      <c r="G1810" s="3" t="s">
        <v>10</v>
      </c>
    </row>
    <row r="1811">
      <c r="A1811" s="3" t="s">
        <v>7678</v>
      </c>
      <c r="B1811" s="4" t="str">
        <f>IFERROR(__xludf.DUMMYFUNCTION("GOOGLETRANSLATE(A1811, ""en"", ""te"")"),"అమ్మ కిచెన్ బనానా చిప్స్ మసాలా")</f>
        <v>అమ్మ కిచెన్ బనానా చిప్స్ మసాలా</v>
      </c>
      <c r="C1811" s="4" t="str">
        <f>IFERROR(__xludf.DUMMYFUNCTION("GOOGLETRANSLATE(A1811, ""en"", ""hi"")"),"अम्मा की रसोई केले के चिप्स मसाला")</f>
        <v>अम्मा की रसोई केले के चिप्स मसाला</v>
      </c>
      <c r="D1811" s="2" t="s">
        <v>4054</v>
      </c>
      <c r="E1811" s="2" t="s">
        <v>1294</v>
      </c>
      <c r="F1811" s="1">
        <v>4.0</v>
      </c>
      <c r="G1811" s="3" t="s">
        <v>10</v>
      </c>
    </row>
    <row r="1812">
      <c r="A1812" s="3" t="s">
        <v>7679</v>
      </c>
      <c r="B1812" s="4" t="str">
        <f>IFERROR(__xludf.DUMMYFUNCTION("GOOGLETRANSLATE(A1812, ""en"", ""te"")"),"అమ్మ వంటగది అచ్చప్పం")</f>
        <v>అమ్మ వంటగది అచ్చప్పం</v>
      </c>
      <c r="C1812" s="4" t="str">
        <f>IFERROR(__xludf.DUMMYFUNCTION("GOOGLETRANSLATE(A1812, ""en"", ""hi"")"),"अम्माज़ किचन अचप्पम")</f>
        <v>अम्माज़ किचन अचप्पम</v>
      </c>
      <c r="D1812" s="5"/>
      <c r="E1812" s="2" t="s">
        <v>1294</v>
      </c>
      <c r="F1812" s="1">
        <v>4.0</v>
      </c>
      <c r="G1812" s="3" t="s">
        <v>10</v>
      </c>
    </row>
    <row r="1813">
      <c r="A1813" s="3" t="s">
        <v>7680</v>
      </c>
      <c r="B1813" s="4" t="str">
        <f>IFERROR(__xludf.DUMMYFUNCTION("GOOGLETRANSLATE(A1813, ""en"", ""te"")"),"స్వీట్ కారం కాఫీ నిప్పట్టు")</f>
        <v>స్వీట్ కారం కాఫీ నిప్పట్టు</v>
      </c>
      <c r="C1813" s="4" t="str">
        <f>IFERROR(__xludf.DUMMYFUNCTION("GOOGLETRANSLATE(A1813, ""en"", ""hi"")"),"स्वीट करम कॉफी निप्पट्टू")</f>
        <v>स्वीट करम कॉफी निप्पट्टू</v>
      </c>
      <c r="D1813" s="2" t="s">
        <v>7638</v>
      </c>
      <c r="E1813" s="2" t="s">
        <v>1294</v>
      </c>
      <c r="F1813" s="1">
        <v>4.0</v>
      </c>
      <c r="G1813" s="3" t="s">
        <v>10</v>
      </c>
    </row>
    <row r="1814">
      <c r="A1814" s="3" t="s">
        <v>7681</v>
      </c>
      <c r="B1814" s="4" t="str">
        <f>IFERROR(__xludf.DUMMYFUNCTION("GOOGLETRANSLATE(A1814, ""en"", ""te"")"),"పాప్రింగ్స్ చీజ్ చిల్లీ")</f>
        <v>పాప్రింగ్స్ చీజ్ చిల్లీ</v>
      </c>
      <c r="C1814" s="4" t="str">
        <f>IFERROR(__xludf.DUMMYFUNCTION("GOOGLETRANSLATE(A1814, ""en"", ""hi"")"),"पॉपरिंग्स चीज़ चिली")</f>
        <v>पॉपरिंग्स चीज़ चिली</v>
      </c>
      <c r="D1814" s="2" t="s">
        <v>7493</v>
      </c>
      <c r="E1814" s="2" t="s">
        <v>1294</v>
      </c>
      <c r="F1814" s="1">
        <v>4.0</v>
      </c>
      <c r="G1814" s="3" t="s">
        <v>20</v>
      </c>
    </row>
    <row r="1815">
      <c r="A1815" s="3" t="s">
        <v>7682</v>
      </c>
      <c r="B1815" s="4" t="str">
        <f>IFERROR(__xludf.DUMMYFUNCTION("GOOGLETRANSLATE(A1815, ""en"", ""te"")"),"క్విక్స్ చీజ్ బాల్స్")</f>
        <v>క్విక్స్ చీజ్ బాల్స్</v>
      </c>
      <c r="C1815" s="4" t="str">
        <f>IFERROR(__xludf.DUMMYFUNCTION("GOOGLETRANSLATE(A1815, ""en"", ""hi"")"),"क्विक्स चीज़ बॉल्स")</f>
        <v>क्विक्स चीज़ बॉल्स</v>
      </c>
      <c r="D1815" s="5"/>
      <c r="E1815" s="2" t="s">
        <v>1294</v>
      </c>
      <c r="F1815" s="1">
        <v>4.0</v>
      </c>
      <c r="G1815" s="3" t="s">
        <v>20</v>
      </c>
    </row>
    <row r="1816">
      <c r="A1816" s="3" t="s">
        <v>7683</v>
      </c>
      <c r="B1816" s="4" t="str">
        <f>IFERROR(__xludf.DUMMYFUNCTION("GOOGLETRANSLATE(A1816, ""en"", ""te"")"),"పాప్రింగ్స్")</f>
        <v>పాప్రింగ్స్</v>
      </c>
      <c r="C1816" s="4" t="str">
        <f>IFERROR(__xludf.DUMMYFUNCTION("GOOGLETRANSLATE(A1816, ""en"", ""hi"")"),"पॉपरिंग्स")</f>
        <v>पॉपरिंग्स</v>
      </c>
      <c r="D1816" s="5"/>
      <c r="E1816" s="2" t="s">
        <v>1294</v>
      </c>
      <c r="F1816" s="1">
        <v>4.0</v>
      </c>
      <c r="G1816" s="3" t="s">
        <v>20</v>
      </c>
    </row>
    <row r="1817">
      <c r="A1817" s="3" t="s">
        <v>7684</v>
      </c>
      <c r="B1817" s="4" t="str">
        <f>IFERROR(__xludf.DUMMYFUNCTION("GOOGLETRANSLATE(A1817, ""en"", ""te"")"),"శ్వేత తెలుగు భెల్ మిక్స్")</f>
        <v>శ్వేత తెలుగు భెల్ మిక్స్</v>
      </c>
      <c r="C1817" s="4" t="str">
        <f>IFERROR(__xludf.DUMMYFUNCTION("GOOGLETRANSLATE(A1817, ""en"", ""hi"")"),"श्वेता तेलुगु भेल मिक्स")</f>
        <v>श्वेता तेलुगु भेल मिक्स</v>
      </c>
      <c r="D1817" s="2" t="s">
        <v>7685</v>
      </c>
      <c r="E1817" s="2" t="s">
        <v>940</v>
      </c>
      <c r="F1817" s="1">
        <v>4.0</v>
      </c>
      <c r="G1817" s="3" t="s">
        <v>29</v>
      </c>
    </row>
    <row r="1818">
      <c r="A1818" s="3" t="s">
        <v>7686</v>
      </c>
      <c r="B1818" s="4" t="str">
        <f>IFERROR(__xludf.DUMMYFUNCTION("GOOGLETRANSLATE(A1818, ""en"", ""te"")"),"శ్వేత తెలుగు కర బూంది")</f>
        <v>శ్వేత తెలుగు కర బూంది</v>
      </c>
      <c r="C1818" s="4" t="str">
        <f>IFERROR(__xludf.DUMMYFUNCTION("GOOGLETRANSLATE(A1818, ""en"", ""hi"")"),"श्वेता तेलुगु कारा बूंदी")</f>
        <v>श्वेता तेलुगु कारा बूंदी</v>
      </c>
      <c r="D1818" s="2" t="s">
        <v>4403</v>
      </c>
      <c r="E1818" s="2" t="s">
        <v>1294</v>
      </c>
      <c r="F1818" s="1">
        <v>4.0</v>
      </c>
      <c r="G1818" s="3" t="s">
        <v>29</v>
      </c>
    </row>
    <row r="1819">
      <c r="A1819" s="3" t="s">
        <v>7687</v>
      </c>
      <c r="B1819" s="4" t="str">
        <f>IFERROR(__xludf.DUMMYFUNCTION("GOOGLETRANSLATE(A1819, ""en"", ""te"")"),"డీప్ ఫుడ్స్ స్నాక్స్")</f>
        <v>డీప్ ఫుడ్స్ స్నాక్స్</v>
      </c>
      <c r="C1819" s="4" t="str">
        <f>IFERROR(__xludf.DUMMYFUNCTION("GOOGLETRANSLATE(A1819, ""en"", ""hi"")"),"डीप फूड्स स्नैक्स")</f>
        <v>डीप फूड्स स्नैक्स</v>
      </c>
      <c r="D1819" s="2" t="s">
        <v>7508</v>
      </c>
      <c r="E1819" s="2" t="s">
        <v>1294</v>
      </c>
      <c r="F1819" s="1">
        <v>4.0</v>
      </c>
      <c r="G1819" s="3" t="s">
        <v>39</v>
      </c>
    </row>
    <row r="1820">
      <c r="A1820" s="3" t="s">
        <v>7545</v>
      </c>
      <c r="B1820" s="4" t="str">
        <f>IFERROR(__xludf.DUMMYFUNCTION("GOOGLETRANSLATE(A1820, ""en"", ""te"")"),"ఆనంద్ మసాలా వేరుశెనగలు")</f>
        <v>ఆనంద్ మసాలా వేరుశెనగలు</v>
      </c>
      <c r="C1820" s="4" t="str">
        <f>IFERROR(__xludf.DUMMYFUNCTION("GOOGLETRANSLATE(A1820, ""en"", ""hi"")"),"आनंद मसाला मूंगफली")</f>
        <v>आनंद मसाला मूंगफली</v>
      </c>
      <c r="D1820" s="2" t="s">
        <v>945</v>
      </c>
      <c r="E1820" s="2" t="s">
        <v>1294</v>
      </c>
      <c r="F1820" s="1">
        <v>4.0</v>
      </c>
      <c r="G1820" s="3" t="s">
        <v>39</v>
      </c>
    </row>
    <row r="1821">
      <c r="A1821" s="3" t="s">
        <v>7688</v>
      </c>
      <c r="B1821" s="4" t="str">
        <f>IFERROR(__xludf.DUMMYFUNCTION("GOOGLETRANSLATE(A1821, ""en"", ""te"")"),"శ్వేత తెలుగు చెకోడిలు")</f>
        <v>శ్వేత తెలుగు చెకోడిలు</v>
      </c>
      <c r="C1821" s="4" t="str">
        <f>IFERROR(__xludf.DUMMYFUNCTION("GOOGLETRANSLATE(A1821, ""en"", ""hi"")"),"श्वेता तेलुगु चेकोदिलु")</f>
        <v>श्वेता तेलुगु चेकोदिलु</v>
      </c>
      <c r="D1821" s="2" t="s">
        <v>7689</v>
      </c>
      <c r="E1821" s="2" t="s">
        <v>1294</v>
      </c>
      <c r="F1821" s="1">
        <v>4.0</v>
      </c>
      <c r="G1821" s="3" t="s">
        <v>194</v>
      </c>
    </row>
    <row r="1822">
      <c r="A1822" s="3" t="s">
        <v>7690</v>
      </c>
      <c r="B1822" s="4" t="str">
        <f>IFERROR(__xludf.DUMMYFUNCTION("GOOGLETRANSLATE(A1822, ""en"", ""te"")"),"శ్వేత తెలుగు మురుకులు")</f>
        <v>శ్వేత తెలుగు మురుకులు</v>
      </c>
      <c r="C1822" s="4" t="str">
        <f>IFERROR(__xludf.DUMMYFUNCTION("GOOGLETRANSLATE(A1822, ""en"", ""hi"")"),"श्वेता तेलुगु मुरुकुलु")</f>
        <v>श्वेता तेलुगु मुरुकुलु</v>
      </c>
      <c r="D1822" s="2" t="s">
        <v>7691</v>
      </c>
      <c r="E1822" s="2" t="s">
        <v>1294</v>
      </c>
      <c r="F1822" s="1">
        <v>4.0</v>
      </c>
      <c r="G1822" s="3" t="s">
        <v>194</v>
      </c>
    </row>
    <row r="1823">
      <c r="A1823" s="3" t="s">
        <v>7692</v>
      </c>
      <c r="B1823" s="4" t="str">
        <f>IFERROR(__xludf.DUMMYFUNCTION("GOOGLETRANSLATE(A1823, ""en"", ""te"")"),"శ్వేత తెలుగు మద్రాస్ మిశ్రమం")</f>
        <v>శ్వేత తెలుగు మద్రాస్ మిశ్రమం</v>
      </c>
      <c r="C1823" s="4" t="str">
        <f>IFERROR(__xludf.DUMMYFUNCTION("GOOGLETRANSLATE(A1823, ""en"", ""hi"")"),"श्वेता तेलुगु मद्रास मिश्रण")</f>
        <v>श्वेता तेलुगु मद्रास मिश्रण</v>
      </c>
      <c r="D1823" s="2" t="s">
        <v>7610</v>
      </c>
      <c r="E1823" s="2" t="s">
        <v>1294</v>
      </c>
      <c r="F1823" s="1">
        <v>4.0</v>
      </c>
      <c r="G1823" s="3" t="s">
        <v>194</v>
      </c>
    </row>
    <row r="1824">
      <c r="A1824" s="3" t="s">
        <v>7693</v>
      </c>
      <c r="B1824" s="4" t="str">
        <f>IFERROR(__xludf.DUMMYFUNCTION("GOOGLETRANSLATE(A1824, ""en"", ""te"")"),"శ్వేత తెలుగు రైయా మిశ్రమం")</f>
        <v>శ్వేత తెలుగు రైయా మిశ్రమం</v>
      </c>
      <c r="C1824" s="4" t="str">
        <f>IFERROR(__xludf.DUMMYFUNCTION("GOOGLETRANSLATE(A1824, ""en"", ""hi"")"),"श्वेता तेलुगु राया मिश्रण")</f>
        <v>श्वेता तेलुगु राया मिश्रण</v>
      </c>
      <c r="D1824" s="2" t="s">
        <v>4054</v>
      </c>
      <c r="E1824" s="2" t="s">
        <v>1294</v>
      </c>
      <c r="F1824" s="1">
        <v>4.0</v>
      </c>
      <c r="G1824" s="3" t="s">
        <v>194</v>
      </c>
    </row>
    <row r="1825">
      <c r="A1825" s="3" t="s">
        <v>7694</v>
      </c>
      <c r="B1825" s="4" t="str">
        <f>IFERROR(__xludf.DUMMYFUNCTION("GOOGLETRANSLATE(A1825, ""en"", ""te"")"),"శ్వేత తెలుగు కరపుస")</f>
        <v>శ్వేత తెలుగు కరపుస</v>
      </c>
      <c r="C1825" s="4" t="str">
        <f>IFERROR(__xludf.DUMMYFUNCTION("GOOGLETRANSLATE(A1825, ""en"", ""hi"")"),"श्वेता तेलुगु करापुसा")</f>
        <v>श्वेता तेलुगु करापुसा</v>
      </c>
      <c r="D1825" s="2" t="s">
        <v>1655</v>
      </c>
      <c r="E1825" s="2" t="s">
        <v>442</v>
      </c>
      <c r="F1825" s="1">
        <v>4.0</v>
      </c>
      <c r="G1825" s="3" t="s">
        <v>194</v>
      </c>
    </row>
    <row r="1826">
      <c r="A1826" s="3" t="s">
        <v>7686</v>
      </c>
      <c r="B1826" s="4" t="str">
        <f>IFERROR(__xludf.DUMMYFUNCTION("GOOGLETRANSLATE(A1826, ""en"", ""te"")"),"శ్వేత తెలుగు కర బూంది")</f>
        <v>శ్వేత తెలుగు కర బూంది</v>
      </c>
      <c r="C1826" s="4" t="str">
        <f>IFERROR(__xludf.DUMMYFUNCTION("GOOGLETRANSLATE(A1826, ""en"", ""hi"")"),"श्वेता तेलुगु कारा बूंदी")</f>
        <v>श्वेता तेलुगु कारा बूंदी</v>
      </c>
      <c r="D1826" s="2" t="s">
        <v>4403</v>
      </c>
      <c r="E1826" s="2" t="s">
        <v>1294</v>
      </c>
      <c r="F1826" s="1">
        <v>4.0</v>
      </c>
      <c r="G1826" s="3" t="s">
        <v>194</v>
      </c>
    </row>
    <row r="1827">
      <c r="A1827" s="3" t="s">
        <v>7695</v>
      </c>
      <c r="B1827" s="4" t="str">
        <f>IFERROR(__xludf.DUMMYFUNCTION("GOOGLETRANSLATE(A1827, ""en"", ""te"")"),"శ్వేత తెలుగు జంతికలు")</f>
        <v>శ్వేత తెలుగు జంతికలు</v>
      </c>
      <c r="C1827" s="4" t="str">
        <f>IFERROR(__xludf.DUMMYFUNCTION("GOOGLETRANSLATE(A1827, ""en"", ""hi"")"),"श्वेता तेलुगु जंथिकालु")</f>
        <v>श्वेता तेलुगु जंथिकालु</v>
      </c>
      <c r="D1827" s="2" t="s">
        <v>1655</v>
      </c>
      <c r="E1827" s="2" t="s">
        <v>442</v>
      </c>
      <c r="F1827" s="1">
        <v>4.0</v>
      </c>
      <c r="G1827" s="3" t="s">
        <v>194</v>
      </c>
    </row>
    <row r="1828">
      <c r="A1828" s="3" t="s">
        <v>7696</v>
      </c>
      <c r="B1828" s="4" t="str">
        <f>IFERROR(__xludf.DUMMYFUNCTION("GOOGLETRANSLATE(A1828, ""en"", ""te"")"),"శ్వేత తెలుగు పనస చిప్స్")</f>
        <v>శ్వేత తెలుగు పనస చిప్స్</v>
      </c>
      <c r="C1828" s="4" t="str">
        <f>IFERROR(__xludf.DUMMYFUNCTION("GOOGLETRANSLATE(A1828, ""en"", ""hi"")"),"श्वेता तेलुगु कटहल चिप्स")</f>
        <v>श्वेता तेलुगु कटहल चिप्स</v>
      </c>
      <c r="D1828" s="2" t="s">
        <v>7659</v>
      </c>
      <c r="E1828" s="2" t="s">
        <v>1294</v>
      </c>
      <c r="F1828" s="1">
        <v>4.0</v>
      </c>
      <c r="G1828" s="3" t="s">
        <v>194</v>
      </c>
    </row>
    <row r="1829">
      <c r="A1829" s="3" t="s">
        <v>7697</v>
      </c>
      <c r="B1829" s="4" t="str">
        <f>IFERROR(__xludf.DUMMYFUNCTION("GOOGLETRANSLATE(A1829, ""en"", ""te"")"),"శ్వేత తెలుగు చేతి చెక్")</f>
        <v>శ్వేత తెలుగు చేతి చెక్</v>
      </c>
      <c r="C1829" s="4" t="str">
        <f>IFERROR(__xludf.DUMMYFUNCTION("GOOGLETRANSLATE(A1829, ""en"", ""hi"")"),"श्वेता तेलुगु चेथी चेक")</f>
        <v>श्वेता तेलुगु चेथी चेक</v>
      </c>
      <c r="D1829" s="2" t="s">
        <v>7319</v>
      </c>
      <c r="E1829" s="2" t="s">
        <v>1294</v>
      </c>
      <c r="F1829" s="1">
        <v>4.0</v>
      </c>
      <c r="G1829" s="3" t="s">
        <v>194</v>
      </c>
    </row>
    <row r="1830">
      <c r="A1830" s="3" t="s">
        <v>703</v>
      </c>
      <c r="B1830" s="4" t="str">
        <f>IFERROR(__xludf.DUMMYFUNCTION("GOOGLETRANSLATE(A1830, ""en"", ""te"")"),"ఆనంద్ కచోరి")</f>
        <v>ఆనంద్ కచోరి</v>
      </c>
      <c r="C1830" s="4" t="str">
        <f>IFERROR(__xludf.DUMMYFUNCTION("GOOGLETRANSLATE(A1830, ""en"", ""hi"")"),"आनंद कचौरी")</f>
        <v>आनंद कचौरी</v>
      </c>
      <c r="D1830" s="2" t="s">
        <v>7569</v>
      </c>
      <c r="E1830" s="2" t="s">
        <v>1294</v>
      </c>
      <c r="F1830" s="1">
        <v>4.0</v>
      </c>
      <c r="G1830" s="3" t="s">
        <v>240</v>
      </c>
    </row>
    <row r="1831">
      <c r="A1831" s="3" t="s">
        <v>7552</v>
      </c>
      <c r="B1831" s="4" t="str">
        <f>IFERROR(__xludf.DUMMYFUNCTION("GOOGLETRANSLATE(A1831, ""en"", ""te"")"),"ఆనంద్ జలపెనో మురుక్కు స్టిక్స్")</f>
        <v>ఆనంద్ జలపెనో మురుక్కు స్టిక్స్</v>
      </c>
      <c r="C1831" s="4" t="str">
        <f>IFERROR(__xludf.DUMMYFUNCTION("GOOGLETRANSLATE(A1831, ""en"", ""hi"")"),"आनंद जलपीनो मुरुक्कू स्टिक्स")</f>
        <v>आनंद जलपीनो मुरुक्कू स्टिक्स</v>
      </c>
      <c r="D1831" s="2" t="s">
        <v>7553</v>
      </c>
      <c r="E1831" s="2" t="s">
        <v>1294</v>
      </c>
      <c r="F1831" s="1">
        <v>4.0</v>
      </c>
      <c r="G1831" s="3" t="s">
        <v>240</v>
      </c>
    </row>
    <row r="1832">
      <c r="A1832" s="3" t="s">
        <v>7698</v>
      </c>
      <c r="B1832" s="4" t="str">
        <f>IFERROR(__xludf.DUMMYFUNCTION("GOOGLETRANSLATE(A1832, ""en"", ""te"")"),"ఆనంద్ పనస చిప్స్")</f>
        <v>ఆనంద్ పనస చిప్స్</v>
      </c>
      <c r="C1832" s="4" t="str">
        <f>IFERROR(__xludf.DUMMYFUNCTION("GOOGLETRANSLATE(A1832, ""en"", ""hi"")"),"आनंद कटहल चिप्स")</f>
        <v>आनंद कटहल चिप्स</v>
      </c>
      <c r="D1832" s="2" t="s">
        <v>4054</v>
      </c>
      <c r="E1832" s="2" t="s">
        <v>1294</v>
      </c>
      <c r="F1832" s="1">
        <v>4.0</v>
      </c>
      <c r="G1832" s="3" t="s">
        <v>240</v>
      </c>
    </row>
    <row r="1833">
      <c r="A1833" s="3" t="s">
        <v>7699</v>
      </c>
      <c r="B1833" s="4" t="str">
        <f>IFERROR(__xludf.DUMMYFUNCTION("GOOGLETRANSLATE(A1833, ""en"", ""te"")"),"ఆనంద్ హైదరాబాద్ మిశ్రమం")</f>
        <v>ఆనంద్ హైదరాబాద్ మిశ్రమం</v>
      </c>
      <c r="C1833" s="4" t="str">
        <f>IFERROR(__xludf.DUMMYFUNCTION("GOOGLETRANSLATE(A1833, ""en"", ""hi"")"),"आनंद हैदराबाद मिश्रण")</f>
        <v>आनंद हैदराबाद मिश्रण</v>
      </c>
      <c r="D1833" s="2" t="s">
        <v>4054</v>
      </c>
      <c r="E1833" s="2" t="s">
        <v>1294</v>
      </c>
      <c r="F1833" s="1">
        <v>4.0</v>
      </c>
      <c r="G1833" s="3" t="s">
        <v>240</v>
      </c>
    </row>
    <row r="1834">
      <c r="A1834" s="3" t="s">
        <v>7700</v>
      </c>
      <c r="B1834" s="4" t="str">
        <f>IFERROR(__xludf.DUMMYFUNCTION("GOOGLETRANSLATE(A1834, ""en"", ""te"")"),"ఆనంద్ వెల్లుల్లి మిశ్రమం")</f>
        <v>ఆనంద్ వెల్లుల్లి మిశ్రమం</v>
      </c>
      <c r="C1834" s="4" t="str">
        <f>IFERROR(__xludf.DUMMYFUNCTION("GOOGLETRANSLATE(A1834, ""en"", ""hi"")"),"आनंद लहसुन मिश्रण")</f>
        <v>आनंद लहसुन मिश्रण</v>
      </c>
      <c r="D1834" s="2" t="s">
        <v>2604</v>
      </c>
      <c r="E1834" s="2" t="s">
        <v>442</v>
      </c>
      <c r="F1834" s="1">
        <v>4.0</v>
      </c>
      <c r="G1834" s="3" t="s">
        <v>240</v>
      </c>
    </row>
    <row r="1835">
      <c r="A1835" s="3" t="s">
        <v>7701</v>
      </c>
      <c r="B1835" s="4" t="str">
        <f>IFERROR(__xludf.DUMMYFUNCTION("GOOGLETRANSLATE(A1835, ""en"", ""te"")"),"ఆనంద్ ఫరాలి చివ్డా టిఖా")</f>
        <v>ఆనంద్ ఫరాలి చివ్డా టిఖా</v>
      </c>
      <c r="C1835" s="4" t="str">
        <f>IFERROR(__xludf.DUMMYFUNCTION("GOOGLETRANSLATE(A1835, ""en"", ""hi"")"),"आनंद फराली चिवड़ा तीखा")</f>
        <v>आनंद फराली चिवड़ा तीखा</v>
      </c>
      <c r="D1835" s="5"/>
      <c r="E1835" s="2" t="s">
        <v>442</v>
      </c>
      <c r="F1835" s="1">
        <v>4.0</v>
      </c>
      <c r="G1835" s="3" t="s">
        <v>240</v>
      </c>
    </row>
    <row r="1836">
      <c r="A1836" s="3" t="s">
        <v>7702</v>
      </c>
      <c r="B1836" s="4" t="str">
        <f>IFERROR(__xludf.DUMMYFUNCTION("GOOGLETRANSLATE(A1836, ""en"", ""te"")"),"ఆనంద్ ఫరాలి చివ్డా మిథా")</f>
        <v>ఆనంద్ ఫరాలి చివ్డా మిథా</v>
      </c>
      <c r="C1836" s="4" t="str">
        <f>IFERROR(__xludf.DUMMYFUNCTION("GOOGLETRANSLATE(A1836, ""en"", ""hi"")"),"आनंद फराली चिवड़ा मीठा")</f>
        <v>आनंद फराली चिवड़ा मीठा</v>
      </c>
      <c r="D1836" s="5"/>
      <c r="E1836" s="2" t="s">
        <v>442</v>
      </c>
      <c r="F1836" s="1">
        <v>4.0</v>
      </c>
      <c r="G1836" s="3" t="s">
        <v>240</v>
      </c>
    </row>
    <row r="1837">
      <c r="A1837" s="3" t="s">
        <v>7703</v>
      </c>
      <c r="B1837" s="4" t="str">
        <f>IFERROR(__xludf.DUMMYFUNCTION("GOOGLETRANSLATE(A1837, ""en"", ""te"")"),"యూరో గార్లిక్ చివ్డా")</f>
        <v>యూరో గార్లిక్ చివ్డా</v>
      </c>
      <c r="C1837" s="4" t="str">
        <f>IFERROR(__xludf.DUMMYFUNCTION("GOOGLETRANSLATE(A1837, ""en"", ""hi"")"),"यूरो गार्लिक चिवड़ा")</f>
        <v>यूरो गार्लिक चिवड़ा</v>
      </c>
      <c r="D1837" s="2" t="s">
        <v>2604</v>
      </c>
      <c r="E1837" s="2" t="s">
        <v>1294</v>
      </c>
      <c r="F1837" s="1">
        <v>4.0</v>
      </c>
      <c r="G1837" s="3" t="s">
        <v>258</v>
      </c>
    </row>
    <row r="1838">
      <c r="A1838" s="3" t="s">
        <v>7704</v>
      </c>
      <c r="B1838" s="4" t="str">
        <f>IFERROR(__xludf.DUMMYFUNCTION("GOOGLETRANSLATE(A1838, ""en"", ""te"")"),"యూరో డాల్ చిమ్మట")</f>
        <v>యూరో డాల్ చిమ్మట</v>
      </c>
      <c r="C1838" s="4" t="str">
        <f>IFERROR(__xludf.DUMMYFUNCTION("GOOGLETRANSLATE(A1838, ""en"", ""hi"")"),"यूरो दाल मोथ")</f>
        <v>यूरो दाल मोथ</v>
      </c>
      <c r="D1838" s="5"/>
      <c r="E1838" s="2" t="s">
        <v>1038</v>
      </c>
      <c r="F1838" s="1">
        <v>4.0</v>
      </c>
      <c r="G1838" s="3" t="s">
        <v>258</v>
      </c>
    </row>
    <row r="1839">
      <c r="A1839" s="3" t="s">
        <v>7705</v>
      </c>
      <c r="B1839" s="4" t="str">
        <f>IFERROR(__xludf.DUMMYFUNCTION("GOOGLETRANSLATE(A1839, ""en"", ""te"")"),"యూరో డ్రై కచోరి")</f>
        <v>యూరో డ్రై కచోరి</v>
      </c>
      <c r="C1839" s="4" t="str">
        <f>IFERROR(__xludf.DUMMYFUNCTION("GOOGLETRANSLATE(A1839, ""en"", ""hi"")"),"यूरो ड्राई कचौरी")</f>
        <v>यूरो ड्राई कचौरी</v>
      </c>
      <c r="D1839" s="5"/>
      <c r="E1839" s="2" t="s">
        <v>1294</v>
      </c>
      <c r="F1839" s="1">
        <v>4.0</v>
      </c>
      <c r="G1839" s="3" t="s">
        <v>258</v>
      </c>
    </row>
    <row r="1840">
      <c r="A1840" s="3" t="s">
        <v>7706</v>
      </c>
      <c r="B1840" s="4" t="str">
        <f>IFERROR(__xludf.DUMMYFUNCTION("GOOGLETRANSLATE(A1840, ""en"", ""te"")"),"యూరో చనా దాల్")</f>
        <v>యూరో చనా దాల్</v>
      </c>
      <c r="C1840" s="4" t="str">
        <f>IFERROR(__xludf.DUMMYFUNCTION("GOOGLETRANSLATE(A1840, ""en"", ""hi"")"),"यूरो चना दाल")</f>
        <v>यूरो चना दाल</v>
      </c>
      <c r="D1840" s="2" t="s">
        <v>3861</v>
      </c>
      <c r="E1840" s="2" t="s">
        <v>1038</v>
      </c>
      <c r="F1840" s="1">
        <v>4.0</v>
      </c>
      <c r="G1840" s="3" t="s">
        <v>258</v>
      </c>
    </row>
    <row r="1841">
      <c r="A1841" s="3" t="s">
        <v>7707</v>
      </c>
      <c r="B1841" s="4" t="str">
        <f>IFERROR(__xludf.DUMMYFUNCTION("GOOGLETRANSLATE(A1841, ""en"", ""te"")"),"యూరో చనా జోర్ మసాలా")</f>
        <v>యూరో చనా జోర్ మసాలా</v>
      </c>
      <c r="C1841" s="4" t="str">
        <f>IFERROR(__xludf.DUMMYFUNCTION("GOOGLETRANSLATE(A1841, ""en"", ""hi"")"),"यूरो चना जोर मसाला")</f>
        <v>यूरो चना जोर मसाला</v>
      </c>
      <c r="D1841" s="5"/>
      <c r="E1841" s="2" t="s">
        <v>442</v>
      </c>
      <c r="F1841" s="1">
        <v>4.0</v>
      </c>
      <c r="G1841" s="3" t="s">
        <v>258</v>
      </c>
    </row>
    <row r="1842">
      <c r="A1842" s="3" t="s">
        <v>7708</v>
      </c>
      <c r="B1842" s="4" t="str">
        <f>IFERROR(__xludf.DUMMYFUNCTION("GOOGLETRANSLATE(A1842, ""en"", ""te"")"),"యూరో ఆలూ సేవ్")</f>
        <v>యూరో ఆలూ సేవ్</v>
      </c>
      <c r="C1842" s="4" t="str">
        <f>IFERROR(__xludf.DUMMYFUNCTION("GOOGLETRANSLATE(A1842, ""en"", ""hi"")"),"यूरो आलू सेव")</f>
        <v>यूरो आलू सेव</v>
      </c>
      <c r="D1842" s="5"/>
      <c r="E1842" s="2" t="s">
        <v>1294</v>
      </c>
      <c r="F1842" s="1">
        <v>4.0</v>
      </c>
      <c r="G1842" s="3" t="s">
        <v>258</v>
      </c>
    </row>
    <row r="1843">
      <c r="A1843" s="3" t="s">
        <v>7677</v>
      </c>
      <c r="B1843" s="4" t="str">
        <f>IFERROR(__xludf.DUMMYFUNCTION("GOOGLETRANSLATE(A1843, ""en"", ""te"")"),"యూరో ఆల్ ఇన్ వన్")</f>
        <v>యూరో ఆల్ ఇన్ వన్</v>
      </c>
      <c r="C1843" s="4" t="str">
        <f>IFERROR(__xludf.DUMMYFUNCTION("GOOGLETRANSLATE(A1843, ""en"", ""hi"")"),"यूरो ऑल इन वन")</f>
        <v>यूरो ऑल इन वन</v>
      </c>
      <c r="D1843" s="5"/>
      <c r="E1843" s="2" t="s">
        <v>9</v>
      </c>
      <c r="F1843" s="1">
        <v>4.0</v>
      </c>
      <c r="G1843" s="3" t="s">
        <v>258</v>
      </c>
    </row>
    <row r="1844">
      <c r="A1844" s="3" t="s">
        <v>7709</v>
      </c>
      <c r="B1844" s="4" t="str">
        <f>IFERROR(__xludf.DUMMYFUNCTION("GOOGLETRANSLATE(A1844, ""en"", ""te"")"),"అమ్మ వంటగది పనస చిప్స్")</f>
        <v>అమ్మ వంటగది పనస చిప్స్</v>
      </c>
      <c r="C1844" s="4" t="str">
        <f>IFERROR(__xludf.DUMMYFUNCTION("GOOGLETRANSLATE(A1844, ""en"", ""hi"")"),"अम्माज़ किचन कटहल चिप्स")</f>
        <v>अम्माज़ किचन कटहल चिप्स</v>
      </c>
      <c r="D1844" s="5"/>
      <c r="E1844" s="2" t="s">
        <v>1294</v>
      </c>
      <c r="F1844" s="1">
        <v>4.0</v>
      </c>
      <c r="G1844" s="3" t="s">
        <v>258</v>
      </c>
    </row>
    <row r="1845">
      <c r="A1845" s="3" t="s">
        <v>7710</v>
      </c>
      <c r="B1845" s="4" t="str">
        <f>IFERROR(__xludf.DUMMYFUNCTION("GOOGLETRANSLATE(A1845, ""en"", ""te"")"),"అమ్మ కిచెన్ బనానా చిప్స్ చిల్లీ మసాలా")</f>
        <v>అమ్మ కిచెన్ బనానా చిప్స్ చిల్లీ మసాలా</v>
      </c>
      <c r="C1845" s="4" t="str">
        <f>IFERROR(__xludf.DUMMYFUNCTION("GOOGLETRANSLATE(A1845, ""en"", ""hi"")"),"अम्मा की रसोई केले के चिप्स मिर्च मसाला")</f>
        <v>अम्मा की रसोई केले के चिप्स मिर्च मसाला</v>
      </c>
      <c r="D1845" s="5"/>
      <c r="E1845" s="2" t="s">
        <v>1294</v>
      </c>
      <c r="F1845" s="1">
        <v>4.0</v>
      </c>
      <c r="G1845" s="3" t="s">
        <v>258</v>
      </c>
    </row>
    <row r="1846">
      <c r="A1846" s="3" t="s">
        <v>7679</v>
      </c>
      <c r="B1846" s="4" t="str">
        <f>IFERROR(__xludf.DUMMYFUNCTION("GOOGLETRANSLATE(A1846, ""en"", ""te"")"),"అమ్మ వంటగది అచ్చప్పం")</f>
        <v>అమ్మ వంటగది అచ్చప్పం</v>
      </c>
      <c r="C1846" s="4" t="str">
        <f>IFERROR(__xludf.DUMMYFUNCTION("GOOGLETRANSLATE(A1846, ""en"", ""hi"")"),"अम्माज़ किचन अचप्पम")</f>
        <v>अम्माज़ किचन अचप्पम</v>
      </c>
      <c r="D1846" s="5"/>
      <c r="E1846" s="2" t="s">
        <v>1294</v>
      </c>
      <c r="F1846" s="1">
        <v>4.0</v>
      </c>
      <c r="G1846" s="3" t="s">
        <v>258</v>
      </c>
    </row>
    <row r="1847">
      <c r="A1847" s="3" t="s">
        <v>7711</v>
      </c>
      <c r="B1847" s="4" t="str">
        <f>IFERROR(__xludf.DUMMYFUNCTION("GOOGLETRANSLATE(A1847, ""en"", ""te"")"),"న్యూట్రామ్ ఆల్ ఇన్ వన్")</f>
        <v>న్యూట్రామ్ ఆల్ ఇన్ వన్</v>
      </c>
      <c r="C1847" s="4" t="str">
        <f>IFERROR(__xludf.DUMMYFUNCTION("GOOGLETRANSLATE(A1847, ""en"", ""hi"")"),"न्यूट्रम ऑल इन वन")</f>
        <v>न्यूट्रम ऑल इन वन</v>
      </c>
      <c r="D1847" s="5"/>
      <c r="E1847" s="2" t="s">
        <v>2279</v>
      </c>
      <c r="F1847" s="1">
        <v>4.0</v>
      </c>
      <c r="G1847" s="3" t="s">
        <v>7053</v>
      </c>
    </row>
    <row r="1848">
      <c r="A1848" s="3" t="s">
        <v>7712</v>
      </c>
      <c r="B1848" s="4" t="str">
        <f>IFERROR(__xludf.DUMMYFUNCTION("GOOGLETRANSLATE(A1848, ""en"", ""te"")"),"బికాజీ కుచ్ కుచ్")</f>
        <v>బికాజీ కుచ్ కుచ్</v>
      </c>
      <c r="C1848" s="4" t="str">
        <f>IFERROR(__xludf.DUMMYFUNCTION("GOOGLETRANSLATE(A1848, ""en"", ""hi"")"),"बिकाजी कुछ कुछ")</f>
        <v>बिकाजी कुछ कुछ</v>
      </c>
      <c r="D1848" s="5"/>
      <c r="E1848" s="2" t="s">
        <v>1294</v>
      </c>
      <c r="F1848" s="1">
        <v>4.0</v>
      </c>
      <c r="G1848" s="3" t="s">
        <v>7053</v>
      </c>
    </row>
    <row r="1849">
      <c r="A1849" s="3" t="s">
        <v>7713</v>
      </c>
      <c r="B1849" s="4" t="str">
        <f>IFERROR(__xludf.DUMMYFUNCTION("GOOGLETRANSLATE(A1849, ""en"", ""te"")"),"రాజు భాటియా")</f>
        <v>రాజు భాటియా</v>
      </c>
      <c r="C1849" s="4" t="str">
        <f>IFERROR(__xludf.DUMMYFUNCTION("GOOGLETRANSLATE(A1849, ""en"", ""hi"")"),"राजू भाटिया")</f>
        <v>राजू भाटिया</v>
      </c>
      <c r="D1849" s="2" t="s">
        <v>2314</v>
      </c>
      <c r="E1849" s="2" t="s">
        <v>67</v>
      </c>
      <c r="F1849" s="1">
        <v>4.0</v>
      </c>
      <c r="G1849" s="3" t="s">
        <v>7053</v>
      </c>
    </row>
    <row r="1850">
      <c r="A1850" s="3" t="s">
        <v>7714</v>
      </c>
      <c r="B1850" s="4" t="str">
        <f>IFERROR(__xludf.DUMMYFUNCTION("GOOGLETRANSLATE(A1850, ""en"", ""te"")"),"శాలిని")</f>
        <v>శాలిని</v>
      </c>
      <c r="C1850" s="4" t="str">
        <f>IFERROR(__xludf.DUMMYFUNCTION("GOOGLETRANSLATE(A1850, ""en"", ""hi"")"),"शालिनी")</f>
        <v>शालिनी</v>
      </c>
      <c r="D1850" s="2" t="s">
        <v>4449</v>
      </c>
      <c r="E1850" s="2" t="s">
        <v>1294</v>
      </c>
      <c r="F1850" s="1">
        <v>4.0</v>
      </c>
      <c r="G1850" s="3" t="s">
        <v>7053</v>
      </c>
    </row>
    <row r="1851">
      <c r="A1851" s="3" t="s">
        <v>7686</v>
      </c>
      <c r="B1851" s="4" t="str">
        <f>IFERROR(__xludf.DUMMYFUNCTION("GOOGLETRANSLATE(A1851, ""en"", ""te"")"),"శ్వేత తెలుగు కర బూంది")</f>
        <v>శ్వేత తెలుగు కర బూంది</v>
      </c>
      <c r="C1851" s="4" t="str">
        <f>IFERROR(__xludf.DUMMYFUNCTION("GOOGLETRANSLATE(A1851, ""en"", ""hi"")"),"श्वेता तेलुगु कारा बूंदी")</f>
        <v>श्वेता तेलुगु कारा बूंदी</v>
      </c>
      <c r="D1851" s="2" t="s">
        <v>4403</v>
      </c>
      <c r="E1851" s="2" t="s">
        <v>1294</v>
      </c>
      <c r="F1851" s="1">
        <v>4.0</v>
      </c>
      <c r="G1851" s="3" t="s">
        <v>7053</v>
      </c>
    </row>
    <row r="1852">
      <c r="A1852" s="3" t="s">
        <v>7715</v>
      </c>
      <c r="B1852" s="4" t="str">
        <f>IFERROR(__xludf.DUMMYFUNCTION("GOOGLETRANSLATE(A1852, ""en"", ""te"")"),"స్రోయ్ పకోడా")</f>
        <v>స్రోయ్ పకోడా</v>
      </c>
      <c r="C1852" s="4" t="str">
        <f>IFERROR(__xludf.DUMMYFUNCTION("GOOGLETRANSLATE(A1852, ""en"", ""hi"")"),"सरोय पकोड़ा")</f>
        <v>सरोय पकोड़ा</v>
      </c>
      <c r="D1852" s="5"/>
      <c r="E1852" s="2" t="s">
        <v>1294</v>
      </c>
      <c r="F1852" s="1">
        <v>4.0</v>
      </c>
      <c r="G1852" s="3" t="s">
        <v>4469</v>
      </c>
    </row>
    <row r="1853">
      <c r="A1853" s="3" t="s">
        <v>7716</v>
      </c>
      <c r="B1853" s="4" t="str">
        <f>IFERROR(__xludf.DUMMYFUNCTION("GOOGLETRANSLATE(A1853, ""en"", ""te"")"),"బి.కె. పంజాబీ మిక్స్")</f>
        <v>బి.కె. పంజాబీ మిక్స్</v>
      </c>
      <c r="C1853" s="4" t="str">
        <f>IFERROR(__xludf.DUMMYFUNCTION("GOOGLETRANSLATE(A1853, ""en"", ""hi"")"),"बी.के. पंजाबी मिक्स")</f>
        <v>बी.के. पंजाबी मिक्स</v>
      </c>
      <c r="D1853" s="2" t="s">
        <v>7717</v>
      </c>
      <c r="E1853" s="2" t="s">
        <v>1294</v>
      </c>
      <c r="F1853" s="1">
        <v>4.0</v>
      </c>
      <c r="G1853" s="3" t="s">
        <v>4469</v>
      </c>
    </row>
    <row r="1854">
      <c r="A1854" s="3" t="s">
        <v>7718</v>
      </c>
      <c r="B1854" s="4" t="str">
        <f>IFERROR(__xludf.DUMMYFUNCTION("GOOGLETRANSLATE(A1854, ""en"", ""te"")"),"లోతైన")</f>
        <v>లోతైన</v>
      </c>
      <c r="C1854" s="4" t="str">
        <f>IFERROR(__xludf.DUMMYFUNCTION("GOOGLETRANSLATE(A1854, ""en"", ""hi"")"),"गहरा")</f>
        <v>गहरा</v>
      </c>
      <c r="D1854" s="2" t="s">
        <v>7719</v>
      </c>
      <c r="E1854" s="2" t="s">
        <v>2649</v>
      </c>
      <c r="F1854" s="1">
        <v>4.0</v>
      </c>
      <c r="G1854" s="3" t="s">
        <v>4469</v>
      </c>
    </row>
    <row r="1855">
      <c r="A1855" s="3" t="s">
        <v>7720</v>
      </c>
      <c r="B1855" s="4" t="str">
        <f>IFERROR(__xludf.DUMMYFUNCTION("GOOGLETRANSLATE(A1855, ""en"", ""te"")"),"శ్వేత తెలుగు కపపుస")</f>
        <v>శ్వేత తెలుగు కపపుస</v>
      </c>
      <c r="C1855" s="4" t="str">
        <f>IFERROR(__xludf.DUMMYFUNCTION("GOOGLETRANSLATE(A1855, ""en"", ""hi"")"),"श्वेता तेलुगु कपपुसा")</f>
        <v>श्वेता तेलुगु कपपुसा</v>
      </c>
      <c r="D1855" s="5"/>
      <c r="E1855" s="2" t="s">
        <v>442</v>
      </c>
      <c r="F1855" s="1">
        <v>4.0</v>
      </c>
      <c r="G1855" s="3" t="s">
        <v>4469</v>
      </c>
    </row>
    <row r="1856">
      <c r="A1856" s="3" t="s">
        <v>7692</v>
      </c>
      <c r="B1856" s="4" t="str">
        <f>IFERROR(__xludf.DUMMYFUNCTION("GOOGLETRANSLATE(A1856, ""en"", ""te"")"),"శ్వేత తెలుగు మద్రాస్ మిశ్రమం")</f>
        <v>శ్వేత తెలుగు మద్రాస్ మిశ్రమం</v>
      </c>
      <c r="C1856" s="4" t="str">
        <f>IFERROR(__xludf.DUMMYFUNCTION("GOOGLETRANSLATE(A1856, ""en"", ""hi"")"),"श्वेता तेलुगु मद्रास मिश्रण")</f>
        <v>श्वेता तेलुगु मद्रास मिश्रण</v>
      </c>
      <c r="D1856" s="2" t="s">
        <v>7610</v>
      </c>
      <c r="E1856" s="2" t="s">
        <v>1294</v>
      </c>
      <c r="F1856" s="1">
        <v>4.0</v>
      </c>
      <c r="G1856" s="3" t="s">
        <v>4480</v>
      </c>
    </row>
    <row r="1857">
      <c r="A1857" s="3" t="s">
        <v>7721</v>
      </c>
      <c r="B1857" s="4" t="str">
        <f>IFERROR(__xludf.DUMMYFUNCTION("GOOGLETRANSLATE(A1857, ""en"", ""te"")"),"శ్వేత తెలుగు కేరళ మిశ్రమం")</f>
        <v>శ్వేత తెలుగు కేరళ మిశ్రమం</v>
      </c>
      <c r="C1857" s="4" t="str">
        <f>IFERROR(__xludf.DUMMYFUNCTION("GOOGLETRANSLATE(A1857, ""en"", ""hi"")"),"श्वेता तेलुगु केरल मिश्रण")</f>
        <v>श्वेता तेलुगु केरल मिश्रण</v>
      </c>
      <c r="D1857" s="2" t="s">
        <v>4054</v>
      </c>
      <c r="E1857" s="2" t="s">
        <v>1294</v>
      </c>
      <c r="F1857" s="1">
        <v>4.0</v>
      </c>
      <c r="G1857" s="3" t="s">
        <v>4480</v>
      </c>
    </row>
    <row r="1858">
      <c r="A1858" s="3" t="s">
        <v>7694</v>
      </c>
      <c r="B1858" s="4" t="str">
        <f>IFERROR(__xludf.DUMMYFUNCTION("GOOGLETRANSLATE(A1858, ""en"", ""te"")"),"శ్వేత తెలుగు కరపుస")</f>
        <v>శ్వేత తెలుగు కరపుస</v>
      </c>
      <c r="C1858" s="4" t="str">
        <f>IFERROR(__xludf.DUMMYFUNCTION("GOOGLETRANSLATE(A1858, ""en"", ""hi"")"),"श्वेता तेलुगु करापुसा")</f>
        <v>श्वेता तेलुगु करापुसा</v>
      </c>
      <c r="D1858" s="2" t="s">
        <v>1655</v>
      </c>
      <c r="E1858" s="2" t="s">
        <v>442</v>
      </c>
      <c r="F1858" s="1">
        <v>4.0</v>
      </c>
      <c r="G1858" s="3" t="s">
        <v>4480</v>
      </c>
    </row>
    <row r="1859">
      <c r="A1859" s="3" t="s">
        <v>7686</v>
      </c>
      <c r="B1859" s="4" t="str">
        <f>IFERROR(__xludf.DUMMYFUNCTION("GOOGLETRANSLATE(A1859, ""en"", ""te"")"),"శ్వేత తెలుగు కర బూంది")</f>
        <v>శ్వేత తెలుగు కర బూంది</v>
      </c>
      <c r="C1859" s="4" t="str">
        <f>IFERROR(__xludf.DUMMYFUNCTION("GOOGLETRANSLATE(A1859, ""en"", ""hi"")"),"श्वेता तेलुगु कारा बूंदी")</f>
        <v>श्वेता तेलुगु कारा बूंदी</v>
      </c>
      <c r="D1859" s="2" t="s">
        <v>4403</v>
      </c>
      <c r="E1859" s="2" t="s">
        <v>1294</v>
      </c>
      <c r="F1859" s="1">
        <v>4.0</v>
      </c>
      <c r="G1859" s="3" t="s">
        <v>4480</v>
      </c>
    </row>
    <row r="1860">
      <c r="A1860" s="3" t="s">
        <v>7722</v>
      </c>
      <c r="B1860" s="4" t="str">
        <f>IFERROR(__xludf.DUMMYFUNCTION("GOOGLETRANSLATE(A1860, ""en"", ""te"")"),"ఆనంద్ కార్పలాండి మసాలా")</f>
        <v>ఆనంద్ కార్పలాండి మసాలా</v>
      </c>
      <c r="C1860" s="4" t="str">
        <f>IFERROR(__xludf.DUMMYFUNCTION("GOOGLETRANSLATE(A1860, ""en"", ""hi"")"),"आनंद करपालंदी मसाला")</f>
        <v>आनंद करपालंदी मसाला</v>
      </c>
      <c r="D1860" s="5"/>
      <c r="E1860" s="2" t="s">
        <v>442</v>
      </c>
      <c r="F1860" s="1">
        <v>4.0</v>
      </c>
      <c r="G1860" s="3" t="s">
        <v>4480</v>
      </c>
    </row>
    <row r="1861">
      <c r="A1861" s="3" t="s">
        <v>7723</v>
      </c>
      <c r="B1861" s="4" t="str">
        <f>IFERROR(__xludf.DUMMYFUNCTION("GOOGLETRANSLATE(A1861, ""en"", ""te"")"),"ఆనంద్ కాబులి చనా")</f>
        <v>ఆనంద్ కాబులి చనా</v>
      </c>
      <c r="C1861" s="4" t="str">
        <f>IFERROR(__xludf.DUMMYFUNCTION("GOOGLETRANSLATE(A1861, ""en"", ""hi"")"),"आनंद काबुली चना")</f>
        <v>आनंद काबुली चना</v>
      </c>
      <c r="D1861" s="2" t="s">
        <v>3861</v>
      </c>
      <c r="E1861" s="2" t="s">
        <v>1038</v>
      </c>
      <c r="F1861" s="1">
        <v>4.0</v>
      </c>
      <c r="G1861" s="3" t="s">
        <v>4480</v>
      </c>
    </row>
    <row r="1862">
      <c r="A1862" s="3" t="s">
        <v>703</v>
      </c>
      <c r="B1862" s="4" t="str">
        <f>IFERROR(__xludf.DUMMYFUNCTION("GOOGLETRANSLATE(A1862, ""en"", ""te"")"),"ఆనంద్ కచోరి")</f>
        <v>ఆనంద్ కచోరి</v>
      </c>
      <c r="C1862" s="4" t="str">
        <f>IFERROR(__xludf.DUMMYFUNCTION("GOOGLETRANSLATE(A1862, ""en"", ""hi"")"),"आनंद कचौरी")</f>
        <v>आनंद कचौरी</v>
      </c>
      <c r="D1862" s="2" t="s">
        <v>7569</v>
      </c>
      <c r="E1862" s="2" t="s">
        <v>1294</v>
      </c>
      <c r="F1862" s="1">
        <v>4.0</v>
      </c>
      <c r="G1862" s="3" t="s">
        <v>4480</v>
      </c>
    </row>
    <row r="1863">
      <c r="A1863" s="3" t="s">
        <v>7698</v>
      </c>
      <c r="B1863" s="4" t="str">
        <f>IFERROR(__xludf.DUMMYFUNCTION("GOOGLETRANSLATE(A1863, ""en"", ""te"")"),"ఆనంద్ పనస చిప్స్")</f>
        <v>ఆనంద్ పనస చిప్స్</v>
      </c>
      <c r="C1863" s="4" t="str">
        <f>IFERROR(__xludf.DUMMYFUNCTION("GOOGLETRANSLATE(A1863, ""en"", ""hi"")"),"आनंद कटहल चिप्स")</f>
        <v>आनंद कटहल चिप्स</v>
      </c>
      <c r="D1863" s="2" t="s">
        <v>4054</v>
      </c>
      <c r="E1863" s="2" t="s">
        <v>1294</v>
      </c>
      <c r="F1863" s="1">
        <v>4.0</v>
      </c>
      <c r="G1863" s="3" t="s">
        <v>4480</v>
      </c>
    </row>
    <row r="1864">
      <c r="A1864" s="3" t="s">
        <v>7699</v>
      </c>
      <c r="B1864" s="4" t="str">
        <f>IFERROR(__xludf.DUMMYFUNCTION("GOOGLETRANSLATE(A1864, ""en"", ""te"")"),"ఆనంద్ హైదరాబాద్ మిశ్రమం")</f>
        <v>ఆనంద్ హైదరాబాద్ మిశ్రమం</v>
      </c>
      <c r="C1864" s="4" t="str">
        <f>IFERROR(__xludf.DUMMYFUNCTION("GOOGLETRANSLATE(A1864, ""en"", ""hi"")"),"आनंद हैदराबाद मिश्रण")</f>
        <v>आनंद हैदराबाद मिश्रण</v>
      </c>
      <c r="D1864" s="2" t="s">
        <v>4054</v>
      </c>
      <c r="E1864" s="2" t="s">
        <v>1294</v>
      </c>
      <c r="F1864" s="1">
        <v>4.0</v>
      </c>
      <c r="G1864" s="3" t="s">
        <v>4480</v>
      </c>
    </row>
    <row r="1865">
      <c r="A1865" s="3" t="s">
        <v>7700</v>
      </c>
      <c r="B1865" s="4" t="str">
        <f>IFERROR(__xludf.DUMMYFUNCTION("GOOGLETRANSLATE(A1865, ""en"", ""te"")"),"ఆనంద్ వెల్లుల్లి మిశ్రమం")</f>
        <v>ఆనంద్ వెల్లుల్లి మిశ్రమం</v>
      </c>
      <c r="C1865" s="4" t="str">
        <f>IFERROR(__xludf.DUMMYFUNCTION("GOOGLETRANSLATE(A1865, ""en"", ""hi"")"),"आनंद लहसुन मिश्रण")</f>
        <v>आनंद लहसुन मिश्रण</v>
      </c>
      <c r="D1865" s="2" t="s">
        <v>2604</v>
      </c>
      <c r="E1865" s="2" t="s">
        <v>442</v>
      </c>
      <c r="F1865" s="1">
        <v>4.0</v>
      </c>
      <c r="G1865" s="3" t="s">
        <v>4480</v>
      </c>
    </row>
    <row r="1866">
      <c r="A1866" s="3" t="s">
        <v>7666</v>
      </c>
      <c r="B1866" s="4" t="str">
        <f>IFERROR(__xludf.DUMMYFUNCTION("GOOGLETRANSLATE(A1866, ""en"", ""te"")"),"ఆనంద్ ఫర్సన్ మార్ట్ ఫరాలీ చివ్డా")</f>
        <v>ఆనంద్ ఫర్సన్ మార్ట్ ఫరాలీ చివ్డా</v>
      </c>
      <c r="C1866" s="4" t="str">
        <f>IFERROR(__xludf.DUMMYFUNCTION("GOOGLETRANSLATE(A1866, ""en"", ""hi"")"),"आनंद फरसाण मार्ट फराली चिवड़ा")</f>
        <v>आनंद फरसाण मार्ट फराली चिवड़ा</v>
      </c>
      <c r="D1866" s="5"/>
      <c r="E1866" s="2" t="s">
        <v>1294</v>
      </c>
      <c r="F1866" s="1">
        <v>4.0</v>
      </c>
      <c r="G1866" s="3" t="s">
        <v>4480</v>
      </c>
    </row>
    <row r="1867">
      <c r="A1867" s="3" t="s">
        <v>7724</v>
      </c>
      <c r="B1867" s="4" t="str">
        <f>IFERROR(__xludf.DUMMYFUNCTION("GOOGLETRANSLATE(A1867, ""en"", ""te"")"),"యూరో మసాలా బూందీ")</f>
        <v>యూరో మసాలా బూందీ</v>
      </c>
      <c r="C1867" s="4" t="str">
        <f>IFERROR(__xludf.DUMMYFUNCTION("GOOGLETRANSLATE(A1867, ""en"", ""hi"")"),"यूरो मसाला बूंदी")</f>
        <v>यूरो मसाला बूंदी</v>
      </c>
      <c r="D1867" s="5"/>
      <c r="E1867" s="2" t="s">
        <v>442</v>
      </c>
      <c r="F1867" s="1">
        <v>4.0</v>
      </c>
      <c r="G1867" s="3" t="s">
        <v>4692</v>
      </c>
    </row>
    <row r="1868">
      <c r="A1868" s="3" t="s">
        <v>7725</v>
      </c>
      <c r="B1868" s="4" t="str">
        <f>IFERROR(__xludf.DUMMYFUNCTION("GOOGLETRANSLATE(A1868, ""en"", ""te"")"),"యూరో మెథి పూరి")</f>
        <v>యూరో మెథి పూరి</v>
      </c>
      <c r="C1868" s="4" t="str">
        <f>IFERROR(__xludf.DUMMYFUNCTION("GOOGLETRANSLATE(A1868, ""en"", ""hi"")"),"यूरो मेथी पुरी")</f>
        <v>यूरो मेथी पुरी</v>
      </c>
      <c r="D1868" s="5"/>
      <c r="E1868" s="2" t="s">
        <v>2649</v>
      </c>
      <c r="F1868" s="1">
        <v>4.0</v>
      </c>
      <c r="G1868" s="3" t="s">
        <v>4692</v>
      </c>
    </row>
    <row r="1869">
      <c r="A1869" s="3" t="s">
        <v>7703</v>
      </c>
      <c r="B1869" s="4" t="str">
        <f>IFERROR(__xludf.DUMMYFUNCTION("GOOGLETRANSLATE(A1869, ""en"", ""te"")"),"యూరో గార్లిక్ చివ్డా")</f>
        <v>యూరో గార్లిక్ చివ్డా</v>
      </c>
      <c r="C1869" s="4" t="str">
        <f>IFERROR(__xludf.DUMMYFUNCTION("GOOGLETRANSLATE(A1869, ""en"", ""hi"")"),"यूरो गार्लिक चिवड़ा")</f>
        <v>यूरो गार्लिक चिवड़ा</v>
      </c>
      <c r="D1869" s="2" t="s">
        <v>2604</v>
      </c>
      <c r="E1869" s="2" t="s">
        <v>1294</v>
      </c>
      <c r="F1869" s="1">
        <v>4.0</v>
      </c>
      <c r="G1869" s="3" t="s">
        <v>4692</v>
      </c>
    </row>
    <row r="1870">
      <c r="A1870" s="3" t="s">
        <v>7704</v>
      </c>
      <c r="B1870" s="4" t="str">
        <f>IFERROR(__xludf.DUMMYFUNCTION("GOOGLETRANSLATE(A1870, ""en"", ""te"")"),"యూరో డాల్ చిమ్మట")</f>
        <v>యూరో డాల్ చిమ్మట</v>
      </c>
      <c r="C1870" s="4" t="str">
        <f>IFERROR(__xludf.DUMMYFUNCTION("GOOGLETRANSLATE(A1870, ""en"", ""hi"")"),"यूरो दाल मोथ")</f>
        <v>यूरो दाल मोथ</v>
      </c>
      <c r="D1870" s="5"/>
      <c r="E1870" s="2" t="s">
        <v>1038</v>
      </c>
      <c r="F1870" s="1">
        <v>4.0</v>
      </c>
      <c r="G1870" s="3" t="s">
        <v>4692</v>
      </c>
    </row>
    <row r="1871">
      <c r="A1871" s="3" t="s">
        <v>7705</v>
      </c>
      <c r="B1871" s="4" t="str">
        <f>IFERROR(__xludf.DUMMYFUNCTION("GOOGLETRANSLATE(A1871, ""en"", ""te"")"),"యూరో డ్రై కచోరి")</f>
        <v>యూరో డ్రై కచోరి</v>
      </c>
      <c r="C1871" s="4" t="str">
        <f>IFERROR(__xludf.DUMMYFUNCTION("GOOGLETRANSLATE(A1871, ""en"", ""hi"")"),"यूरो ड्राई कचौरी")</f>
        <v>यूरो ड्राई कचौरी</v>
      </c>
      <c r="D1871" s="5"/>
      <c r="E1871" s="2" t="s">
        <v>1294</v>
      </c>
      <c r="F1871" s="1">
        <v>4.0</v>
      </c>
      <c r="G1871" s="3" t="s">
        <v>4692</v>
      </c>
    </row>
    <row r="1872">
      <c r="A1872" s="3" t="s">
        <v>7706</v>
      </c>
      <c r="B1872" s="4" t="str">
        <f>IFERROR(__xludf.DUMMYFUNCTION("GOOGLETRANSLATE(A1872, ""en"", ""te"")"),"యూరో చనా దాల్")</f>
        <v>యూరో చనా దాల్</v>
      </c>
      <c r="C1872" s="4" t="str">
        <f>IFERROR(__xludf.DUMMYFUNCTION("GOOGLETRANSLATE(A1872, ""en"", ""hi"")"),"यूरो चना दाल")</f>
        <v>यूरो चना दाल</v>
      </c>
      <c r="D1872" s="2" t="s">
        <v>3861</v>
      </c>
      <c r="E1872" s="2" t="s">
        <v>1038</v>
      </c>
      <c r="F1872" s="1">
        <v>4.0</v>
      </c>
      <c r="G1872" s="3" t="s">
        <v>4692</v>
      </c>
    </row>
    <row r="1873">
      <c r="A1873" s="3" t="s">
        <v>7707</v>
      </c>
      <c r="B1873" s="4" t="str">
        <f>IFERROR(__xludf.DUMMYFUNCTION("GOOGLETRANSLATE(A1873, ""en"", ""te"")"),"యూరో చనా జోర్ మసాలా")</f>
        <v>యూరో చనా జోర్ మసాలా</v>
      </c>
      <c r="C1873" s="4" t="str">
        <f>IFERROR(__xludf.DUMMYFUNCTION("GOOGLETRANSLATE(A1873, ""en"", ""hi"")"),"यूरो चना जोर मसाला")</f>
        <v>यूरो चना जोर मसाला</v>
      </c>
      <c r="D1873" s="5"/>
      <c r="E1873" s="2" t="s">
        <v>442</v>
      </c>
      <c r="F1873" s="1">
        <v>4.0</v>
      </c>
      <c r="G1873" s="3" t="s">
        <v>4692</v>
      </c>
    </row>
    <row r="1874">
      <c r="A1874" s="3" t="s">
        <v>7708</v>
      </c>
      <c r="B1874" s="4" t="str">
        <f>IFERROR(__xludf.DUMMYFUNCTION("GOOGLETRANSLATE(A1874, ""en"", ""te"")"),"యూరో ఆలూ సేవ్")</f>
        <v>యూరో ఆలూ సేవ్</v>
      </c>
      <c r="C1874" s="4" t="str">
        <f>IFERROR(__xludf.DUMMYFUNCTION("GOOGLETRANSLATE(A1874, ""en"", ""hi"")"),"यूरो आलू सेव")</f>
        <v>यूरो आलू सेव</v>
      </c>
      <c r="D1874" s="5"/>
      <c r="E1874" s="2" t="s">
        <v>1294</v>
      </c>
      <c r="F1874" s="1">
        <v>4.0</v>
      </c>
      <c r="G1874" s="3" t="s">
        <v>4692</v>
      </c>
    </row>
    <row r="1875">
      <c r="A1875" s="3" t="s">
        <v>7677</v>
      </c>
      <c r="B1875" s="4" t="str">
        <f>IFERROR(__xludf.DUMMYFUNCTION("GOOGLETRANSLATE(A1875, ""en"", ""te"")"),"యూరో ఆల్ ఇన్ వన్")</f>
        <v>యూరో ఆల్ ఇన్ వన్</v>
      </c>
      <c r="C1875" s="4" t="str">
        <f>IFERROR(__xludf.DUMMYFUNCTION("GOOGLETRANSLATE(A1875, ""en"", ""hi"")"),"यूरो ऑल इन वन")</f>
        <v>यूरो ऑल इन वन</v>
      </c>
      <c r="D1875" s="5"/>
      <c r="E1875" s="2" t="s">
        <v>9</v>
      </c>
      <c r="F1875" s="1">
        <v>4.0</v>
      </c>
      <c r="G1875" s="3" t="s">
        <v>4692</v>
      </c>
    </row>
    <row r="1876">
      <c r="A1876" s="3" t="s">
        <v>7726</v>
      </c>
      <c r="B1876" s="4" t="str">
        <f>IFERROR(__xludf.DUMMYFUNCTION("GOOGLETRANSLATE(A1876, ""en"", ""te"")"),"అమ్మస్ కిచెన్ జాక్‌ఫ్రూట్ చిప్స్")</f>
        <v>అమ్మస్ కిచెన్ జాక్‌ఫ్రూట్ చిప్స్</v>
      </c>
      <c r="C1876" s="4" t="str">
        <f>IFERROR(__xludf.DUMMYFUNCTION("GOOGLETRANSLATE(A1876, ""en"", ""hi"")"),"अम्माज़ किचन कटहल चिप्स")</f>
        <v>अम्माज़ किचन कटहल चिप्स</v>
      </c>
      <c r="D1876" s="5"/>
      <c r="E1876" s="2" t="s">
        <v>1294</v>
      </c>
      <c r="F1876" s="1">
        <v>4.0</v>
      </c>
      <c r="G1876" s="3" t="s">
        <v>4692</v>
      </c>
    </row>
    <row r="1877">
      <c r="A1877" s="3" t="s">
        <v>7727</v>
      </c>
      <c r="B1877" s="4" t="str">
        <f>IFERROR(__xludf.DUMMYFUNCTION("GOOGLETRANSLATE(A1877, ""en"", ""te"")"),"కుర్కురే")</f>
        <v>కుర్కురే</v>
      </c>
      <c r="C1877" s="4" t="str">
        <f>IFERROR(__xludf.DUMMYFUNCTION("GOOGLETRANSLATE(A1877, ""en"", ""hi"")"),"कुरकुरे")</f>
        <v>कुरकुरे</v>
      </c>
      <c r="D1877" s="5"/>
      <c r="E1877" s="2" t="s">
        <v>1294</v>
      </c>
      <c r="F1877" s="1">
        <v>4.0</v>
      </c>
      <c r="G1877" s="3" t="s">
        <v>4924</v>
      </c>
    </row>
    <row r="1878">
      <c r="A1878" s="3" t="s">
        <v>7728</v>
      </c>
      <c r="B1878" s="4" t="str">
        <f>IFERROR(__xludf.DUMMYFUNCTION("GOOGLETRANSLATE(A1878, ""en"", ""te"")"),"హల్దీరామ్స్ బూందీ మసాలా")</f>
        <v>హల్దీరామ్స్ బూందీ మసాలా</v>
      </c>
      <c r="C1878" s="4" t="str">
        <f>IFERROR(__xludf.DUMMYFUNCTION("GOOGLETRANSLATE(A1878, ""en"", ""hi"")"),"हल्दीराम का बूंदी मसाला")</f>
        <v>हल्दीराम का बूंदी मसाला</v>
      </c>
      <c r="D1878" s="2" t="s">
        <v>4028</v>
      </c>
      <c r="E1878" s="2" t="s">
        <v>442</v>
      </c>
      <c r="F1878" s="1">
        <v>4.0</v>
      </c>
      <c r="G1878" s="3" t="s">
        <v>71</v>
      </c>
    </row>
    <row r="1879">
      <c r="A1879" s="3" t="s">
        <v>7729</v>
      </c>
      <c r="B1879" s="4" t="str">
        <f>IFERROR(__xludf.DUMMYFUNCTION("GOOGLETRANSLATE(A1879, ""en"", ""te"")"),"హల్దీరామ్స్ భుజియా")</f>
        <v>హల్దీరామ్స్ భుజియా</v>
      </c>
      <c r="C1879" s="4" t="str">
        <f>IFERROR(__xludf.DUMMYFUNCTION("GOOGLETRANSLATE(A1879, ""en"", ""hi"")"),"हल्दीराम की भुजिया")</f>
        <v>हल्दीराम की भुजिया</v>
      </c>
      <c r="D1879" s="2" t="s">
        <v>7557</v>
      </c>
      <c r="E1879" s="2" t="s">
        <v>1294</v>
      </c>
      <c r="F1879" s="1">
        <v>4.0</v>
      </c>
      <c r="G1879" s="3" t="s">
        <v>71</v>
      </c>
    </row>
    <row r="1880">
      <c r="A1880" s="3" t="s">
        <v>7526</v>
      </c>
      <c r="B1880" s="4" t="str">
        <f>IFERROR(__xludf.DUMMYFUNCTION("GOOGLETRANSLATE(A1880, ""en"", ""te"")"),"హల్దీరామ్స్ ఆలూ భుజియా")</f>
        <v>హల్దీరామ్స్ ఆలూ భుజియా</v>
      </c>
      <c r="C1880" s="4" t="str">
        <f>IFERROR(__xludf.DUMMYFUNCTION("GOOGLETRANSLATE(A1880, ""en"", ""hi"")"),"हल्दीराम की आलू भुजिया")</f>
        <v>हल्दीराम की आलू भुजिया</v>
      </c>
      <c r="D1880" s="2" t="s">
        <v>7527</v>
      </c>
      <c r="E1880" s="2" t="s">
        <v>1294</v>
      </c>
      <c r="F1880" s="1">
        <v>4.0</v>
      </c>
      <c r="G1880" s="3" t="s">
        <v>71</v>
      </c>
    </row>
    <row r="1881">
      <c r="A1881" s="3" t="s">
        <v>7528</v>
      </c>
      <c r="B1881" s="4" t="str">
        <f>IFERROR(__xludf.DUMMYFUNCTION("GOOGLETRANSLATE(A1881, ""en"", ""te"")"),"హల్దీరామ్స్ ఆల్ ఇన్ వన్")</f>
        <v>హల్దీరామ్స్ ఆల్ ఇన్ వన్</v>
      </c>
      <c r="C1881" s="4" t="str">
        <f>IFERROR(__xludf.DUMMYFUNCTION("GOOGLETRANSLATE(A1881, ""en"", ""hi"")"),"हल्दीराम का ऑल इन वन")</f>
        <v>हल्दीराम का ऑल इन वन</v>
      </c>
      <c r="D1881" s="5"/>
      <c r="E1881" s="2" t="s">
        <v>940</v>
      </c>
      <c r="F1881" s="1">
        <v>4.0</v>
      </c>
      <c r="G1881" s="3" t="s">
        <v>71</v>
      </c>
    </row>
    <row r="1882">
      <c r="A1882" s="3" t="s">
        <v>7730</v>
      </c>
      <c r="B1882" s="4" t="str">
        <f>IFERROR(__xludf.DUMMYFUNCTION("GOOGLETRANSLATE(A1882, ""en"", ""te"")"),"కుచ్ కుచ్")</f>
        <v>కుచ్ కుచ్</v>
      </c>
      <c r="C1882" s="4" t="str">
        <f>IFERROR(__xludf.DUMMYFUNCTION("GOOGLETRANSLATE(A1882, ""en"", ""hi"")"),"कुछ कुछ")</f>
        <v>कुछ कुछ</v>
      </c>
      <c r="D1882" s="5"/>
      <c r="E1882" s="2" t="s">
        <v>1294</v>
      </c>
      <c r="F1882" s="1">
        <v>4.0</v>
      </c>
      <c r="G1882" s="3" t="s">
        <v>71</v>
      </c>
    </row>
    <row r="1883">
      <c r="A1883" s="3" t="s">
        <v>4649</v>
      </c>
      <c r="B1883" s="4" t="str">
        <f>IFERROR(__xludf.DUMMYFUNCTION("GOOGLETRANSLATE(A1883, ""en"", ""te"")"),"మిర్చ్ మసాలా కార్న్ చెవ్డా")</f>
        <v>మిర్చ్ మసాలా కార్న్ చెవ్డా</v>
      </c>
      <c r="C1883" s="4" t="str">
        <f>IFERROR(__xludf.DUMMYFUNCTION("GOOGLETRANSLATE(A1883, ""en"", ""hi"")"),"मिर्च मसाला कॉर्न चेवड़ा")</f>
        <v>मिर्च मसाला कॉर्न चेवड़ा</v>
      </c>
      <c r="D1883" s="2" t="s">
        <v>1070</v>
      </c>
      <c r="E1883" s="2" t="s">
        <v>1294</v>
      </c>
      <c r="F1883" s="1">
        <v>4.0</v>
      </c>
      <c r="G1883" s="3" t="s">
        <v>76</v>
      </c>
    </row>
    <row r="1884">
      <c r="A1884" s="3" t="s">
        <v>4643</v>
      </c>
      <c r="B1884" s="4" t="str">
        <f>IFERROR(__xludf.DUMMYFUNCTION("GOOGLETRANSLATE(A1884, ""en"", ""te"")"),"మిర్చ్ మసాలా చనా దాల్")</f>
        <v>మిర్చ్ మసాలా చనా దాల్</v>
      </c>
      <c r="C1884" s="4" t="str">
        <f>IFERROR(__xludf.DUMMYFUNCTION("GOOGLETRANSLATE(A1884, ""en"", ""hi"")"),"मिर्च मसाला चना दाल")</f>
        <v>मिर्च मसाला चना दाल</v>
      </c>
      <c r="D1884" s="2" t="s">
        <v>3379</v>
      </c>
      <c r="E1884" s="2" t="s">
        <v>1038</v>
      </c>
      <c r="F1884" s="1">
        <v>4.0</v>
      </c>
      <c r="G1884" s="3" t="s">
        <v>76</v>
      </c>
    </row>
    <row r="1885">
      <c r="A1885" s="3" t="s">
        <v>7731</v>
      </c>
      <c r="B1885" s="4" t="str">
        <f>IFERROR(__xludf.DUMMYFUNCTION("GOOGLETRANSLATE(A1885, ""en"", ""te"")"),"మిర్చ్ మసాలా పప్పు మిశ్రమం")</f>
        <v>మిర్చ్ మసాలా పప్పు మిశ్రమం</v>
      </c>
      <c r="C1885" s="4" t="str">
        <f>IFERROR(__xludf.DUMMYFUNCTION("GOOGLETRANSLATE(A1885, ""en"", ""hi"")"),"मिर्च मसाला दाल मिश्रण")</f>
        <v>मिर्च मसाला दाल मिश्रण</v>
      </c>
      <c r="D1885" s="5"/>
      <c r="E1885" s="2" t="s">
        <v>1038</v>
      </c>
      <c r="F1885" s="1">
        <v>4.0</v>
      </c>
      <c r="G1885" s="3" t="s">
        <v>76</v>
      </c>
    </row>
    <row r="1886">
      <c r="A1886" s="3" t="s">
        <v>7732</v>
      </c>
      <c r="B1886" s="4" t="str">
        <f>IFERROR(__xludf.DUMMYFUNCTION("GOOGLETRANSLATE(A1886, ""en"", ""te"")"),"ది గ్రాండ్ స్వీట్స్ సెరోయ్ పకోడా")</f>
        <v>ది గ్రాండ్ స్వీట్స్ సెరోయ్ పకోడా</v>
      </c>
      <c r="C1886" s="4" t="str">
        <f>IFERROR(__xludf.DUMMYFUNCTION("GOOGLETRANSLATE(A1886, ""en"", ""hi"")"),"द ग्रैंड स्वीट्स सेरॉय पकोड़ा")</f>
        <v>द ग्रैंड स्वीट्स सेरॉय पकोड़ा</v>
      </c>
      <c r="D1886" s="2" t="s">
        <v>4449</v>
      </c>
      <c r="E1886" s="2" t="s">
        <v>1294</v>
      </c>
      <c r="F1886" s="1">
        <v>4.0</v>
      </c>
      <c r="G1886" s="3" t="s">
        <v>76</v>
      </c>
    </row>
    <row r="1887">
      <c r="A1887" s="3" t="s">
        <v>7733</v>
      </c>
      <c r="B1887" s="4" t="str">
        <f>IFERROR(__xludf.DUMMYFUNCTION("GOOGLETRANSLATE(A1887, ""en"", ""te"")"),"ది గ్రాండ్ స్వీట్స్ చోళం రిబ్బన్")</f>
        <v>ది గ్రాండ్ స్వీట్స్ చోళం రిబ్బన్</v>
      </c>
      <c r="C1887" s="4" t="str">
        <f>IFERROR(__xludf.DUMMYFUNCTION("GOOGLETRANSLATE(A1887, ""en"", ""hi"")"),"द ग्रैंड स्वीट्स चोलम रिबन")</f>
        <v>द ग्रैंड स्वीट्स चोलम रिबन</v>
      </c>
      <c r="D1887" s="5"/>
      <c r="E1887" s="2" t="s">
        <v>2700</v>
      </c>
      <c r="F1887" s="1">
        <v>4.0</v>
      </c>
      <c r="G1887" s="3" t="s">
        <v>76</v>
      </c>
    </row>
    <row r="1888">
      <c r="A1888" s="3" t="s">
        <v>7734</v>
      </c>
      <c r="B1888" s="4" t="str">
        <f>IFERROR(__xludf.DUMMYFUNCTION("GOOGLETRANSLATE(A1888, ""en"", ""te"")"),"శ్వేత తెలుగు ఫుడ్స్ సాకినాలు")</f>
        <v>శ్వేత తెలుగు ఫుడ్స్ సాకినాలు</v>
      </c>
      <c r="C1888" s="4" t="str">
        <f>IFERROR(__xludf.DUMMYFUNCTION("GOOGLETRANSLATE(A1888, ""en"", ""hi"")"),"श्वेता तेलुगु फूड्स सकीनालू")</f>
        <v>श्वेता तेलुगु फूड्स सकीनालू</v>
      </c>
      <c r="D1888" s="5"/>
      <c r="E1888" s="2" t="s">
        <v>1294</v>
      </c>
      <c r="F1888" s="1">
        <v>4.0</v>
      </c>
      <c r="G1888" s="3" t="s">
        <v>85</v>
      </c>
    </row>
    <row r="1889">
      <c r="A1889" s="3" t="s">
        <v>7735</v>
      </c>
      <c r="B1889" s="4" t="str">
        <f>IFERROR(__xludf.DUMMYFUNCTION("GOOGLETRANSLATE(A1889, ""en"", ""te"")"),"శ్వేత తెలుగు ఫుడ్స్ స్పైసీ సకినాలు")</f>
        <v>శ్వేత తెలుగు ఫుడ్స్ స్పైసీ సకినాలు</v>
      </c>
      <c r="C1889" s="4" t="str">
        <f>IFERROR(__xludf.DUMMYFUNCTION("GOOGLETRANSLATE(A1889, ""en"", ""hi"")"),"स्वेता तेलुगु फूड्स मसालेदार सकीनालू")</f>
        <v>स्वेता तेलुगु फूड्स मसालेदार सकीनालू</v>
      </c>
      <c r="D1889" s="5"/>
      <c r="E1889" s="2" t="s">
        <v>1294</v>
      </c>
      <c r="F1889" s="1">
        <v>4.0</v>
      </c>
      <c r="G1889" s="3" t="s">
        <v>85</v>
      </c>
    </row>
    <row r="1890">
      <c r="A1890" s="3" t="s">
        <v>7736</v>
      </c>
      <c r="B1890" s="4" t="str">
        <f>IFERROR(__xludf.DUMMYFUNCTION("GOOGLETRANSLATE(A1890, ""en"", ""te"")"),"శ్వేత తెలుగు ఫుడ్స్ సన్నా కరపుస్")</f>
        <v>శ్వేత తెలుగు ఫుడ్స్ సన్నా కరపుస్</v>
      </c>
      <c r="C1890" s="4" t="str">
        <f>IFERROR(__xludf.DUMMYFUNCTION("GOOGLETRANSLATE(A1890, ""en"", ""hi"")"),"स्वेता तेलुगु फूड्स सन्ना करापुस")</f>
        <v>स्वेता तेलुगु फूड्स सन्ना करापुस</v>
      </c>
      <c r="D1890" s="5"/>
      <c r="E1890" s="2" t="s">
        <v>1294</v>
      </c>
      <c r="F1890" s="1">
        <v>4.0</v>
      </c>
      <c r="G1890" s="3" t="s">
        <v>85</v>
      </c>
    </row>
    <row r="1891">
      <c r="A1891" s="3" t="s">
        <v>7737</v>
      </c>
      <c r="B1891" s="4" t="str">
        <f>IFERROR(__xludf.DUMMYFUNCTION("GOOGLETRANSLATE(A1891, ""en"", ""te"")"),"Swetha Telugu Foods Poha Mixture")</f>
        <v>Swetha Telugu Foods Poha Mixture</v>
      </c>
      <c r="C1891" s="4" t="str">
        <f>IFERROR(__xludf.DUMMYFUNCTION("GOOGLETRANSLATE(A1891, ""en"", ""hi"")"),"स्वेता तेलुगु फूड्स पोहा मिश्रण")</f>
        <v>स्वेता तेलुगु फूड्स पोहा मिश्रण</v>
      </c>
      <c r="D1891" s="5"/>
      <c r="E1891" s="2" t="s">
        <v>1294</v>
      </c>
      <c r="F1891" s="1">
        <v>4.0</v>
      </c>
      <c r="G1891" s="3" t="s">
        <v>85</v>
      </c>
    </row>
    <row r="1892">
      <c r="A1892" s="3" t="s">
        <v>7738</v>
      </c>
      <c r="B1892" s="4" t="str">
        <f>IFERROR(__xludf.DUMMYFUNCTION("GOOGLETRANSLATE(A1892, ""en"", ""te"")"),"శ్వేత తెలుగు ఫుడ్స్ పప్పు చెకోడీస్")</f>
        <v>శ్వేత తెలుగు ఫుడ్స్ పప్పు చెకోడీస్</v>
      </c>
      <c r="C1892" s="4" t="str">
        <f>IFERROR(__xludf.DUMMYFUNCTION("GOOGLETRANSLATE(A1892, ""en"", ""hi"")"),"स्वेता तेलुगु फूड्स पप्पू चेकोडिस")</f>
        <v>स्वेता तेलुगु फूड्स पप्पू चेकोडिस</v>
      </c>
      <c r="D1892" s="5"/>
      <c r="E1892" s="2" t="s">
        <v>1294</v>
      </c>
      <c r="F1892" s="1">
        <v>4.0</v>
      </c>
      <c r="G1892" s="3" t="s">
        <v>85</v>
      </c>
    </row>
    <row r="1893">
      <c r="A1893" s="3" t="s">
        <v>715</v>
      </c>
      <c r="B1893" s="4" t="str">
        <f>IFERROR(__xludf.DUMMYFUNCTION("GOOGLETRANSLATE(A1893, ""en"", ""te"")"),"ఆనంద్ మురుకు మినీ")</f>
        <v>ఆనంద్ మురుకు మినీ</v>
      </c>
      <c r="C1893" s="4" t="str">
        <f>IFERROR(__xludf.DUMMYFUNCTION("GOOGLETRANSLATE(A1893, ""en"", ""hi"")"),"आनंद मुरुकु मिनी")</f>
        <v>आनंद मुरुकु मिनी</v>
      </c>
      <c r="D1893" s="2" t="s">
        <v>7577</v>
      </c>
      <c r="E1893" s="2" t="s">
        <v>1294</v>
      </c>
      <c r="F1893" s="1">
        <v>4.0</v>
      </c>
      <c r="G1893" s="3" t="s">
        <v>114</v>
      </c>
    </row>
    <row r="1894">
      <c r="A1894" s="3" t="s">
        <v>7739</v>
      </c>
      <c r="B1894" s="4" t="str">
        <f>IFERROR(__xludf.DUMMYFUNCTION("GOOGLETRANSLATE(A1894, ""en"", ""te"")"),"ఆనంద్ భాకర్వాడి")</f>
        <v>ఆనంద్ భాకర్వాడి</v>
      </c>
      <c r="C1894" s="4" t="str">
        <f>IFERROR(__xludf.DUMMYFUNCTION("GOOGLETRANSLATE(A1894, ""en"", ""hi"")"),"आनंद भाकरवाड़ी")</f>
        <v>आनंद भाकरवाड़ी</v>
      </c>
      <c r="D1894" s="5"/>
      <c r="E1894" s="2" t="s">
        <v>1294</v>
      </c>
      <c r="F1894" s="1">
        <v>4.0</v>
      </c>
      <c r="G1894" s="3" t="s">
        <v>114</v>
      </c>
    </row>
    <row r="1895">
      <c r="A1895" s="3" t="s">
        <v>7544</v>
      </c>
      <c r="B1895" s="4" t="str">
        <f>IFERROR(__xludf.DUMMYFUNCTION("GOOGLETRANSLATE(A1895, ""en"", ""te"")"),"ఆనంద్ మసాలా చనాడల్")</f>
        <v>ఆనంద్ మసాలా చనాడల్</v>
      </c>
      <c r="C1895" s="4" t="str">
        <f>IFERROR(__xludf.DUMMYFUNCTION("GOOGLETRANSLATE(A1895, ""en"", ""hi"")"),"आनंद मसाला चनादल")</f>
        <v>आनंद मसाला चनादल</v>
      </c>
      <c r="D1895" s="2" t="s">
        <v>1655</v>
      </c>
      <c r="E1895" s="2" t="s">
        <v>442</v>
      </c>
      <c r="F1895" s="1">
        <v>4.0</v>
      </c>
      <c r="G1895" s="3" t="s">
        <v>114</v>
      </c>
    </row>
    <row r="1896">
      <c r="A1896" s="3" t="s">
        <v>7545</v>
      </c>
      <c r="B1896" s="4" t="str">
        <f>IFERROR(__xludf.DUMMYFUNCTION("GOOGLETRANSLATE(A1896, ""en"", ""te"")"),"ఆనంద్ మసాలా వేరుశెనగలు")</f>
        <v>ఆనంద్ మసాలా వేరుశెనగలు</v>
      </c>
      <c r="C1896" s="4" t="str">
        <f>IFERROR(__xludf.DUMMYFUNCTION("GOOGLETRANSLATE(A1896, ""en"", ""hi"")"),"आनंद मसाला मूंगफली")</f>
        <v>आनंद मसाला मूंगफली</v>
      </c>
      <c r="D1896" s="2" t="s">
        <v>945</v>
      </c>
      <c r="E1896" s="2" t="s">
        <v>1294</v>
      </c>
      <c r="F1896" s="1">
        <v>4.0</v>
      </c>
      <c r="G1896" s="3" t="s">
        <v>114</v>
      </c>
    </row>
    <row r="1897">
      <c r="A1897" s="3" t="s">
        <v>7740</v>
      </c>
      <c r="B1897" s="4" t="str">
        <f>IFERROR(__xludf.DUMMYFUNCTION("GOOGLETRANSLATE(A1897, ""en"", ""te"")"),"యూరో కార్పలాండి మసాలా")</f>
        <v>యూరో కార్పలాండి మసాలా</v>
      </c>
      <c r="C1897" s="4" t="str">
        <f>IFERROR(__xludf.DUMMYFUNCTION("GOOGLETRANSLATE(A1897, ""en"", ""hi"")"),"यूरो कार्पलैंडी मसाला")</f>
        <v>यूरो कार्पलैंडी मसाला</v>
      </c>
      <c r="D1897" s="2" t="s">
        <v>1483</v>
      </c>
      <c r="E1897" s="2" t="s">
        <v>442</v>
      </c>
      <c r="F1897" s="1">
        <v>4.0</v>
      </c>
      <c r="G1897" s="3" t="s">
        <v>114</v>
      </c>
    </row>
    <row r="1898">
      <c r="A1898" s="3" t="s">
        <v>703</v>
      </c>
      <c r="B1898" s="4" t="str">
        <f>IFERROR(__xludf.DUMMYFUNCTION("GOOGLETRANSLATE(A1898, ""en"", ""te"")"),"ఆనంద్ కచోరి")</f>
        <v>ఆనంద్ కచోరి</v>
      </c>
      <c r="C1898" s="4" t="str">
        <f>IFERROR(__xludf.DUMMYFUNCTION("GOOGLETRANSLATE(A1898, ""en"", ""hi"")"),"आनंद कचौरी")</f>
        <v>आनंद कचौरी</v>
      </c>
      <c r="D1898" s="2" t="s">
        <v>7569</v>
      </c>
      <c r="E1898" s="2" t="s">
        <v>1294</v>
      </c>
      <c r="F1898" s="1">
        <v>4.0</v>
      </c>
      <c r="G1898" s="3" t="s">
        <v>114</v>
      </c>
    </row>
    <row r="1899">
      <c r="A1899" s="3" t="s">
        <v>7582</v>
      </c>
      <c r="B1899" s="4" t="str">
        <f>IFERROR(__xludf.DUMMYFUNCTION("GOOGLETRANSLATE(A1899, ""en"", ""te"")"),"యూరో నైలాన్ సెవ్")</f>
        <v>యూరో నైలాన్ సెవ్</v>
      </c>
      <c r="C1899" s="4" t="str">
        <f>IFERROR(__xludf.DUMMYFUNCTION("GOOGLETRANSLATE(A1899, ""en"", ""hi"")"),"यूरो नायलॉन सेव")</f>
        <v>यूरो नायलॉन सेव</v>
      </c>
      <c r="D1899" s="5"/>
      <c r="E1899" s="2" t="s">
        <v>1294</v>
      </c>
      <c r="F1899" s="1">
        <v>4.0</v>
      </c>
      <c r="G1899" s="3" t="s">
        <v>10</v>
      </c>
    </row>
    <row r="1900">
      <c r="A1900" s="3" t="s">
        <v>7741</v>
      </c>
      <c r="B1900" s="4" t="str">
        <f>IFERROR(__xludf.DUMMYFUNCTION("GOOGLETRANSLATE(A1900, ""en"", ""te"")"),"యూరో నవరతన్ మిశ్రమం")</f>
        <v>యూరో నవరతన్ మిశ్రమం</v>
      </c>
      <c r="C1900" s="4" t="str">
        <f>IFERROR(__xludf.DUMMYFUNCTION("GOOGLETRANSLATE(A1900, ""en"", ""hi"")"),"यूरो नवरतन मिश्रण")</f>
        <v>यूरो नवरतन मिश्रण</v>
      </c>
      <c r="D1900" s="2" t="s">
        <v>7028</v>
      </c>
      <c r="E1900" s="2" t="s">
        <v>1294</v>
      </c>
      <c r="F1900" s="1">
        <v>4.0</v>
      </c>
      <c r="G1900" s="3" t="s">
        <v>10</v>
      </c>
    </row>
    <row r="1901">
      <c r="A1901" s="3" t="s">
        <v>7742</v>
      </c>
      <c r="B1901" s="4" t="str">
        <f>IFERROR(__xludf.DUMMYFUNCTION("GOOGLETRANSLATE(A1901, ""en"", ""te"")"),"యూరో సోయా స్టిక్స్")</f>
        <v>యూరో సోయా స్టిక్స్</v>
      </c>
      <c r="C1901" s="4" t="str">
        <f>IFERROR(__xludf.DUMMYFUNCTION("GOOGLETRANSLATE(A1901, ""en"", ""hi"")"),"यूरो सोया स्टिक्स")</f>
        <v>यूरो सोया स्टिक्स</v>
      </c>
      <c r="D1901" s="5"/>
      <c r="E1901" s="2" t="s">
        <v>1038</v>
      </c>
      <c r="F1901" s="1">
        <v>4.0</v>
      </c>
      <c r="G1901" s="3" t="s">
        <v>10</v>
      </c>
    </row>
    <row r="1902">
      <c r="A1902" s="3" t="s">
        <v>7743</v>
      </c>
      <c r="B1902" s="4" t="str">
        <f>IFERROR(__xludf.DUMMYFUNCTION("GOOGLETRANSLATE(A1902, ""en"", ""te"")"),"యూరో మద్రాసీ మిక్స్")</f>
        <v>యూరో మద్రాసీ మిక్స్</v>
      </c>
      <c r="C1902" s="4" t="str">
        <f>IFERROR(__xludf.DUMMYFUNCTION("GOOGLETRANSLATE(A1902, ""en"", ""hi"")"),"यूरो मद्रासी मिक्स")</f>
        <v>यूरो मद्रासी मिक्स</v>
      </c>
      <c r="D1902" s="2" t="s">
        <v>7028</v>
      </c>
      <c r="E1902" s="2" t="s">
        <v>1294</v>
      </c>
      <c r="F1902" s="1">
        <v>4.0</v>
      </c>
      <c r="G1902" s="3" t="s">
        <v>10</v>
      </c>
    </row>
    <row r="1903">
      <c r="A1903" s="3" t="s">
        <v>7724</v>
      </c>
      <c r="B1903" s="4" t="str">
        <f>IFERROR(__xludf.DUMMYFUNCTION("GOOGLETRANSLATE(A1903, ""en"", ""te"")"),"యూరో మసాలా బూందీ")</f>
        <v>యూరో మసాలా బూందీ</v>
      </c>
      <c r="C1903" s="4" t="str">
        <f>IFERROR(__xludf.DUMMYFUNCTION("GOOGLETRANSLATE(A1903, ""en"", ""hi"")"),"यूरो मसाला बूंदी")</f>
        <v>यूरो मसाला बूंदी</v>
      </c>
      <c r="D1903" s="5"/>
      <c r="E1903" s="2" t="s">
        <v>442</v>
      </c>
      <c r="F1903" s="1">
        <v>4.0</v>
      </c>
      <c r="G1903" s="3" t="s">
        <v>10</v>
      </c>
    </row>
    <row r="1904">
      <c r="A1904" s="3" t="s">
        <v>7725</v>
      </c>
      <c r="B1904" s="4" t="str">
        <f>IFERROR(__xludf.DUMMYFUNCTION("GOOGLETRANSLATE(A1904, ""en"", ""te"")"),"యూరో మెథి పూరి")</f>
        <v>యూరో మెథి పూరి</v>
      </c>
      <c r="C1904" s="4" t="str">
        <f>IFERROR(__xludf.DUMMYFUNCTION("GOOGLETRANSLATE(A1904, ""en"", ""hi"")"),"यूरो मेथी पुरी")</f>
        <v>यूरो मेथी पुरी</v>
      </c>
      <c r="D1904" s="5"/>
      <c r="E1904" s="2" t="s">
        <v>2649</v>
      </c>
      <c r="F1904" s="1">
        <v>4.0</v>
      </c>
      <c r="G1904" s="3" t="s">
        <v>10</v>
      </c>
    </row>
    <row r="1905">
      <c r="A1905" s="3" t="s">
        <v>7744</v>
      </c>
      <c r="B1905" s="4" t="str">
        <f>IFERROR(__xludf.DUMMYFUNCTION("GOOGLETRANSLATE(A1905, ""en"", ""te"")"),"యూరో గార్లిక్ చివ్డా")</f>
        <v>యూరో గార్లిక్ చివ్డా</v>
      </c>
      <c r="C1905" s="4" t="str">
        <f>IFERROR(__xludf.DUMMYFUNCTION("GOOGLETRANSLATE(A1905, ""en"", ""hi"")"),"यूरो गार्लिक चिवड़ा")</f>
        <v>यूरो गार्लिक चिवड़ा</v>
      </c>
      <c r="D1905" s="2" t="s">
        <v>7745</v>
      </c>
      <c r="E1905" s="2" t="s">
        <v>1294</v>
      </c>
      <c r="F1905" s="1">
        <v>4.0</v>
      </c>
      <c r="G1905" s="3" t="s">
        <v>10</v>
      </c>
    </row>
    <row r="1906">
      <c r="A1906" s="3" t="s">
        <v>7746</v>
      </c>
      <c r="B1906" s="4" t="str">
        <f>IFERROR(__xludf.DUMMYFUNCTION("GOOGLETRANSLATE(A1906, ""en"", ""te"")"),"ఆనంద్ దాల్ చిమ్మట")</f>
        <v>ఆనంద్ దాల్ చిమ్మట</v>
      </c>
      <c r="C1906" s="4" t="str">
        <f>IFERROR(__xludf.DUMMYFUNCTION("GOOGLETRANSLATE(A1906, ""en"", ""hi"")"),"आनंद दल मोठ")</f>
        <v>आनंद दल मोठ</v>
      </c>
      <c r="D1906" s="5"/>
      <c r="E1906" s="2" t="s">
        <v>1294</v>
      </c>
      <c r="F1906" s="1">
        <v>4.0</v>
      </c>
      <c r="G1906" s="3" t="s">
        <v>10</v>
      </c>
    </row>
    <row r="1907">
      <c r="A1907" s="3" t="s">
        <v>7747</v>
      </c>
      <c r="B1907" s="4" t="str">
        <f>IFERROR(__xludf.DUMMYFUNCTION("GOOGLETRANSLATE(A1907, ""en"", ""te"")"),"ఆనంద్ డ్రై కచోరి")</f>
        <v>ఆనంద్ డ్రై కచోరి</v>
      </c>
      <c r="C1907" s="4" t="str">
        <f>IFERROR(__xludf.DUMMYFUNCTION("GOOGLETRANSLATE(A1907, ""en"", ""hi"")"),"आनंद ड्राई कचौरी")</f>
        <v>आनंद ड्राई कचौरी</v>
      </c>
      <c r="D1907" s="5"/>
      <c r="E1907" s="2" t="s">
        <v>1294</v>
      </c>
      <c r="F1907" s="1">
        <v>4.0</v>
      </c>
      <c r="G1907" s="3" t="s">
        <v>10</v>
      </c>
    </row>
    <row r="1908">
      <c r="A1908" s="3" t="s">
        <v>7555</v>
      </c>
      <c r="B1908" s="4" t="str">
        <f>IFERROR(__xludf.DUMMYFUNCTION("GOOGLETRANSLATE(A1908, ""en"", ""te"")"),"రాజు రత్లామి సేవ")</f>
        <v>రాజు రత్లామి సేవ</v>
      </c>
      <c r="C1908" s="4" t="str">
        <f>IFERROR(__xludf.DUMMYFUNCTION("GOOGLETRANSLATE(A1908, ""en"", ""hi"")"),"राजू रतलामी सेव")</f>
        <v>राजू रतलामी सेव</v>
      </c>
      <c r="D1908" s="5"/>
      <c r="E1908" s="2" t="s">
        <v>1294</v>
      </c>
      <c r="F1908" s="1">
        <v>4.0</v>
      </c>
      <c r="G1908" s="3" t="s">
        <v>71</v>
      </c>
    </row>
    <row r="1909">
      <c r="A1909" s="3" t="s">
        <v>7556</v>
      </c>
      <c r="B1909" s="4" t="str">
        <f>IFERROR(__xludf.DUMMYFUNCTION("GOOGLETRANSLATE(A1909, ""en"", ""te"")"),"హల్దీరామ్ యొక్క మైదాన భుజియా")</f>
        <v>హల్దీరామ్ యొక్క మైదాన భుజియా</v>
      </c>
      <c r="C1909" s="4" t="str">
        <f>IFERROR(__xludf.DUMMYFUNCTION("GOOGLETRANSLATE(A1909, ""en"", ""hi"")"),"हल्दीराम की प्लेन भुजिया")</f>
        <v>हल्दीराम की प्लेन भुजिया</v>
      </c>
      <c r="D1909" s="2" t="s">
        <v>7557</v>
      </c>
      <c r="E1909" s="2" t="s">
        <v>1294</v>
      </c>
      <c r="F1909" s="1">
        <v>4.0</v>
      </c>
      <c r="G1909" s="3" t="s">
        <v>71</v>
      </c>
    </row>
    <row r="1910">
      <c r="A1910" s="3" t="s">
        <v>7558</v>
      </c>
      <c r="B1910" s="4" t="str">
        <f>IFERROR(__xludf.DUMMYFUNCTION("GOOGLETRANSLATE(A1910, ""en"", ""te"")"),"హల్దీరామ్స్ బూందీ సాల్టెడ్")</f>
        <v>హల్దీరామ్స్ బూందీ సాల్టెడ్</v>
      </c>
      <c r="C1910" s="4" t="str">
        <f>IFERROR(__xludf.DUMMYFUNCTION("GOOGLETRANSLATE(A1910, ""en"", ""hi"")"),"हल्दीराम की बूंदी नमकीन")</f>
        <v>हल्दीराम की बूंदी नमकीन</v>
      </c>
      <c r="D1910" s="5"/>
      <c r="E1910" s="2" t="s">
        <v>1294</v>
      </c>
      <c r="F1910" s="1">
        <v>4.0</v>
      </c>
      <c r="G1910" s="3" t="s">
        <v>71</v>
      </c>
    </row>
    <row r="1911">
      <c r="A1911" s="3" t="s">
        <v>7748</v>
      </c>
      <c r="B1911" s="4" t="str">
        <f>IFERROR(__xludf.DUMMYFUNCTION("GOOGLETRANSLATE(A1911, ""en"", ""te"")"),"అలో భు")</f>
        <v>అలో భు</v>
      </c>
      <c r="C1911" s="4" t="str">
        <f>IFERROR(__xludf.DUMMYFUNCTION("GOOGLETRANSLATE(A1911, ""en"", ""hi"")"),"आलो भू")</f>
        <v>आलो भू</v>
      </c>
      <c r="D1911" s="5"/>
      <c r="E1911" s="2" t="s">
        <v>1294</v>
      </c>
      <c r="F1911" s="1">
        <v>4.0</v>
      </c>
      <c r="G1911" s="3" t="s">
        <v>71</v>
      </c>
    </row>
    <row r="1912">
      <c r="A1912" s="3" t="s">
        <v>7563</v>
      </c>
      <c r="B1912" s="4" t="str">
        <f>IFERROR(__xludf.DUMMYFUNCTION("GOOGLETRANSLATE(A1912, ""en"", ""te"")"),"బాంబే కిచెన్ భేల్ మిక్స్")</f>
        <v>బాంబే కిచెన్ భేల్ మిక్స్</v>
      </c>
      <c r="C1912" s="4" t="str">
        <f>IFERROR(__xludf.DUMMYFUNCTION("GOOGLETRANSLATE(A1912, ""en"", ""hi"")"),"बॉम्बे किचन भेल मिक्स")</f>
        <v>बॉम्बे किचन भेल मिक्स</v>
      </c>
      <c r="D1912" s="2" t="s">
        <v>7564</v>
      </c>
      <c r="E1912" s="2" t="s">
        <v>1294</v>
      </c>
      <c r="F1912" s="1">
        <v>4.0</v>
      </c>
      <c r="G1912" s="3" t="s">
        <v>76</v>
      </c>
    </row>
    <row r="1913">
      <c r="A1913" s="3" t="s">
        <v>7749</v>
      </c>
      <c r="B1913" s="4" t="str">
        <f>IFERROR(__xludf.DUMMYFUNCTION("GOOGLETRANSLATE(A1913, ""en"", ""te"")"),"బికాజీ సబ్-కుచ్")</f>
        <v>బికాజీ సబ్-కుచ్</v>
      </c>
      <c r="C1913" s="4" t="str">
        <f>IFERROR(__xludf.DUMMYFUNCTION("GOOGLETRANSLATE(A1913, ""en"", ""hi"")"),"बिकाजी सब-कुछ")</f>
        <v>बिकाजी सब-कुछ</v>
      </c>
      <c r="D1913" s="5"/>
      <c r="E1913" s="2" t="s">
        <v>1294</v>
      </c>
      <c r="F1913" s="1">
        <v>4.0</v>
      </c>
      <c r="G1913" s="3" t="s">
        <v>76</v>
      </c>
    </row>
    <row r="1914">
      <c r="A1914" s="3" t="s">
        <v>7750</v>
      </c>
      <c r="B1914" s="4" t="str">
        <f>IFERROR(__xludf.DUMMYFUNCTION("GOOGLETRANSLATE(A1914, ""en"", ""te"")"),"మిర్చి మసాలా")</f>
        <v>మిర్చి మసాలా</v>
      </c>
      <c r="C1914" s="4" t="str">
        <f>IFERROR(__xludf.DUMMYFUNCTION("GOOGLETRANSLATE(A1914, ""en"", ""hi"")"),"मिर्ची मसाला")</f>
        <v>मिर्ची मसाला</v>
      </c>
      <c r="D1914" s="5"/>
      <c r="E1914" s="2" t="s">
        <v>442</v>
      </c>
      <c r="F1914" s="1">
        <v>4.0</v>
      </c>
      <c r="G1914" s="3" t="s">
        <v>76</v>
      </c>
    </row>
    <row r="1915">
      <c r="A1915" s="3" t="s">
        <v>7751</v>
      </c>
      <c r="B1915" s="4" t="str">
        <f>IFERROR(__xludf.DUMMYFUNCTION("GOOGLETRANSLATE(A1915, ""en"", ""te"")"),"మిర్చి మసాలా కార్న్ చెవ్డా")</f>
        <v>మిర్చి మసాలా కార్న్ చెవ్డా</v>
      </c>
      <c r="C1915" s="4" t="str">
        <f>IFERROR(__xludf.DUMMYFUNCTION("GOOGLETRANSLATE(A1915, ""en"", ""hi"")"),"मिर्ची मसाला कॉर्न चेवड़ा")</f>
        <v>मिर्ची मसाला कॉर्न चेवड़ा</v>
      </c>
      <c r="D1915" s="2" t="s">
        <v>1070</v>
      </c>
      <c r="E1915" s="2" t="s">
        <v>1294</v>
      </c>
      <c r="F1915" s="1">
        <v>4.0</v>
      </c>
      <c r="G1915" s="3" t="s">
        <v>76</v>
      </c>
    </row>
    <row r="1916">
      <c r="A1916" s="3" t="s">
        <v>7752</v>
      </c>
      <c r="B1916" s="4" t="str">
        <f>IFERROR(__xludf.DUMMYFUNCTION("GOOGLETRANSLATE(A1916, ""en"", ""te"")"),"మిర్చి మసాలా చనా దాల్")</f>
        <v>మిర్చి మసాలా చనా దాల్</v>
      </c>
      <c r="C1916" s="4" t="str">
        <f>IFERROR(__xludf.DUMMYFUNCTION("GOOGLETRANSLATE(A1916, ""en"", ""hi"")"),"मिर्ची मसाला चना दाल")</f>
        <v>मिर्ची मसाला चना दाल</v>
      </c>
      <c r="D1916" s="2" t="s">
        <v>7753</v>
      </c>
      <c r="E1916" s="2" t="s">
        <v>1038</v>
      </c>
      <c r="F1916" s="1">
        <v>4.0</v>
      </c>
      <c r="G1916" s="3" t="s">
        <v>76</v>
      </c>
    </row>
    <row r="1917">
      <c r="A1917" s="3" t="s">
        <v>7568</v>
      </c>
      <c r="B1917" s="4" t="str">
        <f>IFERROR(__xludf.DUMMYFUNCTION("GOOGLETRANSLATE(A1917, ""en"", ""te"")"),"జి. పుల్లారెడ్డి కరంపుస")</f>
        <v>జి. పుల్లారెడ్డి కరంపుస</v>
      </c>
      <c r="C1917" s="4" t="str">
        <f>IFERROR(__xludf.DUMMYFUNCTION("GOOGLETRANSLATE(A1917, ""en"", ""hi"")"),"जी. पुल्ला रेड्डी करमपुसा")</f>
        <v>जी. पुल्ला रेड्डी करमपुसा</v>
      </c>
      <c r="D1917" s="2" t="s">
        <v>7569</v>
      </c>
      <c r="E1917" s="2" t="s">
        <v>1294</v>
      </c>
      <c r="F1917" s="1">
        <v>4.0</v>
      </c>
      <c r="G1917" s="3" t="s">
        <v>85</v>
      </c>
    </row>
    <row r="1918">
      <c r="A1918" s="3" t="s">
        <v>7570</v>
      </c>
      <c r="B1918" s="4" t="str">
        <f>IFERROR(__xludf.DUMMYFUNCTION("GOOGLETRANSLATE(A1918, ""en"", ""te"")"),"జి. పుల్లారెడ్డి జంతికలు")</f>
        <v>జి. పుల్లారెడ్డి జంతికలు</v>
      </c>
      <c r="C1918" s="4" t="str">
        <f>IFERROR(__xludf.DUMMYFUNCTION("GOOGLETRANSLATE(A1918, ""en"", ""hi"")"),"जी. पुल्ला रेड्डी जंथिकालु")</f>
        <v>जी. पुल्ला रेड्डी जंथिकालु</v>
      </c>
      <c r="D1918" s="5"/>
      <c r="E1918" s="2" t="s">
        <v>1294</v>
      </c>
      <c r="F1918" s="1">
        <v>4.0</v>
      </c>
      <c r="G1918" s="3" t="s">
        <v>85</v>
      </c>
    </row>
    <row r="1919">
      <c r="A1919" s="3" t="s">
        <v>7571</v>
      </c>
      <c r="B1919" s="4" t="str">
        <f>IFERROR(__xludf.DUMMYFUNCTION("GOOGLETRANSLATE(A1919, ""en"", ""te"")"),"జి. పుల్లారెడ్డి బటర్ మురుక్కు")</f>
        <v>జి. పుల్లారెడ్డి బటర్ మురుక్కు</v>
      </c>
      <c r="C1919" s="4" t="str">
        <f>IFERROR(__xludf.DUMMYFUNCTION("GOOGLETRANSLATE(A1919, ""en"", ""hi"")"),"जी. पुल्ला रेड्डी बटर मुरुक्कू")</f>
        <v>जी. पुल्ला रेड्डी बटर मुरुक्कू</v>
      </c>
      <c r="D1919" s="5"/>
      <c r="E1919" s="2" t="s">
        <v>1294</v>
      </c>
      <c r="F1919" s="1">
        <v>4.0</v>
      </c>
      <c r="G1919" s="3" t="s">
        <v>85</v>
      </c>
    </row>
    <row r="1920">
      <c r="A1920" s="3" t="s">
        <v>7536</v>
      </c>
      <c r="B1920" s="4" t="str">
        <f>IFERROR(__xludf.DUMMYFUNCTION("GOOGLETRANSLATE(A1920, ""en"", ""te"")"),"శ్వేత తెలుగు శకినాలు")</f>
        <v>శ్వేత తెలుగు శకినాలు</v>
      </c>
      <c r="C1920" s="4" t="str">
        <f>IFERROR(__xludf.DUMMYFUNCTION("GOOGLETRANSLATE(A1920, ""en"", ""hi"")"),"श्वेता तेलुगु सकीनालू")</f>
        <v>श्वेता तेलुगु सकीनालू</v>
      </c>
      <c r="D1920" s="2" t="s">
        <v>7537</v>
      </c>
      <c r="E1920" s="2" t="s">
        <v>1294</v>
      </c>
      <c r="F1920" s="1">
        <v>4.0</v>
      </c>
      <c r="G1920" s="3" t="s">
        <v>85</v>
      </c>
    </row>
    <row r="1921">
      <c r="A1921" s="3" t="s">
        <v>7754</v>
      </c>
      <c r="B1921" s="4" t="str">
        <f>IFERROR(__xludf.DUMMYFUNCTION("GOOGLETRANSLATE(A1921, ""en"", ""te"")"),"శ్వేత తెలుగు స్పైసీ సాకినాలు")</f>
        <v>శ్వేత తెలుగు స్పైసీ సాకినాలు</v>
      </c>
      <c r="C1921" s="4" t="str">
        <f>IFERROR(__xludf.DUMMYFUNCTION("GOOGLETRANSLATE(A1921, ""en"", ""hi"")"),"श्वेता तेलुगु स्पाइसी सकीनालू")</f>
        <v>श्वेता तेलुगु स्पाइसी सकीनालू</v>
      </c>
      <c r="D1921" s="2" t="s">
        <v>7537</v>
      </c>
      <c r="E1921" s="2" t="s">
        <v>1294</v>
      </c>
      <c r="F1921" s="1">
        <v>4.0</v>
      </c>
      <c r="G1921" s="3" t="s">
        <v>85</v>
      </c>
    </row>
    <row r="1922">
      <c r="A1922" s="3" t="s">
        <v>7755</v>
      </c>
      <c r="B1922" s="4" t="str">
        <f>IFERROR(__xludf.DUMMYFUNCTION("GOOGLETRANSLATE(A1922, ""en"", ""te"")"),"శ్వేత తెలుగు సన్న కరలు")</f>
        <v>శ్వేత తెలుగు సన్న కరలు</v>
      </c>
      <c r="C1922" s="4" t="str">
        <f>IFERROR(__xludf.DUMMYFUNCTION("GOOGLETRANSLATE(A1922, ""en"", ""hi"")"),"श्वेता तेलुगु सन्ना करालु")</f>
        <v>श्वेता तेलुगु सन्ना करालु</v>
      </c>
      <c r="D1922" s="2" t="s">
        <v>7756</v>
      </c>
      <c r="E1922" s="2" t="s">
        <v>1294</v>
      </c>
      <c r="F1922" s="1">
        <v>4.0</v>
      </c>
      <c r="G1922" s="3" t="s">
        <v>85</v>
      </c>
    </row>
    <row r="1923">
      <c r="A1923" s="3" t="s">
        <v>7757</v>
      </c>
      <c r="B1923" s="4" t="str">
        <f>IFERROR(__xludf.DUMMYFUNCTION("GOOGLETRANSLATE(A1923, ""en"", ""te"")"),"ఆనంద్ అరటి చిప్స్")</f>
        <v>ఆనంద్ అరటి చిప్స్</v>
      </c>
      <c r="C1923" s="4" t="str">
        <f>IFERROR(__xludf.DUMMYFUNCTION("GOOGLETRANSLATE(A1923, ""en"", ""hi"")"),"आनंद केले के चिप्स")</f>
        <v>आनंद केले के चिप्स</v>
      </c>
      <c r="D1923" s="2" t="s">
        <v>7758</v>
      </c>
      <c r="E1923" s="2" t="s">
        <v>1294</v>
      </c>
      <c r="F1923" s="1">
        <v>4.0</v>
      </c>
      <c r="G1923" s="3" t="s">
        <v>114</v>
      </c>
    </row>
    <row r="1924">
      <c r="A1924" s="3" t="s">
        <v>7575</v>
      </c>
      <c r="B1924" s="4" t="str">
        <f>IFERROR(__xludf.DUMMYFUNCTION("GOOGLETRANSLATE(A1924, ""en"", ""te"")"),"ఆనంద్ స్పెషల్ పాలక్ మురుకు")</f>
        <v>ఆనంద్ స్పెషల్ పాలక్ మురుకు</v>
      </c>
      <c r="C1924" s="4" t="str">
        <f>IFERROR(__xludf.DUMMYFUNCTION("GOOGLETRANSLATE(A1924, ""en"", ""hi"")"),"आनंद स्पेशल पालक मुरुक्कू")</f>
        <v>आनंद स्पेशल पालक मुरुक्कू</v>
      </c>
      <c r="D1924" s="2" t="s">
        <v>7576</v>
      </c>
      <c r="E1924" s="2" t="s">
        <v>1294</v>
      </c>
      <c r="F1924" s="1">
        <v>4.0</v>
      </c>
      <c r="G1924" s="3" t="s">
        <v>114</v>
      </c>
    </row>
    <row r="1925">
      <c r="A1925" s="3" t="s">
        <v>7581</v>
      </c>
      <c r="B1925" s="4" t="str">
        <f>IFERROR(__xludf.DUMMYFUNCTION("GOOGLETRANSLATE(A1925, ""en"", ""te"")"),"యూరో రత్లామి సెవ్")</f>
        <v>యూరో రత్లామి సెవ్</v>
      </c>
      <c r="C1925" s="4" t="str">
        <f>IFERROR(__xludf.DUMMYFUNCTION("GOOGLETRANSLATE(A1925, ""en"", ""hi"")"),"यूरो रतलामी सेव")</f>
        <v>यूरो रतलामी सेव</v>
      </c>
      <c r="D1925" s="2" t="s">
        <v>6339</v>
      </c>
      <c r="E1925" s="2" t="s">
        <v>1294</v>
      </c>
      <c r="F1925" s="1">
        <v>4.0</v>
      </c>
      <c r="G1925" s="3" t="s">
        <v>10</v>
      </c>
    </row>
    <row r="1926">
      <c r="A1926" s="3" t="s">
        <v>7583</v>
      </c>
      <c r="B1926" s="4" t="str">
        <f>IFERROR(__xludf.DUMMYFUNCTION("GOOGLETRANSLATE(A1926, ""en"", ""te"")"),"యూరో నవరతన్ మిక్స్")</f>
        <v>యూరో నవరతన్ మిక్స్</v>
      </c>
      <c r="C1926" s="4" t="str">
        <f>IFERROR(__xludf.DUMMYFUNCTION("GOOGLETRANSLATE(A1926, ""en"", ""hi"")"),"यूरो नवरतन मिक्स")</f>
        <v>यूरो नवरतन मिक्स</v>
      </c>
      <c r="D1926" s="2" t="s">
        <v>7584</v>
      </c>
      <c r="E1926" s="2" t="s">
        <v>940</v>
      </c>
      <c r="F1926" s="1">
        <v>4.0</v>
      </c>
      <c r="G1926" s="3" t="s">
        <v>10</v>
      </c>
    </row>
    <row r="1927">
      <c r="A1927" s="3" t="s">
        <v>7759</v>
      </c>
      <c r="B1927" s="4" t="str">
        <f>IFERROR(__xludf.DUMMYFUNCTION("GOOGLETRANSLATE(A1927, ""en"", ""te"")"),"యూరో మలై సోయా సేవ్")</f>
        <v>యూరో మలై సోయా సేవ్</v>
      </c>
      <c r="C1927" s="4" t="str">
        <f>IFERROR(__xludf.DUMMYFUNCTION("GOOGLETRANSLATE(A1927, ""en"", ""hi"")"),"यूरो मलाई सोया सेव")</f>
        <v>यूरो मलाई सोया सेव</v>
      </c>
      <c r="D1927" s="2" t="s">
        <v>5750</v>
      </c>
      <c r="E1927" s="2" t="s">
        <v>1294</v>
      </c>
      <c r="F1927" s="1">
        <v>4.0</v>
      </c>
      <c r="G1927" s="3" t="s">
        <v>10</v>
      </c>
    </row>
    <row r="1928">
      <c r="A1928" s="3" t="s">
        <v>7760</v>
      </c>
      <c r="B1928" s="4" t="str">
        <f>IFERROR(__xludf.DUMMYFUNCTION("GOOGLETRANSLATE(A1928, ""en"", ""te"")"),"డ్రై ఫ్రూట్ పంచరతన్")</f>
        <v>డ్రై ఫ్రూట్ పంచరతన్</v>
      </c>
      <c r="C1928" s="4" t="str">
        <f>IFERROR(__xludf.DUMMYFUNCTION("GOOGLETRANSLATE(A1928, ""en"", ""hi"")"),"शुष्क मेवे पंचरतन")</f>
        <v>शुष्क मेवे पंचरतन</v>
      </c>
      <c r="D1928" s="5"/>
      <c r="E1928" s="2" t="s">
        <v>2700</v>
      </c>
      <c r="F1928" s="1">
        <v>4.0</v>
      </c>
      <c r="G1928" s="3" t="s">
        <v>4469</v>
      </c>
    </row>
    <row r="1929">
      <c r="A1929" s="3" t="s">
        <v>7761</v>
      </c>
      <c r="B1929" s="4" t="str">
        <f>IFERROR(__xludf.DUMMYFUNCTION("GOOGLETRANSLATE(A1929, ""en"", ""te"")"),"మిర్చ్ మసాలా చనా దాల్")</f>
        <v>మిర్చ్ మసాలా చనా దాల్</v>
      </c>
      <c r="C1929" s="4" t="str">
        <f>IFERROR(__xludf.DUMMYFUNCTION("GOOGLETRANSLATE(A1929, ""en"", ""hi"")"),"मिर्च मसाला चना दाल")</f>
        <v>मिर्च मसाला चना दाल</v>
      </c>
      <c r="D1929" s="2" t="s">
        <v>3379</v>
      </c>
      <c r="E1929" s="2" t="s">
        <v>1038</v>
      </c>
      <c r="F1929" s="1">
        <v>4.0</v>
      </c>
      <c r="G1929" s="3" t="s">
        <v>4469</v>
      </c>
    </row>
    <row r="1930">
      <c r="A1930" s="3" t="s">
        <v>4639</v>
      </c>
      <c r="B1930" s="4" t="str">
        <f>IFERROR(__xludf.DUMMYFUNCTION("GOOGLETRANSLATE(A1930, ""en"", ""te"")"),"మిర్చ్ మసాలా బూందీ")</f>
        <v>మిర్చ్ మసాలా బూందీ</v>
      </c>
      <c r="C1930" s="4" t="str">
        <f>IFERROR(__xludf.DUMMYFUNCTION("GOOGLETRANSLATE(A1930, ""en"", ""hi"")"),"मिर्च मसाला बूंदी")</f>
        <v>मिर्च मसाला बूंदी</v>
      </c>
      <c r="D1930" s="5"/>
      <c r="E1930" s="2" t="s">
        <v>1294</v>
      </c>
      <c r="F1930" s="1">
        <v>4.0</v>
      </c>
      <c r="G1930" s="3" t="s">
        <v>4469</v>
      </c>
    </row>
    <row r="1931">
      <c r="A1931" s="3" t="s">
        <v>7762</v>
      </c>
      <c r="B1931" s="4" t="str">
        <f>IFERROR(__xludf.DUMMYFUNCTION("GOOGLETRANSLATE(A1931, ""en"", ""te"")"),"సెరోయ్ పకోడా")</f>
        <v>సెరోయ్ పకోడా</v>
      </c>
      <c r="C1931" s="4" t="str">
        <f>IFERROR(__xludf.DUMMYFUNCTION("GOOGLETRANSLATE(A1931, ""en"", ""hi"")"),"सेरॉय पकोड़ा")</f>
        <v>सेरॉय पकोड़ा</v>
      </c>
      <c r="D1931" s="5"/>
      <c r="E1931" s="2" t="s">
        <v>1294</v>
      </c>
      <c r="F1931" s="1">
        <v>4.0</v>
      </c>
      <c r="G1931" s="3" t="s">
        <v>4469</v>
      </c>
    </row>
    <row r="1932">
      <c r="A1932" s="3" t="s">
        <v>7754</v>
      </c>
      <c r="B1932" s="4" t="str">
        <f>IFERROR(__xludf.DUMMYFUNCTION("GOOGLETRANSLATE(A1932, ""en"", ""te"")"),"శ్వేత తెలుగు స్పైసీ సాకినాలు")</f>
        <v>శ్వేత తెలుగు స్పైసీ సాకినాలు</v>
      </c>
      <c r="C1932" s="4" t="str">
        <f>IFERROR(__xludf.DUMMYFUNCTION("GOOGLETRANSLATE(A1932, ""en"", ""hi"")"),"श्वेता तेलुगु स्पाइसी सकीनालू")</f>
        <v>श्वेता तेलुगु स्पाइसी सकीनालू</v>
      </c>
      <c r="D1932" s="2" t="s">
        <v>7537</v>
      </c>
      <c r="E1932" s="2" t="s">
        <v>1294</v>
      </c>
      <c r="F1932" s="1">
        <v>4.0</v>
      </c>
      <c r="G1932" s="3" t="s">
        <v>4480</v>
      </c>
    </row>
    <row r="1933">
      <c r="A1933" s="3" t="s">
        <v>7739</v>
      </c>
      <c r="B1933" s="4" t="str">
        <f>IFERROR(__xludf.DUMMYFUNCTION("GOOGLETRANSLATE(A1933, ""en"", ""te"")"),"ఆనంద్ భాకర్వాడి")</f>
        <v>ఆనంద్ భాకర్వాడి</v>
      </c>
      <c r="C1933" s="4" t="str">
        <f>IFERROR(__xludf.DUMMYFUNCTION("GOOGLETRANSLATE(A1933, ""en"", ""hi"")"),"आनंद भाकरवाड़ी")</f>
        <v>आनंद भाकरवाड़ी</v>
      </c>
      <c r="D1933" s="5"/>
      <c r="E1933" s="2" t="s">
        <v>1294</v>
      </c>
      <c r="F1933" s="1">
        <v>4.0</v>
      </c>
      <c r="G1933" s="3" t="s">
        <v>4692</v>
      </c>
    </row>
    <row r="1934">
      <c r="A1934" s="3" t="s">
        <v>7544</v>
      </c>
      <c r="B1934" s="4" t="str">
        <f>IFERROR(__xludf.DUMMYFUNCTION("GOOGLETRANSLATE(A1934, ""en"", ""te"")"),"ఆనంద్ మసాలా చనాడల్")</f>
        <v>ఆనంద్ మసాలా చనాడల్</v>
      </c>
      <c r="C1934" s="4" t="str">
        <f>IFERROR(__xludf.DUMMYFUNCTION("GOOGLETRANSLATE(A1934, ""en"", ""hi"")"),"आनंद मसाला चनादल")</f>
        <v>आनंद मसाला चनादल</v>
      </c>
      <c r="D1934" s="2" t="s">
        <v>1655</v>
      </c>
      <c r="E1934" s="2" t="s">
        <v>442</v>
      </c>
      <c r="F1934" s="1">
        <v>4.0</v>
      </c>
      <c r="G1934" s="3" t="s">
        <v>4692</v>
      </c>
    </row>
    <row r="1935">
      <c r="A1935" s="3" t="s">
        <v>7545</v>
      </c>
      <c r="B1935" s="4" t="str">
        <f>IFERROR(__xludf.DUMMYFUNCTION("GOOGLETRANSLATE(A1935, ""en"", ""te"")"),"ఆనంద్ మసాలా వేరుశెనగలు")</f>
        <v>ఆనంద్ మసాలా వేరుశెనగలు</v>
      </c>
      <c r="C1935" s="4" t="str">
        <f>IFERROR(__xludf.DUMMYFUNCTION("GOOGLETRANSLATE(A1935, ""en"", ""hi"")"),"आनंद मसाला मूंगफली")</f>
        <v>आनंद मसाला मूंगफली</v>
      </c>
      <c r="D1935" s="2" t="s">
        <v>945</v>
      </c>
      <c r="E1935" s="2" t="s">
        <v>1294</v>
      </c>
      <c r="F1935" s="1">
        <v>4.0</v>
      </c>
      <c r="G1935" s="3" t="s">
        <v>4692</v>
      </c>
    </row>
    <row r="1936">
      <c r="A1936" s="3" t="s">
        <v>7763</v>
      </c>
      <c r="B1936" s="4" t="str">
        <f>IFERROR(__xludf.DUMMYFUNCTION("GOOGLETRANSLATE(A1936, ""en"", ""te"")"),"యూరో కేరళ మిశ్రమం")</f>
        <v>యూరో కేరళ మిశ్రమం</v>
      </c>
      <c r="C1936" s="4" t="str">
        <f>IFERROR(__xludf.DUMMYFUNCTION("GOOGLETRANSLATE(A1936, ""en"", ""hi"")"),"यूरो केरल मिश्रण")</f>
        <v>यूरो केरल मिश्रण</v>
      </c>
      <c r="D1936" s="2" t="s">
        <v>7764</v>
      </c>
      <c r="E1936" s="2" t="s">
        <v>1294</v>
      </c>
      <c r="F1936" s="1">
        <v>4.0</v>
      </c>
      <c r="G1936" s="3" t="s">
        <v>4692</v>
      </c>
    </row>
    <row r="1937">
      <c r="A1937" s="3" t="s">
        <v>7548</v>
      </c>
      <c r="B1937" s="4" t="str">
        <f>IFERROR(__xludf.DUMMYFUNCTION("GOOGLETRANSLATE(A1937, ""en"", ""te"")"),"ఆనంద్ కప్పలాండి మసాలా")</f>
        <v>ఆనంద్ కప్పలాండి మసాలా</v>
      </c>
      <c r="C1937" s="4" t="str">
        <f>IFERROR(__xludf.DUMMYFUNCTION("GOOGLETRANSLATE(A1937, ""en"", ""hi"")"),"आनंद कप्पलांडी मसाला")</f>
        <v>आनंद कप्पलांडी मसाला</v>
      </c>
      <c r="D1937" s="5"/>
      <c r="E1937" s="2" t="s">
        <v>442</v>
      </c>
      <c r="F1937" s="1">
        <v>4.0</v>
      </c>
      <c r="G1937" s="3" t="s">
        <v>4692</v>
      </c>
    </row>
    <row r="1938">
      <c r="A1938" s="3" t="s">
        <v>7723</v>
      </c>
      <c r="B1938" s="4" t="str">
        <f>IFERROR(__xludf.DUMMYFUNCTION("GOOGLETRANSLATE(A1938, ""en"", ""te"")"),"ఆనంద్ కాబులి చనా")</f>
        <v>ఆనంద్ కాబులి చనా</v>
      </c>
      <c r="C1938" s="4" t="str">
        <f>IFERROR(__xludf.DUMMYFUNCTION("GOOGLETRANSLATE(A1938, ""en"", ""hi"")"),"आनंद काबुली चना")</f>
        <v>आनंद काबुली चना</v>
      </c>
      <c r="D1938" s="2" t="s">
        <v>3861</v>
      </c>
      <c r="E1938" s="2" t="s">
        <v>1038</v>
      </c>
      <c r="F1938" s="1">
        <v>4.0</v>
      </c>
      <c r="G1938" s="3" t="s">
        <v>4692</v>
      </c>
    </row>
    <row r="1939">
      <c r="A1939" s="3" t="s">
        <v>703</v>
      </c>
      <c r="B1939" s="4" t="str">
        <f>IFERROR(__xludf.DUMMYFUNCTION("GOOGLETRANSLATE(A1939, ""en"", ""te"")"),"ఆనంద్ కచోరి")</f>
        <v>ఆనంద్ కచోరి</v>
      </c>
      <c r="C1939" s="4" t="str">
        <f>IFERROR(__xludf.DUMMYFUNCTION("GOOGLETRANSLATE(A1939, ""en"", ""hi"")"),"आनंद कचौरी")</f>
        <v>आनंद कचौरी</v>
      </c>
      <c r="D1939" s="2" t="s">
        <v>7569</v>
      </c>
      <c r="E1939" s="2" t="s">
        <v>1294</v>
      </c>
      <c r="F1939" s="1">
        <v>4.0</v>
      </c>
      <c r="G1939" s="3" t="s">
        <v>4692</v>
      </c>
    </row>
    <row r="1940">
      <c r="A1940" s="3" t="s">
        <v>7765</v>
      </c>
      <c r="B1940" s="4" t="str">
        <f>IFERROR(__xludf.DUMMYFUNCTION("GOOGLETRANSLATE(A1940, ""en"", ""te"")"),"ఆనంద్ జలపెనో మురుక్కు స్టిక్")</f>
        <v>ఆనంద్ జలపెనో మురుక్కు స్టిక్</v>
      </c>
      <c r="C1940" s="4" t="str">
        <f>IFERROR(__xludf.DUMMYFUNCTION("GOOGLETRANSLATE(A1940, ""en"", ""hi"")"),"आनंद जलपेनो मुरुक्कू स्टिक")</f>
        <v>आनंद जलपेनो मुरुक्कू स्टिक</v>
      </c>
      <c r="D1940" s="2" t="s">
        <v>7553</v>
      </c>
      <c r="E1940" s="2" t="s">
        <v>1294</v>
      </c>
      <c r="F1940" s="1">
        <v>4.0</v>
      </c>
      <c r="G1940" s="3" t="s">
        <v>4692</v>
      </c>
    </row>
    <row r="1941">
      <c r="A1941" s="3" t="s">
        <v>7766</v>
      </c>
      <c r="B1941" s="4" t="str">
        <f>IFERROR(__xludf.DUMMYFUNCTION("GOOGLETRANSLATE(A1941, ""en"", ""te"")"),"ఆనంద్ పనసపండు")</f>
        <v>ఆనంద్ పనసపండు</v>
      </c>
      <c r="C1941" s="4" t="str">
        <f>IFERROR(__xludf.DUMMYFUNCTION("GOOGLETRANSLATE(A1941, ""en"", ""hi"")"),"आनंद कटहल")</f>
        <v>आनंद कटहल</v>
      </c>
      <c r="D1941" s="5"/>
      <c r="E1941" s="2" t="s">
        <v>2700</v>
      </c>
      <c r="F1941" s="1">
        <v>4.0</v>
      </c>
      <c r="G1941" s="3" t="s">
        <v>4692</v>
      </c>
    </row>
    <row r="1942">
      <c r="A1942" s="3" t="s">
        <v>7767</v>
      </c>
      <c r="B1942" s="4" t="str">
        <f>IFERROR(__xludf.DUMMYFUNCTION("GOOGLETRANSLATE(A1942, ""en"", ""te"")"),"యూరో లా సోయా స్టిక్స్")</f>
        <v>యూరో లా సోయా స్టిక్స్</v>
      </c>
      <c r="C1942" s="4" t="str">
        <f>IFERROR(__xludf.DUMMYFUNCTION("GOOGLETRANSLATE(A1942, ""en"", ""hi"")"),"यूरो ला सोया स्टिक्स")</f>
        <v>यूरो ला सोया स्टिक्स</v>
      </c>
      <c r="D1942" s="5"/>
      <c r="E1942" s="2" t="s">
        <v>54</v>
      </c>
      <c r="F1942" s="1">
        <v>4.0</v>
      </c>
      <c r="G1942" s="3" t="s">
        <v>4924</v>
      </c>
    </row>
    <row r="1943">
      <c r="A1943" s="3" t="s">
        <v>7743</v>
      </c>
      <c r="B1943" s="4" t="str">
        <f>IFERROR(__xludf.DUMMYFUNCTION("GOOGLETRANSLATE(A1943, ""en"", ""te"")"),"యూరో మద్రాసీ మిక్స్")</f>
        <v>యూరో మద్రాసీ మిక్స్</v>
      </c>
      <c r="C1943" s="4" t="str">
        <f>IFERROR(__xludf.DUMMYFUNCTION("GOOGLETRANSLATE(A1943, ""en"", ""hi"")"),"यूरो मद्रासी मिक्स")</f>
        <v>यूरो मद्रासी मिक्स</v>
      </c>
      <c r="D1943" s="2" t="s">
        <v>7028</v>
      </c>
      <c r="E1943" s="2" t="s">
        <v>1294</v>
      </c>
      <c r="F1943" s="1">
        <v>4.0</v>
      </c>
      <c r="G1943" s="3" t="s">
        <v>4924</v>
      </c>
    </row>
    <row r="1944">
      <c r="A1944" s="3" t="s">
        <v>7724</v>
      </c>
      <c r="B1944" s="4" t="str">
        <f>IFERROR(__xludf.DUMMYFUNCTION("GOOGLETRANSLATE(A1944, ""en"", ""te"")"),"యూరో మసాలా బూందీ")</f>
        <v>యూరో మసాలా బూందీ</v>
      </c>
      <c r="C1944" s="4" t="str">
        <f>IFERROR(__xludf.DUMMYFUNCTION("GOOGLETRANSLATE(A1944, ""en"", ""hi"")"),"यूरो मसाला बूंदी")</f>
        <v>यूरो मसाला बूंदी</v>
      </c>
      <c r="D1944" s="5"/>
      <c r="E1944" s="2" t="s">
        <v>442</v>
      </c>
      <c r="F1944" s="1">
        <v>4.0</v>
      </c>
      <c r="G1944" s="3" t="s">
        <v>4924</v>
      </c>
    </row>
    <row r="1945">
      <c r="A1945" s="3" t="s">
        <v>7725</v>
      </c>
      <c r="B1945" s="4" t="str">
        <f>IFERROR(__xludf.DUMMYFUNCTION("GOOGLETRANSLATE(A1945, ""en"", ""te"")"),"యూరో మెథి పూరి")</f>
        <v>యూరో మెథి పూరి</v>
      </c>
      <c r="C1945" s="4" t="str">
        <f>IFERROR(__xludf.DUMMYFUNCTION("GOOGLETRANSLATE(A1945, ""en"", ""hi"")"),"यूरो मेथी पुरी")</f>
        <v>यूरो मेथी पुरी</v>
      </c>
      <c r="D1945" s="5"/>
      <c r="E1945" s="2" t="s">
        <v>2649</v>
      </c>
      <c r="F1945" s="1">
        <v>4.0</v>
      </c>
      <c r="G1945" s="3" t="s">
        <v>4924</v>
      </c>
    </row>
    <row r="1946">
      <c r="A1946" s="3" t="s">
        <v>7703</v>
      </c>
      <c r="B1946" s="4" t="str">
        <f>IFERROR(__xludf.DUMMYFUNCTION("GOOGLETRANSLATE(A1946, ""en"", ""te"")"),"యూరో గార్లిక్ చివ్డా")</f>
        <v>యూరో గార్లిక్ చివ్డా</v>
      </c>
      <c r="C1946" s="4" t="str">
        <f>IFERROR(__xludf.DUMMYFUNCTION("GOOGLETRANSLATE(A1946, ""en"", ""hi"")"),"यूरो गार्लिक चिवड़ा")</f>
        <v>यूरो गार्लिक चिवड़ा</v>
      </c>
      <c r="D1946" s="2" t="s">
        <v>2604</v>
      </c>
      <c r="E1946" s="2" t="s">
        <v>1294</v>
      </c>
      <c r="F1946" s="1">
        <v>4.0</v>
      </c>
      <c r="G1946" s="3" t="s">
        <v>4924</v>
      </c>
    </row>
    <row r="1947">
      <c r="A1947" s="3" t="s">
        <v>7704</v>
      </c>
      <c r="B1947" s="4" t="str">
        <f>IFERROR(__xludf.DUMMYFUNCTION("GOOGLETRANSLATE(A1947, ""en"", ""te"")"),"యూరో డాల్ చిమ్మట")</f>
        <v>యూరో డాల్ చిమ్మట</v>
      </c>
      <c r="C1947" s="4" t="str">
        <f>IFERROR(__xludf.DUMMYFUNCTION("GOOGLETRANSLATE(A1947, ""en"", ""hi"")"),"यूरो दाल मोथ")</f>
        <v>यूरो दाल मोथ</v>
      </c>
      <c r="D1947" s="5"/>
      <c r="E1947" s="2" t="s">
        <v>1038</v>
      </c>
      <c r="F1947" s="1">
        <v>4.0</v>
      </c>
      <c r="G1947" s="3" t="s">
        <v>4924</v>
      </c>
    </row>
    <row r="1948">
      <c r="A1948" s="3" t="s">
        <v>7705</v>
      </c>
      <c r="B1948" s="4" t="str">
        <f>IFERROR(__xludf.DUMMYFUNCTION("GOOGLETRANSLATE(A1948, ""en"", ""te"")"),"యూరో డ్రై కచోరి")</f>
        <v>యూరో డ్రై కచోరి</v>
      </c>
      <c r="C1948" s="4" t="str">
        <f>IFERROR(__xludf.DUMMYFUNCTION("GOOGLETRANSLATE(A1948, ""en"", ""hi"")"),"यूरो ड्राई कचौरी")</f>
        <v>यूरो ड्राई कचौरी</v>
      </c>
      <c r="D1948" s="5"/>
      <c r="E1948" s="2" t="s">
        <v>1294</v>
      </c>
      <c r="F1948" s="1">
        <v>4.0</v>
      </c>
      <c r="G1948" s="3" t="s">
        <v>4924</v>
      </c>
    </row>
    <row r="1949">
      <c r="A1949" s="3" t="s">
        <v>7706</v>
      </c>
      <c r="B1949" s="4" t="str">
        <f>IFERROR(__xludf.DUMMYFUNCTION("GOOGLETRANSLATE(A1949, ""en"", ""te"")"),"యూరో చనా దాల్")</f>
        <v>యూరో చనా దాల్</v>
      </c>
      <c r="C1949" s="4" t="str">
        <f>IFERROR(__xludf.DUMMYFUNCTION("GOOGLETRANSLATE(A1949, ""en"", ""hi"")"),"यूरो चना दाल")</f>
        <v>यूरो चना दाल</v>
      </c>
      <c r="D1949" s="2" t="s">
        <v>3861</v>
      </c>
      <c r="E1949" s="2" t="s">
        <v>1038</v>
      </c>
      <c r="F1949" s="1">
        <v>4.0</v>
      </c>
      <c r="G1949" s="3" t="s">
        <v>4924</v>
      </c>
    </row>
    <row r="1950">
      <c r="A1950" s="3" t="s">
        <v>7729</v>
      </c>
      <c r="B1950" s="4" t="str">
        <f>IFERROR(__xludf.DUMMYFUNCTION("GOOGLETRANSLATE(A1950, ""en"", ""te"")"),"హల్దీరామ్స్ భుజియా")</f>
        <v>హల్దీరామ్స్ భుజియా</v>
      </c>
      <c r="C1950" s="4" t="str">
        <f>IFERROR(__xludf.DUMMYFUNCTION("GOOGLETRANSLATE(A1950, ""en"", ""hi"")"),"हल्दीराम की भुजिया")</f>
        <v>हल्दीराम की भुजिया</v>
      </c>
      <c r="D1950" s="2" t="s">
        <v>7557</v>
      </c>
      <c r="E1950" s="2" t="s">
        <v>1294</v>
      </c>
      <c r="F1950" s="1">
        <v>4.0</v>
      </c>
      <c r="G1950" s="3" t="s">
        <v>292</v>
      </c>
    </row>
    <row r="1951">
      <c r="A1951" s="3" t="s">
        <v>7526</v>
      </c>
      <c r="B1951" s="4" t="str">
        <f>IFERROR(__xludf.DUMMYFUNCTION("GOOGLETRANSLATE(A1951, ""en"", ""te"")"),"హల్దీరామ్స్ ఆలూ భుజియా")</f>
        <v>హల్దీరామ్స్ ఆలూ భుజియా</v>
      </c>
      <c r="C1951" s="4" t="str">
        <f>IFERROR(__xludf.DUMMYFUNCTION("GOOGLETRANSLATE(A1951, ""en"", ""hi"")"),"हल्दीराम की आलू भुजिया")</f>
        <v>हल्दीराम की आलू भुजिया</v>
      </c>
      <c r="D1951" s="2" t="s">
        <v>7527</v>
      </c>
      <c r="E1951" s="2" t="s">
        <v>1294</v>
      </c>
      <c r="F1951" s="1">
        <v>4.0</v>
      </c>
      <c r="G1951" s="3" t="s">
        <v>292</v>
      </c>
    </row>
    <row r="1952">
      <c r="A1952" s="3" t="s">
        <v>7528</v>
      </c>
      <c r="B1952" s="4" t="str">
        <f>IFERROR(__xludf.DUMMYFUNCTION("GOOGLETRANSLATE(A1952, ""en"", ""te"")"),"హల్దీరామ్స్ ఆల్ ఇన్ వన్")</f>
        <v>హల్దీరామ్స్ ఆల్ ఇన్ వన్</v>
      </c>
      <c r="C1952" s="4" t="str">
        <f>IFERROR(__xludf.DUMMYFUNCTION("GOOGLETRANSLATE(A1952, ""en"", ""hi"")"),"हल्दीराम का ऑल इन वन")</f>
        <v>हल्दीराम का ऑल इन वन</v>
      </c>
      <c r="D1952" s="5"/>
      <c r="E1952" s="2" t="s">
        <v>940</v>
      </c>
      <c r="F1952" s="1">
        <v>4.0</v>
      </c>
      <c r="G1952" s="3" t="s">
        <v>292</v>
      </c>
    </row>
    <row r="1953">
      <c r="A1953" s="3" t="s">
        <v>7768</v>
      </c>
      <c r="B1953" s="4" t="str">
        <f>IFERROR(__xludf.DUMMYFUNCTION("GOOGLETRANSLATE(A1953, ""en"", ""te"")"),"హల్దీరామ్ యొక్క కుచ్-కుచ్")</f>
        <v>హల్దీరామ్ యొక్క కుచ్-కుచ్</v>
      </c>
      <c r="C1953" s="4" t="str">
        <f>IFERROR(__xludf.DUMMYFUNCTION("GOOGLETRANSLATE(A1953, ""en"", ""hi"")"),"हल्दीराम की कुछ-कुछ")</f>
        <v>हल्दीराम की कुछ-कुछ</v>
      </c>
      <c r="D1953" s="5"/>
      <c r="E1953" s="2" t="s">
        <v>3438</v>
      </c>
      <c r="F1953" s="1">
        <v>4.0</v>
      </c>
      <c r="G1953" s="3" t="s">
        <v>292</v>
      </c>
    </row>
    <row r="1954">
      <c r="A1954" s="3" t="s">
        <v>7530</v>
      </c>
      <c r="B1954" s="4" t="str">
        <f>IFERROR(__xludf.DUMMYFUNCTION("GOOGLETRANSLATE(A1954, ""en"", ""te"")"),"రాజు భాత కని")</f>
        <v>రాజు భాత కని</v>
      </c>
      <c r="C1954" s="4" t="str">
        <f>IFERROR(__xludf.DUMMYFUNCTION("GOOGLETRANSLATE(A1954, ""en"", ""hi"")"),"राजू भाथा कानी")</f>
        <v>राजू भाथा कानी</v>
      </c>
      <c r="D1954" s="2" t="s">
        <v>7531</v>
      </c>
      <c r="E1954" s="2" t="s">
        <v>67</v>
      </c>
      <c r="F1954" s="1">
        <v>4.0</v>
      </c>
      <c r="G1954" s="3" t="s">
        <v>292</v>
      </c>
    </row>
    <row r="1955">
      <c r="A1955" s="3" t="s">
        <v>7769</v>
      </c>
      <c r="B1955" s="4" t="str">
        <f>IFERROR(__xludf.DUMMYFUNCTION("GOOGLETRANSLATE(A1955, ""en"", ""te"")"),"మిర్చ్ మసాలా కార్న్ చెద్దా")</f>
        <v>మిర్చ్ మసాలా కార్న్ చెద్దా</v>
      </c>
      <c r="C1955" s="4" t="str">
        <f>IFERROR(__xludf.DUMMYFUNCTION("GOOGLETRANSLATE(A1955, ""en"", ""hi"")"),"मिर्च मसाला कॉर्न चेड्डा")</f>
        <v>मिर्च मसाला कॉर्न चेड्डा</v>
      </c>
      <c r="D1955" s="5"/>
      <c r="E1955" s="2" t="s">
        <v>1294</v>
      </c>
      <c r="F1955" s="1">
        <v>4.0</v>
      </c>
      <c r="G1955" s="3" t="s">
        <v>7053</v>
      </c>
    </row>
    <row r="1956">
      <c r="A1956" s="3" t="s">
        <v>7761</v>
      </c>
      <c r="B1956" s="4" t="str">
        <f>IFERROR(__xludf.DUMMYFUNCTION("GOOGLETRANSLATE(A1956, ""en"", ""te"")"),"మిర్చ్ మసాలా చనా దాల్")</f>
        <v>మిర్చ్ మసాలా చనా దాల్</v>
      </c>
      <c r="C1956" s="4" t="str">
        <f>IFERROR(__xludf.DUMMYFUNCTION("GOOGLETRANSLATE(A1956, ""en"", ""hi"")"),"मिर्च मसाला चना दाल")</f>
        <v>मिर्च मसाला चना दाल</v>
      </c>
      <c r="D1956" s="2" t="s">
        <v>3379</v>
      </c>
      <c r="E1956" s="2" t="s">
        <v>1038</v>
      </c>
      <c r="F1956" s="1">
        <v>4.0</v>
      </c>
      <c r="G1956" s="3" t="s">
        <v>7053</v>
      </c>
    </row>
    <row r="1957">
      <c r="A1957" s="3" t="s">
        <v>4639</v>
      </c>
      <c r="B1957" s="4" t="str">
        <f>IFERROR(__xludf.DUMMYFUNCTION("GOOGLETRANSLATE(A1957, ""en"", ""te"")"),"మిర్చ్ మసాలా బూందీ")</f>
        <v>మిర్చ్ మసాలా బూందీ</v>
      </c>
      <c r="C1957" s="4" t="str">
        <f>IFERROR(__xludf.DUMMYFUNCTION("GOOGLETRANSLATE(A1957, ""en"", ""hi"")"),"मिर्च मसाला बूंदी")</f>
        <v>मिर्च मसाला बूंदी</v>
      </c>
      <c r="D1957" s="5"/>
      <c r="E1957" s="2" t="s">
        <v>1294</v>
      </c>
      <c r="F1957" s="1">
        <v>4.0</v>
      </c>
      <c r="G1957" s="3" t="s">
        <v>7053</v>
      </c>
    </row>
    <row r="1958">
      <c r="A1958" s="3" t="s">
        <v>7762</v>
      </c>
      <c r="B1958" s="4" t="str">
        <f>IFERROR(__xludf.DUMMYFUNCTION("GOOGLETRANSLATE(A1958, ""en"", ""te"")"),"సెరోయ్ పకోడా")</f>
        <v>సెరోయ్ పకోడా</v>
      </c>
      <c r="C1958" s="4" t="str">
        <f>IFERROR(__xludf.DUMMYFUNCTION("GOOGLETRANSLATE(A1958, ""en"", ""hi"")"),"सेरॉय पकोड़ा")</f>
        <v>सेरॉय पकोड़ा</v>
      </c>
      <c r="D1958" s="5"/>
      <c r="E1958" s="2" t="s">
        <v>1294</v>
      </c>
      <c r="F1958" s="1">
        <v>4.0</v>
      </c>
      <c r="G1958" s="3" t="s">
        <v>7053</v>
      </c>
    </row>
    <row r="1959">
      <c r="A1959" s="3" t="s">
        <v>7770</v>
      </c>
      <c r="B1959" s="4" t="str">
        <f>IFERROR(__xludf.DUMMYFUNCTION("GOOGLETRANSLATE(A1959, ""en"", ""te"")"),"చెన్నై స్పెషల్ చోళం రిబ్బన్")</f>
        <v>చెన్నై స్పెషల్ చోళం రిబ్బన్</v>
      </c>
      <c r="C1959" s="4" t="str">
        <f>IFERROR(__xludf.DUMMYFUNCTION("GOOGLETRANSLATE(A1959, ""en"", ""hi"")"),"चेन्नई स्पेशल चोलम रिबन")</f>
        <v>चेन्नई स्पेशल चोलम रिबन</v>
      </c>
      <c r="D1959" s="5"/>
      <c r="E1959" s="2" t="s">
        <v>9</v>
      </c>
      <c r="F1959" s="1">
        <v>4.0</v>
      </c>
      <c r="G1959" s="3" t="s">
        <v>7053</v>
      </c>
    </row>
    <row r="1960">
      <c r="A1960" s="3" t="s">
        <v>7716</v>
      </c>
      <c r="B1960" s="4" t="str">
        <f>IFERROR(__xludf.DUMMYFUNCTION("GOOGLETRANSLATE(A1960, ""en"", ""te"")"),"బి.కె. పంజాబీ మిక్స్")</f>
        <v>బి.కె. పంజాబీ మిక్స్</v>
      </c>
      <c r="C1960" s="4" t="str">
        <f>IFERROR(__xludf.DUMMYFUNCTION("GOOGLETRANSLATE(A1960, ""en"", ""hi"")"),"बी.के. पंजाबी मिक्स")</f>
        <v>बी.के. पंजाबी मिक्स</v>
      </c>
      <c r="D1960" s="2" t="s">
        <v>7717</v>
      </c>
      <c r="E1960" s="2" t="s">
        <v>1294</v>
      </c>
      <c r="F1960" s="1">
        <v>4.0</v>
      </c>
      <c r="G1960" s="3" t="s">
        <v>7053</v>
      </c>
    </row>
    <row r="1961">
      <c r="A1961" s="3" t="s">
        <v>7536</v>
      </c>
      <c r="B1961" s="4" t="str">
        <f>IFERROR(__xludf.DUMMYFUNCTION("GOOGLETRANSLATE(A1961, ""en"", ""te"")"),"శ్వేత తెలుగు శకినాలు")</f>
        <v>శ్వేత తెలుగు శకినాలు</v>
      </c>
      <c r="C1961" s="4" t="str">
        <f>IFERROR(__xludf.DUMMYFUNCTION("GOOGLETRANSLATE(A1961, ""en"", ""hi"")"),"श्वेता तेलुगु सकीनालू")</f>
        <v>श्वेता तेलुगु सकीनालू</v>
      </c>
      <c r="D1961" s="2" t="s">
        <v>7537</v>
      </c>
      <c r="E1961" s="2" t="s">
        <v>1294</v>
      </c>
      <c r="F1961" s="1">
        <v>4.0</v>
      </c>
      <c r="G1961" s="3" t="s">
        <v>4469</v>
      </c>
    </row>
    <row r="1962">
      <c r="A1962" s="3" t="s">
        <v>7754</v>
      </c>
      <c r="B1962" s="4" t="str">
        <f>IFERROR(__xludf.DUMMYFUNCTION("GOOGLETRANSLATE(A1962, ""en"", ""te"")"),"శ్వేత తెలుగు స్పైసీ సాకినాలు")</f>
        <v>శ్వేత తెలుగు స్పైసీ సాకినాలు</v>
      </c>
      <c r="C1962" s="4" t="str">
        <f>IFERROR(__xludf.DUMMYFUNCTION("GOOGLETRANSLATE(A1962, ""en"", ""hi"")"),"श्वेता तेलुगु स्पाइसी सकीनालू")</f>
        <v>श्वेता तेलुगु स्पाइसी सकीनालू</v>
      </c>
      <c r="D1962" s="2" t="s">
        <v>7537</v>
      </c>
      <c r="E1962" s="2" t="s">
        <v>1294</v>
      </c>
      <c r="F1962" s="1">
        <v>4.0</v>
      </c>
      <c r="G1962" s="3" t="s">
        <v>4469</v>
      </c>
    </row>
    <row r="1963">
      <c r="A1963" s="3" t="s">
        <v>7538</v>
      </c>
      <c r="B1963" s="4" t="str">
        <f>IFERROR(__xludf.DUMMYFUNCTION("GOOGLETRANSLATE(A1963, ""en"", ""te"")"),"శ్వేత తెలుగు సన్న కరపుస")</f>
        <v>శ్వేత తెలుగు సన్న కరపుస</v>
      </c>
      <c r="C1963" s="4" t="str">
        <f>IFERROR(__xludf.DUMMYFUNCTION("GOOGLETRANSLATE(A1963, ""en"", ""hi"")"),"श्वेता तेलुगु सन्ना करापुसा")</f>
        <v>श्वेता तेलुगु सन्ना करापुसा</v>
      </c>
      <c r="D1963" s="5"/>
      <c r="E1963" s="2" t="s">
        <v>1294</v>
      </c>
      <c r="F1963" s="1">
        <v>4.0</v>
      </c>
      <c r="G1963" s="3" t="s">
        <v>4469</v>
      </c>
    </row>
    <row r="1964">
      <c r="A1964" s="3" t="s">
        <v>7539</v>
      </c>
      <c r="B1964" s="4" t="str">
        <f>IFERROR(__xludf.DUMMYFUNCTION("GOOGLETRANSLATE(A1964, ""en"", ""te"")"),"శ్వేత తెలుగు పోహా మిశ్రమం")</f>
        <v>శ్వేత తెలుగు పోహా మిశ్రమం</v>
      </c>
      <c r="C1964" s="4" t="str">
        <f>IFERROR(__xludf.DUMMYFUNCTION("GOOGLETRANSLATE(A1964, ""en"", ""hi"")"),"श्वेता तेलुगु पोहा मिश्रण")</f>
        <v>श्वेता तेलुगु पोहा मिश्रण</v>
      </c>
      <c r="D1964" s="2" t="s">
        <v>7537</v>
      </c>
      <c r="E1964" s="2" t="s">
        <v>1294</v>
      </c>
      <c r="F1964" s="1">
        <v>4.0</v>
      </c>
      <c r="G1964" s="3" t="s">
        <v>4469</v>
      </c>
    </row>
    <row r="1965">
      <c r="A1965" s="3" t="s">
        <v>7771</v>
      </c>
      <c r="B1965" s="4" t="str">
        <f>IFERROR(__xludf.DUMMYFUNCTION("GOOGLETRANSLATE(A1965, ""en"", ""te"")"),"శ్వేత తెలుగు పప్పు చెకోడి")</f>
        <v>శ్వేత తెలుగు పప్పు చెకోడి</v>
      </c>
      <c r="C1965" s="4" t="str">
        <f>IFERROR(__xludf.DUMMYFUNCTION("GOOGLETRANSLATE(A1965, ""en"", ""hi"")"),"श्वेता तेलुगु पप्पू चेकोडी")</f>
        <v>श्वेता तेलुगु पप्पू चेकोडी</v>
      </c>
      <c r="D1965" s="2" t="s">
        <v>7537</v>
      </c>
      <c r="E1965" s="2" t="s">
        <v>1294</v>
      </c>
      <c r="F1965" s="1">
        <v>4.0</v>
      </c>
      <c r="G1965" s="3" t="s">
        <v>4469</v>
      </c>
    </row>
    <row r="1966">
      <c r="A1966" s="3" t="s">
        <v>7541</v>
      </c>
      <c r="B1966" s="4" t="str">
        <f>IFERROR(__xludf.DUMMYFUNCTION("GOOGLETRANSLATE(A1966, ""en"", ""te"")"),"శ్వేత తెలుగు ముల్లు మురుకులు")</f>
        <v>శ్వేత తెలుగు ముల్లు మురుకులు</v>
      </c>
      <c r="C1966" s="4" t="str">
        <f>IFERROR(__xludf.DUMMYFUNCTION("GOOGLETRANSLATE(A1966, ""en"", ""hi"")"),"श्वेता तेलुगु मुल्लू मुरुकुलु")</f>
        <v>श्वेता तेलुगु मुल्लू मुरुकुलु</v>
      </c>
      <c r="D1966" s="2" t="s">
        <v>7542</v>
      </c>
      <c r="E1966" s="2" t="s">
        <v>1294</v>
      </c>
      <c r="F1966" s="1">
        <v>4.0</v>
      </c>
      <c r="G1966" s="3" t="s">
        <v>4469</v>
      </c>
    </row>
    <row r="1967">
      <c r="A1967" s="3" t="s">
        <v>7772</v>
      </c>
      <c r="B1967" s="4" t="str">
        <f>IFERROR(__xludf.DUMMYFUNCTION("GOOGLETRANSLATE(A1967, ""en"", ""te"")"),"మురుకు రైస్ స్నాక్స్")</f>
        <v>మురుకు రైస్ స్నాక్స్</v>
      </c>
      <c r="C1967" s="4" t="str">
        <f>IFERROR(__xludf.DUMMYFUNCTION("GOOGLETRANSLATE(A1967, ""en"", ""hi"")"),"मुरुकु चावल के स्नैक्स")</f>
        <v>मुरुकु चावल के स्नैक्स</v>
      </c>
      <c r="D1967" s="2" t="s">
        <v>7773</v>
      </c>
      <c r="E1967" s="2" t="s">
        <v>9</v>
      </c>
      <c r="F1967" s="1">
        <v>4.0</v>
      </c>
      <c r="G1967" s="3" t="s">
        <v>4480</v>
      </c>
    </row>
    <row r="1968">
      <c r="A1968" s="3" t="s">
        <v>7739</v>
      </c>
      <c r="B1968" s="4" t="str">
        <f>IFERROR(__xludf.DUMMYFUNCTION("GOOGLETRANSLATE(A1968, ""en"", ""te"")"),"ఆనంద్ భాకర్వాడి")</f>
        <v>ఆనంద్ భాకర్వాడి</v>
      </c>
      <c r="C1968" s="4" t="str">
        <f>IFERROR(__xludf.DUMMYFUNCTION("GOOGLETRANSLATE(A1968, ""en"", ""hi"")"),"आनंद भाकरवाड़ी")</f>
        <v>आनंद भाकरवाड़ी</v>
      </c>
      <c r="D1968" s="5"/>
      <c r="E1968" s="2" t="s">
        <v>1294</v>
      </c>
      <c r="F1968" s="1">
        <v>4.0</v>
      </c>
      <c r="G1968" s="3" t="s">
        <v>4480</v>
      </c>
    </row>
    <row r="1969">
      <c r="A1969" s="3" t="s">
        <v>7774</v>
      </c>
      <c r="B1969" s="4" t="str">
        <f>IFERROR(__xludf.DUMMYFUNCTION("GOOGLETRANSLATE(A1969, ""en"", ""te"")"),"ఆనంద్ జలపెనె మురుకు")</f>
        <v>ఆనంద్ జలపెనె మురుకు</v>
      </c>
      <c r="C1969" s="4" t="str">
        <f>IFERROR(__xludf.DUMMYFUNCTION("GOOGLETRANSLATE(A1969, ""en"", ""hi"")"),"आनंद जलापेन मुरुक्कू")</f>
        <v>आनंद जलापेन मुरुक्कू</v>
      </c>
      <c r="D1969" s="2" t="s">
        <v>2357</v>
      </c>
      <c r="E1969" s="2" t="s">
        <v>1294</v>
      </c>
      <c r="F1969" s="1">
        <v>4.0</v>
      </c>
      <c r="G1969" s="3" t="s">
        <v>4480</v>
      </c>
    </row>
    <row r="1970">
      <c r="A1970" s="3" t="s">
        <v>4988</v>
      </c>
      <c r="B1970" s="4" t="str">
        <f>IFERROR(__xludf.DUMMYFUNCTION("GOOGLETRANSLATE(A1970, ""en"", ""te"")"),"నవరతన్ మిక్స్")</f>
        <v>నవరతన్ మిక్స్</v>
      </c>
      <c r="C1970" s="4" t="str">
        <f>IFERROR(__xludf.DUMMYFUNCTION("GOOGLETRANSLATE(A1970, ""en"", ""hi"")"),"नवरतन मिक्स")</f>
        <v>नवरतन मिक्स</v>
      </c>
      <c r="D1970" s="2" t="s">
        <v>7775</v>
      </c>
      <c r="E1970" s="2" t="s">
        <v>442</v>
      </c>
      <c r="F1970" s="1">
        <v>4.0</v>
      </c>
      <c r="G1970" s="3" t="s">
        <v>4692</v>
      </c>
    </row>
    <row r="1971">
      <c r="A1971" s="3" t="s">
        <v>7776</v>
      </c>
      <c r="B1971" s="4" t="str">
        <f>IFERROR(__xludf.DUMMYFUNCTION("GOOGLETRANSLATE(A1971, ""en"", ""te"")"),"లా సోయా స్టిక్స్")</f>
        <v>లా సోయా స్టిక్స్</v>
      </c>
      <c r="C1971" s="4" t="str">
        <f>IFERROR(__xludf.DUMMYFUNCTION("GOOGLETRANSLATE(A1971, ""en"", ""hi"")"),"ला सोया स्टिक्स")</f>
        <v>ला सोया स्टिक्स</v>
      </c>
      <c r="D1971" s="5"/>
      <c r="E1971" s="2" t="s">
        <v>1294</v>
      </c>
      <c r="F1971" s="1">
        <v>4.0</v>
      </c>
      <c r="G1971" s="3" t="s">
        <v>4692</v>
      </c>
    </row>
    <row r="1972">
      <c r="A1972" s="3" t="s">
        <v>7777</v>
      </c>
      <c r="B1972" s="4" t="str">
        <f>IFERROR(__xludf.DUMMYFUNCTION("GOOGLETRANSLATE(A1972, ""en"", ""te"")"),"మద్రాసీ మిక్స్")</f>
        <v>మద్రాసీ మిక్స్</v>
      </c>
      <c r="C1972" s="4" t="str">
        <f>IFERROR(__xludf.DUMMYFUNCTION("GOOGLETRANSLATE(A1972, ""en"", ""hi"")"),"मद्रासी मिक्स")</f>
        <v>मद्रासी मिक्स</v>
      </c>
      <c r="D1972" s="2" t="s">
        <v>7778</v>
      </c>
      <c r="E1972" s="2" t="s">
        <v>1294</v>
      </c>
      <c r="F1972" s="1">
        <v>4.0</v>
      </c>
      <c r="G1972" s="3" t="s">
        <v>4692</v>
      </c>
    </row>
    <row r="1973">
      <c r="A1973" s="3" t="s">
        <v>7744</v>
      </c>
      <c r="B1973" s="4" t="str">
        <f>IFERROR(__xludf.DUMMYFUNCTION("GOOGLETRANSLATE(A1973, ""en"", ""te"")"),"యూరో గార్లిక్ చివ్డా")</f>
        <v>యూరో గార్లిక్ చివ్డా</v>
      </c>
      <c r="C1973" s="4" t="str">
        <f>IFERROR(__xludf.DUMMYFUNCTION("GOOGLETRANSLATE(A1973, ""en"", ""hi"")"),"यूरो गार्लिक चिवड़ा")</f>
        <v>यूरो गार्लिक चिवड़ा</v>
      </c>
      <c r="D1973" s="2" t="s">
        <v>7745</v>
      </c>
      <c r="E1973" s="2" t="s">
        <v>1294</v>
      </c>
      <c r="F1973" s="1">
        <v>4.0</v>
      </c>
      <c r="G1973" s="3" t="s">
        <v>4692</v>
      </c>
    </row>
    <row r="1974">
      <c r="A1974" s="3" t="s">
        <v>7779</v>
      </c>
      <c r="B1974" s="4" t="str">
        <f>IFERROR(__xludf.DUMMYFUNCTION("GOOGLETRANSLATE(A1974, ""en"", ""te"")"),"యూరో చానా")</f>
        <v>యూరో చానా</v>
      </c>
      <c r="C1974" s="4" t="str">
        <f>IFERROR(__xludf.DUMMYFUNCTION("GOOGLETRANSLATE(A1974, ""en"", ""hi"")"),"यूरो चाना")</f>
        <v>यूरो चाना</v>
      </c>
      <c r="D1974" s="2" t="s">
        <v>1036</v>
      </c>
      <c r="E1974" s="2" t="s">
        <v>1038</v>
      </c>
      <c r="F1974" s="1">
        <v>4.0</v>
      </c>
      <c r="G1974" s="3" t="s">
        <v>4692</v>
      </c>
    </row>
    <row r="1975">
      <c r="A1975" s="3" t="s">
        <v>7605</v>
      </c>
      <c r="B1975" s="4" t="str">
        <f>IFERROR(__xludf.DUMMYFUNCTION("GOOGLETRANSLATE(A1975, ""en"", ""te"")"),"కుర్కురే మసాలా మంచ్")</f>
        <v>కుర్కురే మసాలా మంచ్</v>
      </c>
      <c r="C1975" s="4" t="str">
        <f>IFERROR(__xludf.DUMMYFUNCTION("GOOGLETRANSLATE(A1975, ""en"", ""hi"")"),"कुरकुरे मसाला मंच")</f>
        <v>कुरकुरे मसाला मंच</v>
      </c>
      <c r="D1975" s="5"/>
      <c r="E1975" s="2" t="s">
        <v>1294</v>
      </c>
      <c r="F1975" s="1">
        <v>4.0</v>
      </c>
      <c r="G1975" s="3" t="s">
        <v>4924</v>
      </c>
    </row>
    <row r="1976">
      <c r="A1976" s="3" t="s">
        <v>7780</v>
      </c>
      <c r="B1976" s="4" t="str">
        <f>IFERROR(__xludf.DUMMYFUNCTION("GOOGLETRANSLATE(A1976, ""en"", ""te"")"),"కుర్కురే గ్రీన్ చట్నీ")</f>
        <v>కుర్కురే గ్రీన్ చట్నీ</v>
      </c>
      <c r="C1976" s="4" t="str">
        <f>IFERROR(__xludf.DUMMYFUNCTION("GOOGLETRANSLATE(A1976, ""en"", ""hi"")"),"कुरकुरे हरी चटनी")</f>
        <v>कुरकुरे हरी चटनी</v>
      </c>
      <c r="D1976" s="5"/>
      <c r="E1976" s="2" t="s">
        <v>996</v>
      </c>
      <c r="F1976" s="1">
        <v>4.0</v>
      </c>
      <c r="G1976" s="3" t="s">
        <v>4924</v>
      </c>
    </row>
    <row r="1977">
      <c r="A1977" s="3" t="s">
        <v>7781</v>
      </c>
      <c r="B1977" s="4" t="str">
        <f>IFERROR(__xludf.DUMMYFUNCTION("GOOGLETRANSLATE(A1977, ""en"", ""te"")"),"జి. పుల్లారెడ్డి మసాలా")</f>
        <v>జి. పుల్లారెడ్డి మసాలా</v>
      </c>
      <c r="C1977" s="4" t="str">
        <f>IFERROR(__xludf.DUMMYFUNCTION("GOOGLETRANSLATE(A1977, ""en"", ""hi"")"),"जी. पुल्ला रेड्डी मसाला")</f>
        <v>जी. पुल्ला रेड्डी मसाला</v>
      </c>
      <c r="D1977" s="2" t="s">
        <v>1070</v>
      </c>
      <c r="E1977" s="2" t="s">
        <v>442</v>
      </c>
      <c r="F1977" s="1">
        <v>4.0</v>
      </c>
      <c r="G1977" s="3" t="s">
        <v>76</v>
      </c>
    </row>
    <row r="1978">
      <c r="A1978" s="3" t="s">
        <v>7761</v>
      </c>
      <c r="B1978" s="4" t="str">
        <f>IFERROR(__xludf.DUMMYFUNCTION("GOOGLETRANSLATE(A1978, ""en"", ""te"")"),"మిర్చ్ మసాలా చనా దాల్")</f>
        <v>మిర్చ్ మసాలా చనా దాల్</v>
      </c>
      <c r="C1978" s="4" t="str">
        <f>IFERROR(__xludf.DUMMYFUNCTION("GOOGLETRANSLATE(A1978, ""en"", ""hi"")"),"मिर्च मसाला चना दाल")</f>
        <v>मिर्च मसाला चना दाल</v>
      </c>
      <c r="D1978" s="2" t="s">
        <v>3379</v>
      </c>
      <c r="E1978" s="2" t="s">
        <v>1038</v>
      </c>
      <c r="F1978" s="1">
        <v>4.0</v>
      </c>
      <c r="G1978" s="3" t="s">
        <v>76</v>
      </c>
    </row>
    <row r="1979">
      <c r="A1979" s="3" t="s">
        <v>7782</v>
      </c>
      <c r="B1979" s="4" t="str">
        <f>IFERROR(__xludf.DUMMYFUNCTION("GOOGLETRANSLATE(A1979, ""en"", ""te"")"),"సెరోయ్ పాక్")</f>
        <v>సెరోయ్ పాక్</v>
      </c>
      <c r="C1979" s="4" t="str">
        <f>IFERROR(__xludf.DUMMYFUNCTION("GOOGLETRANSLATE(A1979, ""en"", ""hi"")"),"सेरॉय पाक")</f>
        <v>सेरॉय पाक</v>
      </c>
      <c r="D1979" s="2" t="s">
        <v>2362</v>
      </c>
      <c r="E1979" s="2" t="s">
        <v>996</v>
      </c>
      <c r="F1979" s="1">
        <v>4.0</v>
      </c>
      <c r="G1979" s="3" t="s">
        <v>76</v>
      </c>
    </row>
    <row r="1980">
      <c r="A1980" s="3" t="s">
        <v>7783</v>
      </c>
      <c r="B1980" s="4" t="str">
        <f>IFERROR(__xludf.DUMMYFUNCTION("GOOGLETRANSLATE(A1980, ""en"", ""te"")"),"శ్వేత తెలుగు సన్న కరపుపూస")</f>
        <v>శ్వేత తెలుగు సన్న కరపుపూస</v>
      </c>
      <c r="C1980" s="4" t="str">
        <f>IFERROR(__xludf.DUMMYFUNCTION("GOOGLETRANSLATE(A1980, ""en"", ""hi"")"),"स्वेता तेलुगु सन्ना करापुपुसा")</f>
        <v>स्वेता तेलुगु सन्ना करापुपुसा</v>
      </c>
      <c r="D1980" s="5"/>
      <c r="E1980" s="2" t="s">
        <v>996</v>
      </c>
      <c r="F1980" s="1">
        <v>4.0</v>
      </c>
      <c r="G1980" s="3" t="s">
        <v>85</v>
      </c>
    </row>
    <row r="1981">
      <c r="A1981" s="3" t="s">
        <v>7539</v>
      </c>
      <c r="B1981" s="4" t="str">
        <f>IFERROR(__xludf.DUMMYFUNCTION("GOOGLETRANSLATE(A1981, ""en"", ""te"")"),"శ్వేత తెలుగు పోహా మిశ్రమం")</f>
        <v>శ్వేత తెలుగు పోహా మిశ్రమం</v>
      </c>
      <c r="C1981" s="4" t="str">
        <f>IFERROR(__xludf.DUMMYFUNCTION("GOOGLETRANSLATE(A1981, ""en"", ""hi"")"),"श्वेता तेलुगु पोहा मिश्रण")</f>
        <v>श्वेता तेलुगु पोहा मिश्रण</v>
      </c>
      <c r="D1981" s="2" t="s">
        <v>7537</v>
      </c>
      <c r="E1981" s="2" t="s">
        <v>1294</v>
      </c>
      <c r="F1981" s="1">
        <v>4.0</v>
      </c>
      <c r="G1981" s="3" t="s">
        <v>85</v>
      </c>
    </row>
    <row r="1982">
      <c r="A1982" s="3" t="s">
        <v>7784</v>
      </c>
      <c r="B1982" s="4" t="str">
        <f>IFERROR(__xludf.DUMMYFUNCTION("GOOGLETRANSLATE(A1982, ""en"", ""te"")"),"ఆనంద్ స్పైసీ మురుక్కు")</f>
        <v>ఆనంద్ స్పైసీ మురుక్కు</v>
      </c>
      <c r="C1982" s="4" t="str">
        <f>IFERROR(__xludf.DUMMYFUNCTION("GOOGLETRANSLATE(A1982, ""en"", ""hi"")"),"आनंद स्पाइसी मुरुक्कू")</f>
        <v>आनंद स्पाइसी मुरुक्कू</v>
      </c>
      <c r="D1982" s="2" t="s">
        <v>7785</v>
      </c>
      <c r="E1982" s="2" t="s">
        <v>1294</v>
      </c>
      <c r="F1982" s="1">
        <v>4.0</v>
      </c>
      <c r="G1982" s="3" t="s">
        <v>114</v>
      </c>
    </row>
    <row r="1983">
      <c r="A1983" s="3" t="s">
        <v>7786</v>
      </c>
      <c r="B1983" s="4" t="str">
        <f>IFERROR(__xludf.DUMMYFUNCTION("GOOGLETRANSLATE(A1983, ""en"", ""te"")"),"ఆనంద్ మురుకు")</f>
        <v>ఆనంద్ మురుకు</v>
      </c>
      <c r="C1983" s="4" t="str">
        <f>IFERROR(__xludf.DUMMYFUNCTION("GOOGLETRANSLATE(A1983, ""en"", ""hi"")"),"आनंद मुरुक्कू")</f>
        <v>आनंद मुरुक्कू</v>
      </c>
      <c r="D1983" s="2" t="s">
        <v>7537</v>
      </c>
      <c r="E1983" s="2" t="s">
        <v>1294</v>
      </c>
      <c r="F1983" s="1">
        <v>4.0</v>
      </c>
      <c r="G1983" s="3" t="s">
        <v>114</v>
      </c>
    </row>
    <row r="1984">
      <c r="A1984" s="3" t="s">
        <v>7763</v>
      </c>
      <c r="B1984" s="4" t="str">
        <f>IFERROR(__xludf.DUMMYFUNCTION("GOOGLETRANSLATE(A1984, ""en"", ""te"")"),"యూరో కేరళ మిశ్రమం")</f>
        <v>యూరో కేరళ మిశ్రమం</v>
      </c>
      <c r="C1984" s="4" t="str">
        <f>IFERROR(__xludf.DUMMYFUNCTION("GOOGLETRANSLATE(A1984, ""en"", ""hi"")"),"यूरो केरल मिश्रण")</f>
        <v>यूरो केरल मिश्रण</v>
      </c>
      <c r="D1984" s="2" t="s">
        <v>7764</v>
      </c>
      <c r="E1984" s="2" t="s">
        <v>1294</v>
      </c>
      <c r="F1984" s="1">
        <v>4.0</v>
      </c>
      <c r="G1984" s="3" t="s">
        <v>114</v>
      </c>
    </row>
    <row r="1985">
      <c r="A1985" s="3" t="s">
        <v>7548</v>
      </c>
      <c r="B1985" s="4" t="str">
        <f>IFERROR(__xludf.DUMMYFUNCTION("GOOGLETRANSLATE(A1985, ""en"", ""te"")"),"ఆనంద్ కప్పలాండి మసాలా")</f>
        <v>ఆనంద్ కప్పలాండి మసాలా</v>
      </c>
      <c r="C1985" s="4" t="str">
        <f>IFERROR(__xludf.DUMMYFUNCTION("GOOGLETRANSLATE(A1985, ""en"", ""hi"")"),"आनंद कप्पलांडी मसाला")</f>
        <v>आनंद कप्पलांडी मसाला</v>
      </c>
      <c r="D1985" s="5"/>
      <c r="E1985" s="2" t="s">
        <v>442</v>
      </c>
      <c r="F1985" s="1">
        <v>4.0</v>
      </c>
      <c r="G1985" s="3" t="s">
        <v>114</v>
      </c>
    </row>
    <row r="1986">
      <c r="A1986" s="3" t="s">
        <v>7787</v>
      </c>
      <c r="B1986" s="4" t="str">
        <f>IFERROR(__xludf.DUMMYFUNCTION("GOOGLETRANSLATE(A1986, ""en"", ""te"")"),"ఆనంద్ నవరతన్ మిక్స్ట్")</f>
        <v>ఆనంద్ నవరతన్ మిక్స్ట్</v>
      </c>
      <c r="C1986" s="4" t="str">
        <f>IFERROR(__xludf.DUMMYFUNCTION("GOOGLETRANSLATE(A1986, ""en"", ""hi"")"),"आनंद नवरतन मिक्स्ट")</f>
        <v>आनंद नवरतन मिक्स्ट</v>
      </c>
      <c r="D1986" s="2" t="s">
        <v>7028</v>
      </c>
      <c r="E1986" s="2" t="s">
        <v>1294</v>
      </c>
      <c r="F1986" s="1">
        <v>4.0</v>
      </c>
      <c r="G1986" s="3" t="s">
        <v>10</v>
      </c>
    </row>
    <row r="1987">
      <c r="A1987" s="3" t="s">
        <v>7788</v>
      </c>
      <c r="B1987" s="4" t="str">
        <f>IFERROR(__xludf.DUMMYFUNCTION("GOOGLETRANSLATE(A1987, ""en"", ""te"")"),"ఆనంద్ లా సోయా వీధి")</f>
        <v>ఆనంద్ లా సోయా వీధి</v>
      </c>
      <c r="C1987" s="4" t="str">
        <f>IFERROR(__xludf.DUMMYFUNCTION("GOOGLETRANSLATE(A1987, ""en"", ""hi"")"),"आनंद ला सोया स्ट्रीट")</f>
        <v>आनंद ला सोया स्ट्रीट</v>
      </c>
      <c r="D1987" s="5"/>
      <c r="E1987" s="2" t="s">
        <v>54</v>
      </c>
      <c r="F1987" s="1">
        <v>4.0</v>
      </c>
      <c r="G1987" s="3" t="s">
        <v>10</v>
      </c>
    </row>
    <row r="1988">
      <c r="A1988" s="3" t="s">
        <v>7789</v>
      </c>
      <c r="B1988" s="4" t="str">
        <f>IFERROR(__xludf.DUMMYFUNCTION("GOOGLETRANSLATE(A1988, ""en"", ""te"")"),"ఆనంద్ అద్రాసి మిక్స్")</f>
        <v>ఆనంద్ అద్రాసి మిక్స్</v>
      </c>
      <c r="C1988" s="4" t="str">
        <f>IFERROR(__xludf.DUMMYFUNCTION("GOOGLETRANSLATE(A1988, ""en"", ""hi"")"),"आनंद आद्रासी मिक्स")</f>
        <v>आनंद आद्रासी मिक्स</v>
      </c>
      <c r="D1988" s="2" t="s">
        <v>2520</v>
      </c>
      <c r="E1988" s="2" t="s">
        <v>442</v>
      </c>
      <c r="F1988" s="1">
        <v>4.0</v>
      </c>
      <c r="G1988" s="3" t="s">
        <v>10</v>
      </c>
    </row>
    <row r="1989">
      <c r="A1989" s="3" t="s">
        <v>7528</v>
      </c>
      <c r="B1989" s="4" t="str">
        <f>IFERROR(__xludf.DUMMYFUNCTION("GOOGLETRANSLATE(A1989, ""en"", ""te"")"),"హల్దీరామ్స్ ఆల్ ఇన్ వన్")</f>
        <v>హల్దీరామ్స్ ఆల్ ఇన్ వన్</v>
      </c>
      <c r="C1989" s="4" t="str">
        <f>IFERROR(__xludf.DUMMYFUNCTION("GOOGLETRANSLATE(A1989, ""en"", ""hi"")"),"हल्दीराम का ऑल इन वन")</f>
        <v>हल्दीराम का ऑल इन वन</v>
      </c>
      <c r="D1989" s="5"/>
      <c r="E1989" s="2" t="s">
        <v>940</v>
      </c>
      <c r="F1989" s="1">
        <v>4.0</v>
      </c>
      <c r="G1989" s="3" t="s">
        <v>7163</v>
      </c>
    </row>
    <row r="1990">
      <c r="A1990" s="3" t="s">
        <v>7530</v>
      </c>
      <c r="B1990" s="4" t="str">
        <f>IFERROR(__xludf.DUMMYFUNCTION("GOOGLETRANSLATE(A1990, ""en"", ""te"")"),"రాజు భాత కని")</f>
        <v>రాజు భాత కని</v>
      </c>
      <c r="C1990" s="4" t="str">
        <f>IFERROR(__xludf.DUMMYFUNCTION("GOOGLETRANSLATE(A1990, ""en"", ""hi"")"),"राजू भाथा कानी")</f>
        <v>राजू भाथा कानी</v>
      </c>
      <c r="D1990" s="2" t="s">
        <v>7531</v>
      </c>
      <c r="E1990" s="2" t="s">
        <v>67</v>
      </c>
      <c r="F1990" s="1">
        <v>4.0</v>
      </c>
      <c r="G1990" s="3" t="s">
        <v>7163</v>
      </c>
    </row>
    <row r="1991">
      <c r="A1991" s="3" t="s">
        <v>7729</v>
      </c>
      <c r="B1991" s="4" t="str">
        <f>IFERROR(__xludf.DUMMYFUNCTION("GOOGLETRANSLATE(A1991, ""en"", ""te"")"),"హల్దీరామ్స్ భుజియా")</f>
        <v>హల్దీరామ్స్ భుజియా</v>
      </c>
      <c r="C1991" s="4" t="str">
        <f>IFERROR(__xludf.DUMMYFUNCTION("GOOGLETRANSLATE(A1991, ""en"", ""hi"")"),"हल्दीराम की भुजिया")</f>
        <v>हल्दीराम की भुजिया</v>
      </c>
      <c r="D1991" s="2" t="s">
        <v>7557</v>
      </c>
      <c r="E1991" s="2" t="s">
        <v>1294</v>
      </c>
      <c r="F1991" s="1">
        <v>4.0</v>
      </c>
      <c r="G1991" s="3" t="s">
        <v>7163</v>
      </c>
    </row>
    <row r="1992">
      <c r="A1992" s="3" t="s">
        <v>7790</v>
      </c>
      <c r="B1992" s="4" t="str">
        <f>IFERROR(__xludf.DUMMYFUNCTION("GOOGLETRANSLATE(A1992, ""en"", ""te"")"),"జి. పుల్లారెడ్డి మురుక్కు")</f>
        <v>జి. పుల్లారెడ్డి మురుక్కు</v>
      </c>
      <c r="C1992" s="4" t="str">
        <f>IFERROR(__xludf.DUMMYFUNCTION("GOOGLETRANSLATE(A1992, ""en"", ""hi"")"),"जी. पुल्ला रेड्डी मुरुक्कू")</f>
        <v>जी. पुल्ला रेड्डी मुरुक्कू</v>
      </c>
      <c r="D1992" s="5"/>
      <c r="E1992" s="2" t="s">
        <v>1294</v>
      </c>
      <c r="F1992" s="1">
        <v>4.0</v>
      </c>
      <c r="G1992" s="3" t="s">
        <v>4419</v>
      </c>
    </row>
    <row r="1993">
      <c r="A1993" s="3" t="s">
        <v>7791</v>
      </c>
      <c r="B1993" s="4" t="str">
        <f>IFERROR(__xludf.DUMMYFUNCTION("GOOGLETRANSLATE(A1993, ""en"", ""te"")"),"శ్వేత తెలుగు ఫుడ్స్ సన్న కరపుసా")</f>
        <v>శ్వేత తెలుగు ఫుడ్స్ సన్న కరపుసా</v>
      </c>
      <c r="C1993" s="4" t="str">
        <f>IFERROR(__xludf.DUMMYFUNCTION("GOOGLETRANSLATE(A1993, ""en"", ""hi"")"),"स्वेता तेलुगु फूड्स सन्ना करापुसा")</f>
        <v>स्वेता तेलुगु फूड्स सन्ना करापुसा</v>
      </c>
      <c r="D1993" s="2" t="s">
        <v>7792</v>
      </c>
      <c r="E1993" s="2" t="s">
        <v>940</v>
      </c>
      <c r="F1993" s="1">
        <v>4.0</v>
      </c>
      <c r="G1993" s="3" t="s">
        <v>4419</v>
      </c>
    </row>
    <row r="1994">
      <c r="A1994" s="3" t="s">
        <v>7793</v>
      </c>
      <c r="B1994" s="4" t="str">
        <f>IFERROR(__xludf.DUMMYFUNCTION("GOOGLETRANSLATE(A1994, ""en"", ""te"")"),"కారిసన్ టోస్ట్ చేసిన మొక్కజొన్న")</f>
        <v>కారిసన్ టోస్ట్ చేసిన మొక్కజొన్న</v>
      </c>
      <c r="C1994" s="4" t="str">
        <f>IFERROR(__xludf.DUMMYFUNCTION("GOOGLETRANSLATE(A1994, ""en"", ""hi"")"),"कारिसन टोस्टेड कॉर्न")</f>
        <v>कारिसन टोस्टेड कॉर्न</v>
      </c>
      <c r="D1994" s="5"/>
      <c r="E1994" s="2" t="s">
        <v>2700</v>
      </c>
      <c r="F1994" s="1">
        <v>4.0</v>
      </c>
      <c r="G1994" s="3" t="s">
        <v>4419</v>
      </c>
    </row>
    <row r="1995">
      <c r="A1995" s="3" t="s">
        <v>7794</v>
      </c>
      <c r="B1995" s="4" t="str">
        <f>IFERROR(__xludf.DUMMYFUNCTION("GOOGLETRANSLATE(A1995, ""en"", ""te"")"),"బికాజీ సుబ్-కుచ్")</f>
        <v>బికాజీ సుబ్-కుచ్</v>
      </c>
      <c r="C1995" s="4" t="str">
        <f>IFERROR(__xludf.DUMMYFUNCTION("GOOGLETRANSLATE(A1995, ""en"", ""hi"")"),"बिकाजी सब-कुछ")</f>
        <v>बिकाजी सब-कुछ</v>
      </c>
      <c r="D1995" s="5"/>
      <c r="E1995" s="2" t="s">
        <v>1294</v>
      </c>
      <c r="F1995" s="1">
        <v>4.0</v>
      </c>
      <c r="G1995" s="3" t="s">
        <v>4419</v>
      </c>
    </row>
    <row r="1996">
      <c r="A1996" s="3" t="s">
        <v>7795</v>
      </c>
      <c r="B1996" s="4" t="str">
        <f>IFERROR(__xludf.DUMMYFUNCTION("GOOGLETRANSLATE(A1996, ""en"", ""te"")"),"బాంబే కిచెన్ పంజాబ్ మిక్స్")</f>
        <v>బాంబే కిచెన్ పంజాబ్ మిక్స్</v>
      </c>
      <c r="C1996" s="4" t="str">
        <f>IFERROR(__xludf.DUMMYFUNCTION("GOOGLETRANSLATE(A1996, ""en"", ""hi"")"),"बॉम्बे किचन पंजाब मिक्स")</f>
        <v>बॉम्बे किचन पंजाब मिक्स</v>
      </c>
      <c r="D1996" s="2" t="s">
        <v>7564</v>
      </c>
      <c r="E1996" s="2" t="s">
        <v>1294</v>
      </c>
      <c r="F1996" s="1">
        <v>4.0</v>
      </c>
      <c r="G1996" s="3" t="s">
        <v>4419</v>
      </c>
    </row>
    <row r="1997">
      <c r="A1997" s="3" t="s">
        <v>7796</v>
      </c>
      <c r="B1997" s="4" t="str">
        <f>IFERROR(__xludf.DUMMYFUNCTION("GOOGLETRANSLATE(A1997, ""en"", ""te"")"),"జి. పుల్లారెడ్డి రిబ్బన్ పకోడి")</f>
        <v>జి. పుల్లారెడ్డి రిబ్బన్ పకోడి</v>
      </c>
      <c r="C1997" s="4" t="str">
        <f>IFERROR(__xludf.DUMMYFUNCTION("GOOGLETRANSLATE(A1997, ""en"", ""hi"")"),"जी. पुल्ला रेड्डी रिबन पकोडी")</f>
        <v>जी. पुल्ला रेड्डी रिबन पकोडी</v>
      </c>
      <c r="D1997" s="2" t="s">
        <v>7569</v>
      </c>
      <c r="E1997" s="2" t="s">
        <v>1294</v>
      </c>
      <c r="F1997" s="1">
        <v>4.0</v>
      </c>
      <c r="G1997" s="3" t="s">
        <v>4434</v>
      </c>
    </row>
    <row r="1998">
      <c r="A1998" s="3" t="s">
        <v>7797</v>
      </c>
      <c r="B1998" s="4" t="str">
        <f>IFERROR(__xludf.DUMMYFUNCTION("GOOGLETRANSLATE(A1998, ""en"", ""te"")"),"జి. పుల్లా రెడ్డి నవరత్నాల మిశ్రమం")</f>
        <v>జి. పుల్లా రెడ్డి నవరత్నాల మిశ్రమం</v>
      </c>
      <c r="C1998" s="4" t="str">
        <f>IFERROR(__xludf.DUMMYFUNCTION("GOOGLETRANSLATE(A1998, ""en"", ""hi"")"),"जी पुल्ला रेड्डी नवरत्न मिश्रण")</f>
        <v>जी पुल्ला रेड्डी नवरत्न मिश्रण</v>
      </c>
      <c r="D1998" s="2" t="s">
        <v>4472</v>
      </c>
      <c r="E1998" s="2" t="s">
        <v>1294</v>
      </c>
      <c r="F1998" s="1">
        <v>4.0</v>
      </c>
      <c r="G1998" s="3" t="s">
        <v>4434</v>
      </c>
    </row>
    <row r="1999">
      <c r="A1999" s="3" t="s">
        <v>7798</v>
      </c>
      <c r="B1999" s="4" t="str">
        <f>IFERROR(__xludf.DUMMYFUNCTION("GOOGLETRANSLATE(A1999, ""en"", ""te"")"),"జి. పుల్లారెడ్డి ఆరంపుస")</f>
        <v>జి. పుల్లారెడ్డి ఆరంపుస</v>
      </c>
      <c r="C1999" s="4" t="str">
        <f>IFERROR(__xludf.DUMMYFUNCTION("GOOGLETRANSLATE(A1999, ""en"", ""hi"")"),"जी. पुल्ला रेड्डी अरम्पूसा")</f>
        <v>जी. पुल्ला रेड्डी अरम्पूसा</v>
      </c>
      <c r="D1999" s="2" t="s">
        <v>7569</v>
      </c>
      <c r="E1999" s="2" t="s">
        <v>1294</v>
      </c>
      <c r="F1999" s="1">
        <v>4.0</v>
      </c>
      <c r="G1999" s="3" t="s">
        <v>4434</v>
      </c>
    </row>
    <row r="2000">
      <c r="A2000" s="3" t="s">
        <v>7799</v>
      </c>
      <c r="B2000" s="4" t="str">
        <f>IFERROR(__xludf.DUMMYFUNCTION("GOOGLETRANSLATE(A2000, ""en"", ""te"")"),"జి. పుల్లారెడ్డి అంతికలు")</f>
        <v>జి. పుల్లారెడ్డి అంతికలు</v>
      </c>
      <c r="C2000" s="4" t="str">
        <f>IFERROR(__xludf.DUMMYFUNCTION("GOOGLETRANSLATE(A2000, ""en"", ""hi"")"),"जी. पुल्ला रेड्डी एंथिकालू")</f>
        <v>जी. पुल्ला रेड्डी एंथिकालू</v>
      </c>
      <c r="D2000" s="2" t="s">
        <v>7537</v>
      </c>
      <c r="E2000" s="2" t="s">
        <v>1294</v>
      </c>
      <c r="F2000" s="1">
        <v>4.0</v>
      </c>
      <c r="G2000" s="3" t="s">
        <v>4434</v>
      </c>
    </row>
    <row r="2001">
      <c r="A2001" s="3" t="s">
        <v>7790</v>
      </c>
      <c r="B2001" s="4" t="str">
        <f>IFERROR(__xludf.DUMMYFUNCTION("GOOGLETRANSLATE(A2001, ""en"", ""te"")"),"జి. పుల్లారెడ్డి మురుక్కు")</f>
        <v>జి. పుల్లారెడ్డి మురుక్కు</v>
      </c>
      <c r="C2001" s="4" t="str">
        <f>IFERROR(__xludf.DUMMYFUNCTION("GOOGLETRANSLATE(A2001, ""en"", ""hi"")"),"जी. पुल्ला रेड्डी मुरुक्कू")</f>
        <v>जी. पुल्ला रेड्डी मुरुक्कू</v>
      </c>
      <c r="D2001" s="5"/>
      <c r="E2001" s="2" t="s">
        <v>1294</v>
      </c>
      <c r="F2001" s="1">
        <v>4.0</v>
      </c>
      <c r="G2001" s="3" t="s">
        <v>4434</v>
      </c>
    </row>
    <row r="2002">
      <c r="A2002" s="3" t="s">
        <v>7800</v>
      </c>
      <c r="B2002" s="4" t="str">
        <f>IFERROR(__xludf.DUMMYFUNCTION("GOOGLETRANSLATE(A2002, ""en"", ""te"")"),"ఆనంద్ స్పెషల్ కార్న్‌ఫ్లేక్స్ మిశ్రమం")</f>
        <v>ఆనంద్ స్పెషల్ కార్న్‌ఫ్లేక్స్ మిశ్రమం</v>
      </c>
      <c r="C2002" s="4" t="str">
        <f>IFERROR(__xludf.DUMMYFUNCTION("GOOGLETRANSLATE(A2002, ""en"", ""hi"")"),"आनंद स्पेशल कॉर्नफ्लेक्स मिश्रण")</f>
        <v>आनंद स्पेशल कॉर्नफ्लेक्स मिश्रण</v>
      </c>
      <c r="D2002" s="2" t="s">
        <v>7801</v>
      </c>
      <c r="E2002" s="2" t="s">
        <v>1294</v>
      </c>
      <c r="F2002" s="1">
        <v>4.0</v>
      </c>
      <c r="G2002" s="3" t="s">
        <v>4446</v>
      </c>
    </row>
    <row r="2003">
      <c r="A2003" s="3" t="s">
        <v>7802</v>
      </c>
      <c r="B2003" s="4" t="str">
        <f>IFERROR(__xludf.DUMMYFUNCTION("GOOGLETRANSLATE(A2003, ""en"", ""te"")"),"ఆనంద్ సేవ్ థిన్")</f>
        <v>ఆనంద్ సేవ్ థిన్</v>
      </c>
      <c r="C2003" s="4" t="str">
        <f>IFERROR(__xludf.DUMMYFUNCTION("GOOGLETRANSLATE(A2003, ""en"", ""hi"")"),"आनंद सेव थिन")</f>
        <v>आनंद सेव थिन</v>
      </c>
      <c r="D2003" s="5"/>
      <c r="E2003" s="2" t="s">
        <v>1294</v>
      </c>
      <c r="F2003" s="1">
        <v>4.0</v>
      </c>
      <c r="G2003" s="3" t="s">
        <v>4446</v>
      </c>
    </row>
    <row r="2004">
      <c r="A2004" s="3" t="s">
        <v>7803</v>
      </c>
      <c r="B2004" s="4" t="str">
        <f>IFERROR(__xludf.DUMMYFUNCTION("GOOGLETRANSLATE(A2004, ""en"", ""te"")"),"ఆనంద్ రైస్ మురుక్కు")</f>
        <v>ఆనంద్ రైస్ మురుక్కు</v>
      </c>
      <c r="C2004" s="4" t="str">
        <f>IFERROR(__xludf.DUMMYFUNCTION("GOOGLETRANSLATE(A2004, ""en"", ""hi"")"),"आनंद राइस मुरुक्कू")</f>
        <v>आनंद राइस मुरुक्कू</v>
      </c>
      <c r="D2004" s="2" t="s">
        <v>7773</v>
      </c>
      <c r="E2004" s="2" t="s">
        <v>1294</v>
      </c>
      <c r="F2004" s="1">
        <v>4.0</v>
      </c>
      <c r="G2004" s="3" t="s">
        <v>4446</v>
      </c>
    </row>
    <row r="2005">
      <c r="A2005" s="3" t="s">
        <v>7757</v>
      </c>
      <c r="B2005" s="4" t="str">
        <f>IFERROR(__xludf.DUMMYFUNCTION("GOOGLETRANSLATE(A2005, ""en"", ""te"")"),"ఆనంద్ అరటి చిప్స్")</f>
        <v>ఆనంద్ అరటి చిప్స్</v>
      </c>
      <c r="C2005" s="4" t="str">
        <f>IFERROR(__xludf.DUMMYFUNCTION("GOOGLETRANSLATE(A2005, ""en"", ""hi"")"),"आनंद केले के चिप्स")</f>
        <v>आनंद केले के चिप्स</v>
      </c>
      <c r="D2005" s="2" t="s">
        <v>7758</v>
      </c>
      <c r="E2005" s="2" t="s">
        <v>1294</v>
      </c>
      <c r="F2005" s="1">
        <v>4.0</v>
      </c>
      <c r="G2005" s="3" t="s">
        <v>4446</v>
      </c>
    </row>
    <row r="2006">
      <c r="A2006" s="3" t="s">
        <v>7804</v>
      </c>
      <c r="B2006" s="4" t="str">
        <f>IFERROR(__xludf.DUMMYFUNCTION("GOOGLETRANSLATE(A2006, ""en"", ""te"")"),"ఆనంద్ స్పెషల్ ప్లెయిన్ మురుక్కు")</f>
        <v>ఆనంద్ స్పెషల్ ప్లెయిన్ మురుక్కు</v>
      </c>
      <c r="C2006" s="4" t="str">
        <f>IFERROR(__xludf.DUMMYFUNCTION("GOOGLETRANSLATE(A2006, ""en"", ""hi"")"),"आनंद स्पेशल प्लेन मुरुक्कू")</f>
        <v>आनंद स्पेशल प्लेन मुरुक्कू</v>
      </c>
      <c r="D2006" s="2" t="s">
        <v>7805</v>
      </c>
      <c r="E2006" s="2" t="s">
        <v>1294</v>
      </c>
      <c r="F2006" s="1">
        <v>4.0</v>
      </c>
      <c r="G2006" s="3" t="s">
        <v>4446</v>
      </c>
    </row>
    <row r="2007">
      <c r="A2007" s="3" t="s">
        <v>7806</v>
      </c>
      <c r="B2007" s="4" t="str">
        <f>IFERROR(__xludf.DUMMYFUNCTION("GOOGLETRANSLATE(A2007, ""en"", ""te"")"),"యూరో భెల్ సేవ్")</f>
        <v>యూరో భెల్ సేవ్</v>
      </c>
      <c r="C2007" s="4" t="str">
        <f>IFERROR(__xludf.DUMMYFUNCTION("GOOGLETRANSLATE(A2007, ""en"", ""hi"")"),"यूरो भेल सेव")</f>
        <v>यूरो भेल सेव</v>
      </c>
      <c r="D2007" s="2" t="s">
        <v>7807</v>
      </c>
      <c r="E2007" s="2" t="s">
        <v>1294</v>
      </c>
      <c r="F2007" s="1">
        <v>4.0</v>
      </c>
      <c r="G2007" s="3" t="s">
        <v>329</v>
      </c>
    </row>
    <row r="2008">
      <c r="A2008" s="3" t="s">
        <v>7808</v>
      </c>
      <c r="B2008" s="4" t="str">
        <f>IFERROR(__xludf.DUMMYFUNCTION("GOOGLETRANSLATE(A2008, ""en"", ""te"")"),"యూరో 3 ఇన్ వన్ పూరి")</f>
        <v>యూరో 3 ఇన్ వన్ పూరి</v>
      </c>
      <c r="C2008" s="4" t="str">
        <f>IFERROR(__xludf.DUMMYFUNCTION("GOOGLETRANSLATE(A2008, ""en"", ""hi"")"),"एक पूरी में 3 यूरो")</f>
        <v>एक पूरी में 3 यूरो</v>
      </c>
      <c r="D2008" s="5"/>
      <c r="E2008" s="2" t="s">
        <v>1294</v>
      </c>
      <c r="F2008" s="1">
        <v>4.0</v>
      </c>
      <c r="G2008" s="3" t="s">
        <v>329</v>
      </c>
    </row>
    <row r="2009">
      <c r="A2009" s="3" t="s">
        <v>7809</v>
      </c>
      <c r="B2009" s="4" t="str">
        <f>IFERROR(__xludf.DUMMYFUNCTION("GOOGLETRANSLATE(A2009, ""en"", ""te"")"),"యూరో ఉసల్ సెవ్")</f>
        <v>యూరో ఉసల్ సెవ్</v>
      </c>
      <c r="C2009" s="4" t="str">
        <f>IFERROR(__xludf.DUMMYFUNCTION("GOOGLETRANSLATE(A2009, ""en"", ""hi"")"),"यूरो उसल सेव")</f>
        <v>यूरो उसल सेव</v>
      </c>
      <c r="D2009" s="5"/>
      <c r="E2009" s="2" t="s">
        <v>1294</v>
      </c>
      <c r="F2009" s="1">
        <v>4.0</v>
      </c>
      <c r="G2009" s="3" t="s">
        <v>329</v>
      </c>
    </row>
    <row r="2010">
      <c r="A2010" s="3" t="s">
        <v>7810</v>
      </c>
      <c r="B2010" s="4" t="str">
        <f>IFERROR(__xludf.DUMMYFUNCTION("GOOGLETRANSLATE(A2010, ""en"", ""te"")"),"యూరో రాజస్థానీ మిశ్రమం")</f>
        <v>యూరో రాజస్థానీ మిశ్రమం</v>
      </c>
      <c r="C2010" s="4" t="str">
        <f>IFERROR(__xludf.DUMMYFUNCTION("GOOGLETRANSLATE(A2010, ""en"", ""hi"")"),"यूरो राजस्थानी मिश्रण")</f>
        <v>यूरो राजस्थानी मिश्रण</v>
      </c>
      <c r="D2010" s="2" t="s">
        <v>4054</v>
      </c>
      <c r="E2010" s="2" t="s">
        <v>1294</v>
      </c>
      <c r="F2010" s="1">
        <v>4.0</v>
      </c>
      <c r="G2010" s="3" t="s">
        <v>329</v>
      </c>
    </row>
    <row r="2011">
      <c r="A2011" s="3" t="s">
        <v>7811</v>
      </c>
      <c r="B2011" s="4" t="str">
        <f>IFERROR(__xludf.DUMMYFUNCTION("GOOGLETRANSLATE(A2011, ""en"", ""te"")"),"యూరో నవరతన్ మిక్స్ట్")</f>
        <v>యూరో నవరతన్ మిక్స్ట్</v>
      </c>
      <c r="C2011" s="4" t="str">
        <f>IFERROR(__xludf.DUMMYFUNCTION("GOOGLETRANSLATE(A2011, ""en"", ""hi"")"),"यूरो नवरतन मिक्स्ट")</f>
        <v>यूरो नवरतन मिक्स्ट</v>
      </c>
      <c r="D2011" s="2" t="s">
        <v>7028</v>
      </c>
      <c r="E2011" s="2" t="s">
        <v>1294</v>
      </c>
      <c r="F2011" s="1">
        <v>4.0</v>
      </c>
      <c r="G2011" s="3" t="s">
        <v>329</v>
      </c>
    </row>
    <row r="2012">
      <c r="A2012" s="3" t="s">
        <v>7708</v>
      </c>
      <c r="B2012" s="4" t="str">
        <f>IFERROR(__xludf.DUMMYFUNCTION("GOOGLETRANSLATE(A2012, ""en"", ""te"")"),"యూరో ఆలూ సేవ్")</f>
        <v>యూరో ఆలూ సేవ్</v>
      </c>
      <c r="C2012" s="4" t="str">
        <f>IFERROR(__xludf.DUMMYFUNCTION("GOOGLETRANSLATE(A2012, ""en"", ""hi"")"),"यूरो आलू सेव")</f>
        <v>यूरो आलू सेव</v>
      </c>
      <c r="D2012" s="5"/>
      <c r="E2012" s="2" t="s">
        <v>1294</v>
      </c>
      <c r="F2012" s="1">
        <v>4.0</v>
      </c>
      <c r="G2012" s="3" t="s">
        <v>71</v>
      </c>
    </row>
    <row r="2013">
      <c r="A2013" s="3" t="s">
        <v>7812</v>
      </c>
      <c r="B2013" s="4" t="str">
        <f>IFERROR(__xludf.DUMMYFUNCTION("GOOGLETRANSLATE(A2013, ""en"", ""te"")"),"బికాజీ ఆలూ భుజియా తానా-తాన్")</f>
        <v>బికాజీ ఆలూ భుజియా తానా-తాన్</v>
      </c>
      <c r="C2013" s="4" t="str">
        <f>IFERROR(__xludf.DUMMYFUNCTION("GOOGLETRANSLATE(A2013, ""en"", ""hi"")"),"बिकाजी आलू भुजिया ताना-तान")</f>
        <v>बिकाजी आलू भुजिया ताना-तान</v>
      </c>
      <c r="D2013" s="2" t="s">
        <v>7527</v>
      </c>
      <c r="E2013" s="2" t="s">
        <v>1294</v>
      </c>
      <c r="F2013" s="1">
        <v>4.0</v>
      </c>
      <c r="G2013" s="3" t="s">
        <v>71</v>
      </c>
    </row>
    <row r="2014">
      <c r="A2014" s="3" t="s">
        <v>7813</v>
      </c>
      <c r="B2014" s="4" t="str">
        <f>IFERROR(__xludf.DUMMYFUNCTION("GOOGLETRANSLATE(A2014, ""en"", ""te"")"),"రాజు నమ్కీన్ భాతా కని")</f>
        <v>రాజు నమ్కీన్ భాతా కని</v>
      </c>
      <c r="C2014" s="4" t="str">
        <f>IFERROR(__xludf.DUMMYFUNCTION("GOOGLETRANSLATE(A2014, ""en"", ""hi"")"),"राजू नमकीन भाथा कानी")</f>
        <v>राजू नमकीन भाथा कानी</v>
      </c>
      <c r="D2014" s="2" t="s">
        <v>6339</v>
      </c>
      <c r="E2014" s="2" t="s">
        <v>1294</v>
      </c>
      <c r="F2014" s="1">
        <v>4.0</v>
      </c>
      <c r="G2014" s="3" t="s">
        <v>71</v>
      </c>
    </row>
    <row r="2015">
      <c r="A2015" s="3" t="s">
        <v>7590</v>
      </c>
      <c r="B2015" s="4" t="str">
        <f>IFERROR(__xludf.DUMMYFUNCTION("GOOGLETRANSLATE(A2015, ""en"", ""te"")"),"జాబ్సన్స్ సబుదానా మిక్స్")</f>
        <v>జాబ్సన్స్ సబుదానా మిక్స్</v>
      </c>
      <c r="C2015" s="4" t="str">
        <f>IFERROR(__xludf.DUMMYFUNCTION("GOOGLETRANSLATE(A2015, ""en"", ""hi"")"),"जैब्सन्स साबूदाना मिक्स")</f>
        <v>जैब्सन्स साबूदाना मिक्स</v>
      </c>
      <c r="D2015" s="2" t="s">
        <v>6469</v>
      </c>
      <c r="E2015" s="2" t="s">
        <v>940</v>
      </c>
      <c r="F2015" s="1">
        <v>4.0</v>
      </c>
      <c r="G2015" s="3" t="s">
        <v>76</v>
      </c>
    </row>
    <row r="2016">
      <c r="A2016" s="3" t="s">
        <v>7814</v>
      </c>
      <c r="B2016" s="4" t="str">
        <f>IFERROR(__xludf.DUMMYFUNCTION("GOOGLETRANSLATE(A2016, ""en"", ""te"")"),"అమ్మాస్ కిచెన్ బనానా చిప్స్ చిల్లీ మసాలా")</f>
        <v>అమ్మాస్ కిచెన్ బనానా చిప్స్ చిల్లీ మసాలా</v>
      </c>
      <c r="C2016" s="4" t="str">
        <f>IFERROR(__xludf.DUMMYFUNCTION("GOOGLETRANSLATE(A2016, ""en"", ""hi"")"),"अम्मा की रसोई केले के चिप्स मिर्च मसाला")</f>
        <v>अम्मा की रसोई केले के चिप्स मिर्च मसाला</v>
      </c>
      <c r="D2016" s="5"/>
      <c r="E2016" s="2" t="s">
        <v>1294</v>
      </c>
      <c r="F2016" s="1">
        <v>4.0</v>
      </c>
      <c r="G2016" s="3" t="s">
        <v>76</v>
      </c>
    </row>
    <row r="2017">
      <c r="A2017" s="3" t="s">
        <v>7634</v>
      </c>
      <c r="B2017" s="4" t="str">
        <f>IFERROR(__xludf.DUMMYFUNCTION("GOOGLETRANSLATE(A2017, ""en"", ""te"")"),"స్వీట్ కరమ్ కాఫీ రిబ్బన్ పకోడా")</f>
        <v>స్వీట్ కరమ్ కాఫీ రిబ్బన్ పకోడా</v>
      </c>
      <c r="C2017" s="4" t="str">
        <f>IFERROR(__xludf.DUMMYFUNCTION("GOOGLETRANSLATE(A2017, ""en"", ""hi"")"),"मीठा करम कॉफी रिबन पकोड़ा")</f>
        <v>मीठा करम कॉफी रिबन पकोड़ा</v>
      </c>
      <c r="D2017" s="5"/>
      <c r="E2017" s="2" t="s">
        <v>1294</v>
      </c>
      <c r="F2017" s="1">
        <v>4.0</v>
      </c>
      <c r="G2017" s="3" t="s">
        <v>76</v>
      </c>
    </row>
    <row r="2018">
      <c r="A2018" s="3" t="s">
        <v>7571</v>
      </c>
      <c r="B2018" s="4" t="str">
        <f>IFERROR(__xludf.DUMMYFUNCTION("GOOGLETRANSLATE(A2018, ""en"", ""te"")"),"జి. పుల్లారెడ్డి బటర్ మురుక్కు")</f>
        <v>జి. పుల్లారెడ్డి బటర్ మురుక్కు</v>
      </c>
      <c r="C2018" s="4" t="str">
        <f>IFERROR(__xludf.DUMMYFUNCTION("GOOGLETRANSLATE(A2018, ""en"", ""hi"")"),"जी. पुल्ला रेड्डी बटर मुरुक्कू")</f>
        <v>जी. पुल्ला रेड्डी बटर मुरुक्कू</v>
      </c>
      <c r="D2018" s="5"/>
      <c r="E2018" s="2" t="s">
        <v>1294</v>
      </c>
      <c r="F2018" s="1">
        <v>4.0</v>
      </c>
      <c r="G2018" s="3" t="s">
        <v>76</v>
      </c>
    </row>
    <row r="2019">
      <c r="A2019" s="3" t="s">
        <v>7815</v>
      </c>
      <c r="B2019" s="4" t="str">
        <f>IFERROR(__xludf.DUMMYFUNCTION("GOOGLETRANSLATE(A2019, ""en"", ""te"")"),"శ్వేత తెలుగు ఫుడ్స్ సన్న కారపు")</f>
        <v>శ్వేత తెలుగు ఫుడ్స్ సన్న కారపు</v>
      </c>
      <c r="C2019" s="4" t="str">
        <f>IFERROR(__xludf.DUMMYFUNCTION("GOOGLETRANSLATE(A2019, ""en"", ""hi"")"),"स्वेता तेलुगु फूड्स सन्ना करापु")</f>
        <v>स्वेता तेलुगु फूड्स सन्ना करापु</v>
      </c>
      <c r="D2019" s="5"/>
      <c r="E2019" s="2" t="s">
        <v>1294</v>
      </c>
      <c r="F2019" s="1">
        <v>4.0</v>
      </c>
      <c r="G2019" s="3" t="s">
        <v>76</v>
      </c>
    </row>
    <row r="2020">
      <c r="A2020" s="3" t="s">
        <v>7816</v>
      </c>
      <c r="B2020" s="4" t="str">
        <f>IFERROR(__xludf.DUMMYFUNCTION("GOOGLETRANSLATE(A2020, ""en"", ""te"")"),"కారిసన్స్ రోస్టెడ్ కార్న్")</f>
        <v>కారిసన్స్ రోస్టెడ్ కార్న్</v>
      </c>
      <c r="C2020" s="4" t="str">
        <f>IFERROR(__xludf.DUMMYFUNCTION("GOOGLETRANSLATE(A2020, ""en"", ""hi"")"),"कैरिसन्स रोस्टेड कॉर्न")</f>
        <v>कैरिसन्स रोस्टेड कॉर्न</v>
      </c>
      <c r="D2020" s="5"/>
      <c r="E2020" s="2" t="s">
        <v>1294</v>
      </c>
      <c r="F2020" s="1">
        <v>4.0</v>
      </c>
      <c r="G2020" s="3" t="s">
        <v>76</v>
      </c>
    </row>
    <row r="2021">
      <c r="A2021" s="3" t="s">
        <v>7526</v>
      </c>
      <c r="B2021" s="4" t="str">
        <f>IFERROR(__xludf.DUMMYFUNCTION("GOOGLETRANSLATE(A2021, ""en"", ""te"")"),"హల్దీరామ్స్ ఆలూ భుజియా")</f>
        <v>హల్దీరామ్స్ ఆలూ భుజియా</v>
      </c>
      <c r="C2021" s="4" t="str">
        <f>IFERROR(__xludf.DUMMYFUNCTION("GOOGLETRANSLATE(A2021, ""en"", ""hi"")"),"हल्दीराम की आलू भुजिया")</f>
        <v>हल्दीराम की आलू भुजिया</v>
      </c>
      <c r="D2021" s="2" t="s">
        <v>7527</v>
      </c>
      <c r="E2021" s="2" t="s">
        <v>1294</v>
      </c>
      <c r="F2021" s="1">
        <v>4.0</v>
      </c>
      <c r="G2021" s="3" t="s">
        <v>85</v>
      </c>
    </row>
    <row r="2022">
      <c r="A2022" s="3" t="s">
        <v>7528</v>
      </c>
      <c r="B2022" s="4" t="str">
        <f>IFERROR(__xludf.DUMMYFUNCTION("GOOGLETRANSLATE(A2022, ""en"", ""te"")"),"హల్దీరామ్స్ ఆల్ ఇన్ వన్")</f>
        <v>హల్దీరామ్స్ ఆల్ ఇన్ వన్</v>
      </c>
      <c r="C2022" s="4" t="str">
        <f>IFERROR(__xludf.DUMMYFUNCTION("GOOGLETRANSLATE(A2022, ""en"", ""hi"")"),"हल्दीराम का ऑल इन वन")</f>
        <v>हल्दीराम का ऑल इन वन</v>
      </c>
      <c r="D2022" s="5"/>
      <c r="E2022" s="2" t="s">
        <v>940</v>
      </c>
      <c r="F2022" s="1">
        <v>4.0</v>
      </c>
      <c r="G2022" s="3" t="s">
        <v>85</v>
      </c>
    </row>
    <row r="2023">
      <c r="A2023" s="3" t="s">
        <v>7817</v>
      </c>
      <c r="B2023" s="4" t="str">
        <f>IFERROR(__xludf.DUMMYFUNCTION("GOOGLETRANSLATE(A2023, ""en"", ""te"")"),"జి. పుల్లారెడ్డి తెలంగాణ స్పైసీ మిక్చర్")</f>
        <v>జి. పుల్లారెడ్డి తెలంగాణ స్పైసీ మిక్చర్</v>
      </c>
      <c r="C2023" s="4" t="str">
        <f>IFERROR(__xludf.DUMMYFUNCTION("GOOGLETRANSLATE(A2023, ""en"", ""hi"")"),"जी. पुल्ला रेड्डी तेलंगाना स्पाइसी मिक्सचर")</f>
        <v>जी. पुल्ला रेड्डी तेलंगाना स्पाइसी मिक्सचर</v>
      </c>
      <c r="D2023" s="5"/>
      <c r="E2023" s="2" t="s">
        <v>442</v>
      </c>
      <c r="F2023" s="1">
        <v>4.0</v>
      </c>
      <c r="G2023" s="3" t="s">
        <v>85</v>
      </c>
    </row>
    <row r="2024">
      <c r="A2024" s="3" t="s">
        <v>7796</v>
      </c>
      <c r="B2024" s="4" t="str">
        <f>IFERROR(__xludf.DUMMYFUNCTION("GOOGLETRANSLATE(A2024, ""en"", ""te"")"),"జి. పుల్లారెడ్డి రిబ్బన్ పకోడి")</f>
        <v>జి. పుల్లారెడ్డి రిబ్బన్ పకోడి</v>
      </c>
      <c r="C2024" s="4" t="str">
        <f>IFERROR(__xludf.DUMMYFUNCTION("GOOGLETRANSLATE(A2024, ""en"", ""hi"")"),"जी. पुल्ला रेड्डी रिबन पकोडी")</f>
        <v>जी. पुल्ला रेड्डी रिबन पकोडी</v>
      </c>
      <c r="D2024" s="2" t="s">
        <v>7569</v>
      </c>
      <c r="E2024" s="2" t="s">
        <v>1294</v>
      </c>
      <c r="F2024" s="1">
        <v>4.0</v>
      </c>
      <c r="G2024" s="3" t="s">
        <v>85</v>
      </c>
    </row>
    <row r="2025">
      <c r="A2025" s="3" t="s">
        <v>7818</v>
      </c>
      <c r="B2025" s="4" t="str">
        <f>IFERROR(__xludf.DUMMYFUNCTION("GOOGLETRANSLATE(A2025, ""en"", ""te"")"),"జి. పుల్లారెడ్డి చెక్కలు")</f>
        <v>జి. పుల్లారెడ్డి చెక్కలు</v>
      </c>
      <c r="C2025" s="4" t="str">
        <f>IFERROR(__xludf.DUMMYFUNCTION("GOOGLETRANSLATE(A2025, ""en"", ""hi"")"),"जी. पुल्ला रेड्डी चेक्कलू")</f>
        <v>जी. पुल्ला रेड्डी चेक्कलू</v>
      </c>
      <c r="D2025" s="2" t="s">
        <v>6339</v>
      </c>
      <c r="E2025" s="2" t="s">
        <v>1294</v>
      </c>
      <c r="F2025" s="1">
        <v>4.0</v>
      </c>
      <c r="G2025" s="3" t="s">
        <v>85</v>
      </c>
    </row>
    <row r="2026">
      <c r="A2026" s="3" t="s">
        <v>7797</v>
      </c>
      <c r="B2026" s="4" t="str">
        <f>IFERROR(__xludf.DUMMYFUNCTION("GOOGLETRANSLATE(A2026, ""en"", ""te"")"),"జి. పుల్లా రెడ్డి నవరత్నాల మిశ్రమం")</f>
        <v>జి. పుల్లా రెడ్డి నవరత్నాల మిశ్రమం</v>
      </c>
      <c r="C2026" s="4" t="str">
        <f>IFERROR(__xludf.DUMMYFUNCTION("GOOGLETRANSLATE(A2026, ""en"", ""hi"")"),"जी पुल्ला रेड्डी नवरत्न मिश्रण")</f>
        <v>जी पुल्ला रेड्डी नवरत्न मिश्रण</v>
      </c>
      <c r="D2026" s="2" t="s">
        <v>4472</v>
      </c>
      <c r="E2026" s="2" t="s">
        <v>1294</v>
      </c>
      <c r="F2026" s="1">
        <v>4.0</v>
      </c>
      <c r="G2026" s="3" t="s">
        <v>85</v>
      </c>
    </row>
    <row r="2027">
      <c r="A2027" s="3" t="s">
        <v>7819</v>
      </c>
      <c r="B2027" s="4" t="str">
        <f>IFERROR(__xludf.DUMMYFUNCTION("GOOGLETRANSLATE(A2027, ""en"", ""te"")"),"జి. పుల్లారెడ్డి మసాలా మిశ్రమం")</f>
        <v>జి. పుల్లారెడ్డి మసాలా మిశ్రమం</v>
      </c>
      <c r="C2027" s="4" t="str">
        <f>IFERROR(__xludf.DUMMYFUNCTION("GOOGLETRANSLATE(A2027, ""en"", ""hi"")"),"जी. पुल्ला रेड्डी मसाला मिश्रण")</f>
        <v>जी. पुल्ला रेड्डी मसाला मिश्रण</v>
      </c>
      <c r="D2027" s="5"/>
      <c r="E2027" s="2" t="s">
        <v>442</v>
      </c>
      <c r="F2027" s="1">
        <v>4.0</v>
      </c>
      <c r="G2027" s="3" t="s">
        <v>85</v>
      </c>
    </row>
    <row r="2028">
      <c r="A2028" s="3" t="s">
        <v>7820</v>
      </c>
      <c r="B2028" s="4" t="str">
        <f>IFERROR(__xludf.DUMMYFUNCTION("GOOGLETRANSLATE(A2028, ""en"", ""te"")"),"ఆనంద్ టాపియోకా స్టిక్స్ స్పైసీ")</f>
        <v>ఆనంద్ టాపియోకా స్టిక్స్ స్పైసీ</v>
      </c>
      <c r="C2028" s="4" t="str">
        <f>IFERROR(__xludf.DUMMYFUNCTION("GOOGLETRANSLATE(A2028, ""en"", ""hi"")"),"आनंद टैपिओका स्टिक्स स्पाइसी")</f>
        <v>आनंद टैपिओका स्टिक्स स्पाइसी</v>
      </c>
      <c r="D2028" s="2" t="s">
        <v>6332</v>
      </c>
      <c r="E2028" s="2" t="s">
        <v>1294</v>
      </c>
      <c r="F2028" s="1">
        <v>4.0</v>
      </c>
      <c r="G2028" s="3" t="s">
        <v>114</v>
      </c>
    </row>
    <row r="2029">
      <c r="A2029" s="3" t="s">
        <v>7821</v>
      </c>
      <c r="B2029" s="4" t="str">
        <f>IFERROR(__xludf.DUMMYFUNCTION("GOOGLETRANSLATE(A2029, ""en"", ""te"")"),"ఆనంద్ తమిళనాడు మిక్చర్ స్నాక్ మిక్స్")</f>
        <v>ఆనంద్ తమిళనాడు మిక్చర్ స్నాక్ మిక్స్</v>
      </c>
      <c r="C2029" s="4" t="str">
        <f>IFERROR(__xludf.DUMMYFUNCTION("GOOGLETRANSLATE(A2029, ""en"", ""hi"")"),"आनंद तमिलनाडु मिक्सचर स्नैक मिक्स")</f>
        <v>आनंद तमिलनाडु मिक्सचर स्नैक मिक्स</v>
      </c>
      <c r="D2029" s="5"/>
      <c r="E2029" s="2" t="s">
        <v>1294</v>
      </c>
      <c r="F2029" s="1">
        <v>4.0</v>
      </c>
      <c r="G2029" s="3" t="s">
        <v>114</v>
      </c>
    </row>
    <row r="2030">
      <c r="A2030" s="3" t="s">
        <v>7822</v>
      </c>
      <c r="B2030" s="4" t="str">
        <f>IFERROR(__xludf.DUMMYFUNCTION("GOOGLETRANSLATE(A2030, ""en"", ""te"")"),"ఆనంద్ స్పైసీ ముల్లు మురుక్కు")</f>
        <v>ఆనంద్ స్పైసీ ముల్లు మురుక్కు</v>
      </c>
      <c r="C2030" s="4" t="str">
        <f>IFERROR(__xludf.DUMMYFUNCTION("GOOGLETRANSLATE(A2030, ""en"", ""hi"")"),"आनंद स्पाइसी मुल्लू मुरुक्कू")</f>
        <v>आनंद स्पाइसी मुल्लू मुरुक्कू</v>
      </c>
      <c r="D2030" s="2" t="s">
        <v>7785</v>
      </c>
      <c r="E2030" s="2" t="s">
        <v>1294</v>
      </c>
      <c r="F2030" s="1">
        <v>4.0</v>
      </c>
      <c r="G2030" s="3" t="s">
        <v>114</v>
      </c>
    </row>
    <row r="2031">
      <c r="A2031" s="3" t="s">
        <v>7823</v>
      </c>
      <c r="B2031" s="4" t="str">
        <f>IFERROR(__xludf.DUMMYFUNCTION("GOOGLETRANSLATE(A2031, ""en"", ""te"")"),"ఆనంద్ కార్న్‌ఫ్లేక్స్ మిశ్రమం")</f>
        <v>ఆనంద్ కార్న్‌ఫ్లేక్స్ మిశ్రమం</v>
      </c>
      <c r="C2031" s="4" t="str">
        <f>IFERROR(__xludf.DUMMYFUNCTION("GOOGLETRANSLATE(A2031, ""en"", ""hi"")"),"आनंद कॉर्नफ्लेक्स मिश्रण")</f>
        <v>आनंद कॉर्नफ्लेक्स मिश्रण</v>
      </c>
      <c r="D2031" s="5"/>
      <c r="E2031" s="2" t="s">
        <v>1294</v>
      </c>
      <c r="F2031" s="1">
        <v>4.0</v>
      </c>
      <c r="G2031" s="3" t="s">
        <v>114</v>
      </c>
    </row>
    <row r="2032">
      <c r="A2032" s="3" t="s">
        <v>7802</v>
      </c>
      <c r="B2032" s="4" t="str">
        <f>IFERROR(__xludf.DUMMYFUNCTION("GOOGLETRANSLATE(A2032, ""en"", ""te"")"),"ఆనంద్ సేవ్ థిన్")</f>
        <v>ఆనంద్ సేవ్ థిన్</v>
      </c>
      <c r="C2032" s="4" t="str">
        <f>IFERROR(__xludf.DUMMYFUNCTION("GOOGLETRANSLATE(A2032, ""en"", ""hi"")"),"आनंद सेव थिन")</f>
        <v>आनंद सेव थिन</v>
      </c>
      <c r="D2032" s="5"/>
      <c r="E2032" s="2" t="s">
        <v>1294</v>
      </c>
      <c r="F2032" s="1">
        <v>4.0</v>
      </c>
      <c r="G2032" s="3" t="s">
        <v>114</v>
      </c>
    </row>
    <row r="2033">
      <c r="A2033" s="3" t="s">
        <v>7803</v>
      </c>
      <c r="B2033" s="4" t="str">
        <f>IFERROR(__xludf.DUMMYFUNCTION("GOOGLETRANSLATE(A2033, ""en"", ""te"")"),"ఆనంద్ రైస్ మురుక్కు")</f>
        <v>ఆనంద్ రైస్ మురుక్కు</v>
      </c>
      <c r="C2033" s="4" t="str">
        <f>IFERROR(__xludf.DUMMYFUNCTION("GOOGLETRANSLATE(A2033, ""en"", ""hi"")"),"आनंद राइस मुरुक्कू")</f>
        <v>आनंद राइस मुरुक्कू</v>
      </c>
      <c r="D2033" s="2" t="s">
        <v>7773</v>
      </c>
      <c r="E2033" s="2" t="s">
        <v>1294</v>
      </c>
      <c r="F2033" s="1">
        <v>4.0</v>
      </c>
      <c r="G2033" s="3" t="s">
        <v>114</v>
      </c>
    </row>
    <row r="2034">
      <c r="A2034" s="3" t="s">
        <v>7572</v>
      </c>
      <c r="B2034" s="4" t="str">
        <f>IFERROR(__xludf.DUMMYFUNCTION("GOOGLETRANSLATE(A2034, ""en"", ""te"")"),"ఆనంద్ రిబ్బన్ పకోడా")</f>
        <v>ఆనంద్ రిబ్బన్ పకోడా</v>
      </c>
      <c r="C2034" s="4" t="str">
        <f>IFERROR(__xludf.DUMMYFUNCTION("GOOGLETRANSLATE(A2034, ""en"", ""hi"")"),"आनंद रिबन पकोड़ा")</f>
        <v>आनंद रिबन पकोड़ा</v>
      </c>
      <c r="D2034" s="5"/>
      <c r="E2034" s="2" t="s">
        <v>1294</v>
      </c>
      <c r="F2034" s="1">
        <v>4.0</v>
      </c>
      <c r="G2034" s="3" t="s">
        <v>114</v>
      </c>
    </row>
    <row r="2035">
      <c r="A2035" s="3" t="s">
        <v>7824</v>
      </c>
      <c r="B2035" s="4" t="str">
        <f>IFERROR(__xludf.DUMMYFUNCTION("GOOGLETRANSLATE(A2035, ""en"", ""te"")"),"ఆనంద్ మాగీ క్రంచీ ఫింగర్")</f>
        <v>ఆనంద్ మాగీ క్రంచీ ఫింగర్</v>
      </c>
      <c r="C2035" s="4" t="str">
        <f>IFERROR(__xludf.DUMMYFUNCTION("GOOGLETRANSLATE(A2035, ""en"", ""hi"")"),"आनंद मैगी क्रंची फिंगर")</f>
        <v>आनंद मैगी क्रंची फिंगर</v>
      </c>
      <c r="D2035" s="5"/>
      <c r="E2035" s="2" t="s">
        <v>1294</v>
      </c>
      <c r="F2035" s="1">
        <v>4.0</v>
      </c>
      <c r="G2035" s="3" t="s">
        <v>114</v>
      </c>
    </row>
    <row r="2036">
      <c r="A2036" s="3" t="s">
        <v>3173</v>
      </c>
      <c r="B2036" s="4" t="str">
        <f>IFERROR(__xludf.DUMMYFUNCTION("GOOGLETRANSLATE(A2036, ""en"", ""te"")"),"గర్వి గుజరాత్ భేల్ మిక్స్")</f>
        <v>గర్వి గుజరాత్ భేల్ మిక్స్</v>
      </c>
      <c r="C2036" s="4" t="str">
        <f>IFERROR(__xludf.DUMMYFUNCTION("GOOGLETRANSLATE(A2036, ""en"", ""hi"")"),"गरवी गुजरात भेल मिक्स")</f>
        <v>गरवी गुजरात भेल मिक्स</v>
      </c>
      <c r="D2036" s="2" t="s">
        <v>7825</v>
      </c>
      <c r="E2036" s="2" t="s">
        <v>1294</v>
      </c>
      <c r="F2036" s="1">
        <v>4.0</v>
      </c>
      <c r="G2036" s="3" t="s">
        <v>10</v>
      </c>
    </row>
    <row r="2037">
      <c r="A2037" s="3" t="s">
        <v>3175</v>
      </c>
      <c r="B2037" s="4" t="str">
        <f>IFERROR(__xludf.DUMMYFUNCTION("GOOGLETRANSLATE(A2037, ""en"", ""te"")"),"గర్వి గుజరాత్ భేల్ సేవ్")</f>
        <v>గర్వి గుజరాత్ భేల్ సేవ్</v>
      </c>
      <c r="C2037" s="4" t="str">
        <f>IFERROR(__xludf.DUMMYFUNCTION("GOOGLETRANSLATE(A2037, ""en"", ""hi"")"),"गरवी गुजरात भेल सेव")</f>
        <v>गरवी गुजरात भेल सेव</v>
      </c>
      <c r="D2037" s="5"/>
      <c r="E2037" s="2" t="s">
        <v>1294</v>
      </c>
      <c r="F2037" s="1">
        <v>4.0</v>
      </c>
      <c r="G2037" s="3" t="s">
        <v>10</v>
      </c>
    </row>
    <row r="2038">
      <c r="A2038" s="3" t="s">
        <v>7826</v>
      </c>
      <c r="B2038" s="4" t="str">
        <f>IFERROR(__xludf.DUMMYFUNCTION("GOOGLETRANSLATE(A2038, ""en"", ""te"")"),"గర్వి గుజరాత్ 3 ఇన్ వన్ పూరి")</f>
        <v>గర్వి గుజరాత్ 3 ఇన్ వన్ పూరి</v>
      </c>
      <c r="C2038" s="4" t="str">
        <f>IFERROR(__xludf.DUMMYFUNCTION("GOOGLETRANSLATE(A2038, ""en"", ""hi"")"),"गरवी गुजरात 3 इन वन पुरी")</f>
        <v>गरवी गुजरात 3 इन वन पुरी</v>
      </c>
      <c r="D2038" s="5"/>
      <c r="E2038" s="2" t="s">
        <v>1294</v>
      </c>
      <c r="F2038" s="1">
        <v>4.0</v>
      </c>
      <c r="G2038" s="3" t="s">
        <v>10</v>
      </c>
    </row>
    <row r="2039">
      <c r="A2039" s="3" t="s">
        <v>7809</v>
      </c>
      <c r="B2039" s="4" t="str">
        <f>IFERROR(__xludf.DUMMYFUNCTION("GOOGLETRANSLATE(A2039, ""en"", ""te"")"),"యూరో ఉసల్ సెవ్")</f>
        <v>యూరో ఉసల్ సెవ్</v>
      </c>
      <c r="C2039" s="4" t="str">
        <f>IFERROR(__xludf.DUMMYFUNCTION("GOOGLETRANSLATE(A2039, ""en"", ""hi"")"),"यूरो उसल सेव")</f>
        <v>यूरो उसल सेव</v>
      </c>
      <c r="D2039" s="5"/>
      <c r="E2039" s="2" t="s">
        <v>1294</v>
      </c>
      <c r="F2039" s="1">
        <v>4.0</v>
      </c>
      <c r="G2039" s="3" t="s">
        <v>10</v>
      </c>
    </row>
    <row r="2040">
      <c r="A2040" s="3" t="s">
        <v>7579</v>
      </c>
      <c r="B2040" s="4" t="str">
        <f>IFERROR(__xludf.DUMMYFUNCTION("GOOGLETRANSLATE(A2040, ""en"", ""te"")"),"యూరో టేస్టీ పీనట్స్")</f>
        <v>యూరో టేస్టీ పీనట్స్</v>
      </c>
      <c r="C2040" s="4" t="str">
        <f>IFERROR(__xludf.DUMMYFUNCTION("GOOGLETRANSLATE(A2040, ""en"", ""hi"")"),"यूरो टेस्टी मूंगफली")</f>
        <v>यूरो टेस्टी मूंगफली</v>
      </c>
      <c r="D2040" s="2" t="s">
        <v>945</v>
      </c>
      <c r="E2040" s="2" t="s">
        <v>2700</v>
      </c>
      <c r="F2040" s="1">
        <v>4.0</v>
      </c>
      <c r="G2040" s="3" t="s">
        <v>10</v>
      </c>
    </row>
    <row r="2041">
      <c r="A2041" s="3" t="s">
        <v>7580</v>
      </c>
      <c r="B2041" s="4" t="str">
        <f>IFERROR(__xludf.DUMMYFUNCTION("GOOGLETRANSLATE(A2041, ""en"", ""te"")"),"యూరో షాహి మిశ్రమం")</f>
        <v>యూరో షాహి మిశ్రమం</v>
      </c>
      <c r="C2041" s="4" t="str">
        <f>IFERROR(__xludf.DUMMYFUNCTION("GOOGLETRANSLATE(A2041, ""en"", ""hi"")"),"यूरो शाही मिश्रण")</f>
        <v>यूरो शाही मिश्रण</v>
      </c>
      <c r="D2041" s="5"/>
      <c r="E2041" s="2" t="s">
        <v>1294</v>
      </c>
      <c r="F2041" s="1">
        <v>4.0</v>
      </c>
      <c r="G2041" s="3" t="s">
        <v>10</v>
      </c>
    </row>
    <row r="2042">
      <c r="A2042" s="3" t="s">
        <v>7826</v>
      </c>
      <c r="B2042" s="4" t="str">
        <f>IFERROR(__xludf.DUMMYFUNCTION("GOOGLETRANSLATE(A2042, ""en"", ""te"")"),"గర్వి గుజరాత్ 3 ఇన్ వన్ పూరి")</f>
        <v>గర్వి గుజరాత్ 3 ఇన్ వన్ పూరి</v>
      </c>
      <c r="C2042" s="4" t="str">
        <f>IFERROR(__xludf.DUMMYFUNCTION("GOOGLETRANSLATE(A2042, ""en"", ""hi"")"),"गरवी गुजरात 3 इन वन पुरी")</f>
        <v>गरवी गुजरात 3 इन वन पुरी</v>
      </c>
      <c r="D2042" s="5"/>
      <c r="E2042" s="2" t="s">
        <v>1294</v>
      </c>
      <c r="F2042" s="1">
        <v>4.0</v>
      </c>
      <c r="G2042" s="3" t="s">
        <v>389</v>
      </c>
    </row>
    <row r="2043">
      <c r="A2043" s="3" t="s">
        <v>7827</v>
      </c>
      <c r="B2043" s="4" t="str">
        <f>IFERROR(__xludf.DUMMYFUNCTION("GOOGLETRANSLATE(A2043, ""en"", ""te"")"),"గర్వి గుజరాత్ పచ్చి అరటిపండు వేఫర్లు")</f>
        <v>గర్వి గుజరాత్ పచ్చి అరటిపండు వేఫర్లు</v>
      </c>
      <c r="C2043" s="4" t="str">
        <f>IFERROR(__xludf.DUMMYFUNCTION("GOOGLETRANSLATE(A2043, ""en"", ""hi"")"),"गरवी गुजरात रॉ बनाना वेफर्स")</f>
        <v>गरवी गुजरात रॉ बनाना वेफर्स</v>
      </c>
      <c r="D2043" s="2" t="s">
        <v>7828</v>
      </c>
      <c r="E2043" s="2" t="s">
        <v>1294</v>
      </c>
      <c r="F2043" s="1">
        <v>4.0</v>
      </c>
      <c r="G2043" s="3" t="s">
        <v>389</v>
      </c>
    </row>
    <row r="2044">
      <c r="A2044" s="3" t="s">
        <v>7708</v>
      </c>
      <c r="B2044" s="4" t="str">
        <f>IFERROR(__xludf.DUMMYFUNCTION("GOOGLETRANSLATE(A2044, ""en"", ""te"")"),"యూరో ఆలూ సేవ్")</f>
        <v>యూరో ఆలూ సేవ్</v>
      </c>
      <c r="C2044" s="4" t="str">
        <f>IFERROR(__xludf.DUMMYFUNCTION("GOOGLETRANSLATE(A2044, ""en"", ""hi"")"),"यूरो आलू सेव")</f>
        <v>यूरो आलू सेव</v>
      </c>
      <c r="D2044" s="5"/>
      <c r="E2044" s="2" t="s">
        <v>1294</v>
      </c>
      <c r="F2044" s="1">
        <v>4.0</v>
      </c>
      <c r="G2044" s="3" t="s">
        <v>389</v>
      </c>
    </row>
    <row r="2045">
      <c r="A2045" s="3" t="s">
        <v>7829</v>
      </c>
      <c r="B2045" s="4" t="str">
        <f>IFERROR(__xludf.DUMMYFUNCTION("GOOGLETRANSLATE(A2045, ""en"", ""te"")"),"బికాజీ తానా-తాన్")</f>
        <v>బికాజీ తానా-తాన్</v>
      </c>
      <c r="C2045" s="4" t="str">
        <f>IFERROR(__xludf.DUMMYFUNCTION("GOOGLETRANSLATE(A2045, ""en"", ""hi"")"),"बिकाजी ताना-तान")</f>
        <v>बिकाजी ताना-तान</v>
      </c>
      <c r="D2045" s="2" t="s">
        <v>7830</v>
      </c>
      <c r="E2045" s="2" t="s">
        <v>1294</v>
      </c>
      <c r="F2045" s="1">
        <v>4.0</v>
      </c>
      <c r="G2045" s="3" t="s">
        <v>389</v>
      </c>
    </row>
    <row r="2046">
      <c r="A2046" s="3" t="s">
        <v>7831</v>
      </c>
      <c r="B2046" s="4" t="str">
        <f>IFERROR(__xludf.DUMMYFUNCTION("GOOGLETRANSLATE(A2046, ""en"", ""te"")"),"శ్వేత తెలుగు ఓహా మిశ్రమం")</f>
        <v>శ్వేత తెలుగు ఓహా మిశ్రమం</v>
      </c>
      <c r="C2046" s="4" t="str">
        <f>IFERROR(__xludf.DUMMYFUNCTION("GOOGLETRANSLATE(A2046, ""en"", ""hi"")"),"श्वेता तेलुगु ओहा मिक्सचर")</f>
        <v>श्वेता तेलुगु ओहा मिक्सचर</v>
      </c>
      <c r="D2046" s="2" t="s">
        <v>4054</v>
      </c>
      <c r="E2046" s="2" t="s">
        <v>1294</v>
      </c>
      <c r="F2046" s="1">
        <v>4.0</v>
      </c>
      <c r="G2046" s="3" t="s">
        <v>418</v>
      </c>
    </row>
    <row r="2047">
      <c r="A2047" s="3" t="s">
        <v>7589</v>
      </c>
      <c r="B2047" s="4" t="str">
        <f>IFERROR(__xludf.DUMMYFUNCTION("GOOGLETRANSLATE(A2047, ""en"", ""te"")"),"జాబ్సన్స్ సోయా స్టిక్స్ టాంగీ టొమాటో")</f>
        <v>జాబ్సన్స్ సోయా స్టిక్స్ టాంగీ టొమాటో</v>
      </c>
      <c r="C2047" s="4" t="str">
        <f>IFERROR(__xludf.DUMMYFUNCTION("GOOGLETRANSLATE(A2047, ""en"", ""hi"")"),"जैब्सन्स सोया स्टिक्स टैंगी टोमैटो")</f>
        <v>जैब्सन्स सोया स्टिक्स टैंगी टोमैटो</v>
      </c>
      <c r="D2047" s="5"/>
      <c r="E2047" s="2" t="s">
        <v>1294</v>
      </c>
      <c r="F2047" s="1">
        <v>4.0</v>
      </c>
      <c r="G2047" s="3" t="s">
        <v>418</v>
      </c>
    </row>
    <row r="2048">
      <c r="A2048" s="3" t="s">
        <v>7588</v>
      </c>
      <c r="B2048" s="4" t="str">
        <f>IFERROR(__xludf.DUMMYFUNCTION("GOOGLETRANSLATE(A2048, ""en"", ""te"")"),"జాబ్సన్స్ సోయా స్టిక్స్ మ్యాజిక్ మసాలా")</f>
        <v>జాబ్సన్స్ సోయా స్టిక్స్ మ్యాజిక్ మసాలా</v>
      </c>
      <c r="C2048" s="4" t="str">
        <f>IFERROR(__xludf.DUMMYFUNCTION("GOOGLETRANSLATE(A2048, ""en"", ""hi"")"),"जैब्सन्स सोया स्टिक्स मैजिक मसाला")</f>
        <v>जैब्सन्स सोया स्टिक्स मैजिक मसाला</v>
      </c>
      <c r="D2048" s="5"/>
      <c r="E2048" s="2" t="s">
        <v>1294</v>
      </c>
      <c r="F2048" s="1">
        <v>4.0</v>
      </c>
      <c r="G2048" s="3" t="s">
        <v>418</v>
      </c>
    </row>
    <row r="2049">
      <c r="A2049" s="3" t="s">
        <v>7591</v>
      </c>
      <c r="B2049" s="4" t="str">
        <f>IFERROR(__xludf.DUMMYFUNCTION("GOOGLETRANSLATE(A2049, ""en"", ""te"")"),"జాబ్సన్స్ ఫలహారి మిశ్రమం")</f>
        <v>జాబ్సన్స్ ఫలహారి మిశ్రమం</v>
      </c>
      <c r="C2049" s="4" t="str">
        <f>IFERROR(__xludf.DUMMYFUNCTION("GOOGLETRANSLATE(A2049, ""en"", ""hi"")"),"जैब्सन फलाहारी मिश्रण")</f>
        <v>जैब्सन फलाहारी मिश्रण</v>
      </c>
      <c r="D2049" s="5"/>
      <c r="E2049" s="2" t="s">
        <v>1294</v>
      </c>
      <c r="F2049" s="1">
        <v>4.0</v>
      </c>
      <c r="G2049" s="3" t="s">
        <v>418</v>
      </c>
    </row>
    <row r="2050">
      <c r="A2050" s="3" t="s">
        <v>7590</v>
      </c>
      <c r="B2050" s="4" t="str">
        <f>IFERROR(__xludf.DUMMYFUNCTION("GOOGLETRANSLATE(A2050, ""en"", ""te"")"),"జాబ్సన్స్ సబుదానా మిక్స్")</f>
        <v>జాబ్సన్స్ సబుదానా మిక్స్</v>
      </c>
      <c r="C2050" s="4" t="str">
        <f>IFERROR(__xludf.DUMMYFUNCTION("GOOGLETRANSLATE(A2050, ""en"", ""hi"")"),"जैब्सन्स साबूदाना मिक्स")</f>
        <v>जैब्सन्स साबूदाना मिक्स</v>
      </c>
      <c r="D2050" s="2" t="s">
        <v>6469</v>
      </c>
      <c r="E2050" s="2" t="s">
        <v>940</v>
      </c>
      <c r="F2050" s="1">
        <v>4.0</v>
      </c>
      <c r="G2050" s="3" t="s">
        <v>418</v>
      </c>
    </row>
    <row r="2051">
      <c r="A2051" s="3" t="s">
        <v>7832</v>
      </c>
      <c r="B2051" s="4" t="str">
        <f>IFERROR(__xludf.DUMMYFUNCTION("GOOGLETRANSLATE(A2051, ""en"", ""te"")"),"జాబ్సన్స్ బనానా చిప్స్")</f>
        <v>జాబ్సన్స్ బనానా చిప్స్</v>
      </c>
      <c r="C2051" s="4" t="str">
        <f>IFERROR(__xludf.DUMMYFUNCTION("GOOGLETRANSLATE(A2051, ""en"", ""hi"")"),"जैब्सन्स बनाना चिप्स")</f>
        <v>जैब्सन्स बनाना चिप्स</v>
      </c>
      <c r="D2051" s="2" t="s">
        <v>4054</v>
      </c>
      <c r="E2051" s="2" t="s">
        <v>1294</v>
      </c>
      <c r="F2051" s="1">
        <v>4.0</v>
      </c>
      <c r="G2051" s="3" t="s">
        <v>418</v>
      </c>
    </row>
    <row r="2052">
      <c r="A2052" s="3" t="s">
        <v>7634</v>
      </c>
      <c r="B2052" s="4" t="str">
        <f>IFERROR(__xludf.DUMMYFUNCTION("GOOGLETRANSLATE(A2052, ""en"", ""te"")"),"స్వీట్ కరమ్ కాఫీ రిబ్బన్ పకోడా")</f>
        <v>స్వీట్ కరమ్ కాఫీ రిబ్బన్ పకోడా</v>
      </c>
      <c r="C2052" s="4" t="str">
        <f>IFERROR(__xludf.DUMMYFUNCTION("GOOGLETRANSLATE(A2052, ""en"", ""hi"")"),"मीठा करम कॉफी रिबन पकोड़ा")</f>
        <v>मीठा करम कॉफी रिबन पकोड़ा</v>
      </c>
      <c r="D2052" s="5"/>
      <c r="E2052" s="2" t="s">
        <v>1294</v>
      </c>
      <c r="F2052" s="1">
        <v>4.0</v>
      </c>
      <c r="G2052" s="3" t="s">
        <v>418</v>
      </c>
    </row>
    <row r="2053">
      <c r="A2053" s="3" t="s">
        <v>7526</v>
      </c>
      <c r="B2053" s="4" t="str">
        <f>IFERROR(__xludf.DUMMYFUNCTION("GOOGLETRANSLATE(A2053, ""en"", ""te"")"),"హల్దీరామ్స్ ఆలూ భుజియా")</f>
        <v>హల్దీరామ్స్ ఆలూ భుజియా</v>
      </c>
      <c r="C2053" s="4" t="str">
        <f>IFERROR(__xludf.DUMMYFUNCTION("GOOGLETRANSLATE(A2053, ""en"", ""hi"")"),"हल्दीराम की आलू भुजिया")</f>
        <v>हल्दीराम की आलू भुजिया</v>
      </c>
      <c r="D2053" s="2" t="s">
        <v>7527</v>
      </c>
      <c r="E2053" s="2" t="s">
        <v>1294</v>
      </c>
      <c r="F2053" s="1">
        <v>4.0</v>
      </c>
      <c r="G2053" s="3" t="s">
        <v>437</v>
      </c>
    </row>
    <row r="2054">
      <c r="A2054" s="3" t="s">
        <v>7558</v>
      </c>
      <c r="B2054" s="4" t="str">
        <f>IFERROR(__xludf.DUMMYFUNCTION("GOOGLETRANSLATE(A2054, ""en"", ""te"")"),"హల్దీరామ్స్ బూందీ సాల్టెడ్")</f>
        <v>హల్దీరామ్స్ బూందీ సాల్టెడ్</v>
      </c>
      <c r="C2054" s="4" t="str">
        <f>IFERROR(__xludf.DUMMYFUNCTION("GOOGLETRANSLATE(A2054, ""en"", ""hi"")"),"हल्दीराम की बूंदी नमकीन")</f>
        <v>हल्दीराम की बूंदी नमकीन</v>
      </c>
      <c r="D2054" s="5"/>
      <c r="E2054" s="2" t="s">
        <v>1294</v>
      </c>
      <c r="F2054" s="1">
        <v>4.0</v>
      </c>
      <c r="G2054" s="3" t="s">
        <v>437</v>
      </c>
    </row>
    <row r="2055">
      <c r="A2055" s="3" t="s">
        <v>7833</v>
      </c>
      <c r="B2055" s="4" t="str">
        <f>IFERROR(__xludf.DUMMYFUNCTION("GOOGLETRANSLATE(A2055, ""en"", ""te"")"),"హల్దీరామ్స్ బాంబే మిక్స్")</f>
        <v>హల్దీరామ్స్ బాంబే మిక్స్</v>
      </c>
      <c r="C2055" s="4" t="str">
        <f>IFERROR(__xludf.DUMMYFUNCTION("GOOGLETRANSLATE(A2055, ""en"", ""hi"")"),"हल्दीराम का बॉम्बे मिक्स")</f>
        <v>हल्दीराम का बॉम्बे मिक्स</v>
      </c>
      <c r="D2055" s="2" t="s">
        <v>7834</v>
      </c>
      <c r="E2055" s="2" t="s">
        <v>1294</v>
      </c>
      <c r="F2055" s="1">
        <v>4.0</v>
      </c>
      <c r="G2055" s="3" t="s">
        <v>437</v>
      </c>
    </row>
    <row r="2056">
      <c r="A2056" s="3" t="s">
        <v>7528</v>
      </c>
      <c r="B2056" s="4" t="str">
        <f>IFERROR(__xludf.DUMMYFUNCTION("GOOGLETRANSLATE(A2056, ""en"", ""te"")"),"హల్దీరామ్స్ ఆల్ ఇన్ వన్")</f>
        <v>హల్దీరామ్స్ ఆల్ ఇన్ వన్</v>
      </c>
      <c r="C2056" s="4" t="str">
        <f>IFERROR(__xludf.DUMMYFUNCTION("GOOGLETRANSLATE(A2056, ""en"", ""hi"")"),"हल्दीराम का ऑल इन वन")</f>
        <v>हल्दीराम का ऑल इन वन</v>
      </c>
      <c r="D2056" s="5"/>
      <c r="E2056" s="2" t="s">
        <v>940</v>
      </c>
      <c r="F2056" s="1">
        <v>4.0</v>
      </c>
      <c r="G2056" s="3" t="s">
        <v>437</v>
      </c>
    </row>
    <row r="2057">
      <c r="A2057" s="3" t="s">
        <v>7835</v>
      </c>
      <c r="B2057" s="4" t="str">
        <f>IFERROR(__xludf.DUMMYFUNCTION("GOOGLETRANSLATE(A2057, ""en"", ""te"")"),"పుల్లారెడ్డి తెలంగాణ మిశ్రమం")</f>
        <v>పుల్లారెడ్డి తెలంగాణ మిశ్రమం</v>
      </c>
      <c r="C2057" s="4" t="str">
        <f>IFERROR(__xludf.DUMMYFUNCTION("GOOGLETRANSLATE(A2057, ""en"", ""hi"")"),"पुल्ला रेड्डी तेलंगाना मिश्रण")</f>
        <v>पुल्ला रेड्डी तेलंगाना मिश्रण</v>
      </c>
      <c r="D2057" s="2" t="s">
        <v>4054</v>
      </c>
      <c r="E2057" s="2" t="s">
        <v>1294</v>
      </c>
      <c r="F2057" s="1">
        <v>4.0</v>
      </c>
      <c r="G2057" s="3" t="s">
        <v>437</v>
      </c>
    </row>
    <row r="2058">
      <c r="A2058" s="3" t="s">
        <v>7836</v>
      </c>
      <c r="B2058" s="4" t="str">
        <f>IFERROR(__xludf.DUMMYFUNCTION("GOOGLETRANSLATE(A2058, ""en"", ""te"")"),"రాజు చనా దాల్")</f>
        <v>రాజు చనా దాల్</v>
      </c>
      <c r="C2058" s="4" t="str">
        <f>IFERROR(__xludf.DUMMYFUNCTION("GOOGLETRANSLATE(A2058, ""en"", ""hi"")"),"राजू चना दाल")</f>
        <v>राजू चना दाल</v>
      </c>
      <c r="D2058" s="2" t="s">
        <v>3379</v>
      </c>
      <c r="E2058" s="2" t="s">
        <v>1038</v>
      </c>
      <c r="F2058" s="1">
        <v>4.0</v>
      </c>
      <c r="G2058" s="3" t="s">
        <v>446</v>
      </c>
    </row>
    <row r="2059">
      <c r="A2059" s="3" t="s">
        <v>7837</v>
      </c>
      <c r="B2059" s="4" t="str">
        <f>IFERROR(__xludf.DUMMYFUNCTION("GOOGLETRANSLATE(A2059, ""en"", ""te"")"),"రాజు ఫ్లేక్స్ చివ్డా")</f>
        <v>రాజు ఫ్లేక్స్ చివ్డా</v>
      </c>
      <c r="C2059" s="4" t="str">
        <f>IFERROR(__xludf.DUMMYFUNCTION("GOOGLETRANSLATE(A2059, ""en"", ""hi"")"),"राजू फ्लेक्स चिवड़ा")</f>
        <v>राजू फ्लेक्स चिवड़ा</v>
      </c>
      <c r="D2059" s="5"/>
      <c r="E2059" s="2" t="s">
        <v>1294</v>
      </c>
      <c r="F2059" s="1">
        <v>4.0</v>
      </c>
      <c r="G2059" s="3" t="s">
        <v>446</v>
      </c>
    </row>
    <row r="2060">
      <c r="A2060" s="3" t="s">
        <v>7838</v>
      </c>
      <c r="B2060" s="4" t="str">
        <f>IFERROR(__xludf.DUMMYFUNCTION("GOOGLETRANSLATE(A2060, ""en"", ""te"")"),"లక్ష్మీనారాయణ్ చివడ")</f>
        <v>లక్ష్మీనారాయణ్ చివడ</v>
      </c>
      <c r="C2060" s="4" t="str">
        <f>IFERROR(__xludf.DUMMYFUNCTION("GOOGLETRANSLATE(A2060, ""en"", ""hi"")"),"लक्ष्मीनारायण चिवड़ा")</f>
        <v>लक्ष्मीनारायण चिवड़ा</v>
      </c>
      <c r="D2060" s="5"/>
      <c r="E2060" s="2" t="s">
        <v>1294</v>
      </c>
      <c r="F2060" s="1">
        <v>4.0</v>
      </c>
      <c r="G2060" s="3" t="s">
        <v>446</v>
      </c>
    </row>
    <row r="2061">
      <c r="A2061" s="3" t="s">
        <v>7820</v>
      </c>
      <c r="B2061" s="4" t="str">
        <f>IFERROR(__xludf.DUMMYFUNCTION("GOOGLETRANSLATE(A2061, ""en"", ""te"")"),"ఆనంద్ టాపియోకా స్టిక్స్ స్పైసీ")</f>
        <v>ఆనంద్ టాపియోకా స్టిక్స్ స్పైసీ</v>
      </c>
      <c r="C2061" s="4" t="str">
        <f>IFERROR(__xludf.DUMMYFUNCTION("GOOGLETRANSLATE(A2061, ""en"", ""hi"")"),"आनंद टैपिओका स्टिक्स स्पाइसी")</f>
        <v>आनंद टैपिओका स्टिक्स स्पाइसी</v>
      </c>
      <c r="D2061" s="2" t="s">
        <v>6332</v>
      </c>
      <c r="E2061" s="2" t="s">
        <v>1294</v>
      </c>
      <c r="F2061" s="1">
        <v>4.0</v>
      </c>
      <c r="G2061" s="3" t="s">
        <v>446</v>
      </c>
    </row>
    <row r="2062">
      <c r="A2062" s="3" t="s">
        <v>7839</v>
      </c>
      <c r="B2062" s="4" t="str">
        <f>IFERROR(__xludf.DUMMYFUNCTION("GOOGLETRANSLATE(A2062, ""en"", ""te"")"),"ఆనంద్ తమిళనాడు మిశ్రమం")</f>
        <v>ఆనంద్ తమిళనాడు మిశ్రమం</v>
      </c>
      <c r="C2062" s="4" t="str">
        <f>IFERROR(__xludf.DUMMYFUNCTION("GOOGLETRANSLATE(A2062, ""en"", ""hi"")"),"आनंद तमिलनाडु मिश्रण")</f>
        <v>आनंद तमिलनाडु मिश्रण</v>
      </c>
      <c r="D2062" s="5"/>
      <c r="E2062" s="2" t="s">
        <v>1294</v>
      </c>
      <c r="F2062" s="1">
        <v>4.0</v>
      </c>
      <c r="G2062" s="3" t="s">
        <v>446</v>
      </c>
    </row>
    <row r="2063">
      <c r="A2063" s="3" t="s">
        <v>7822</v>
      </c>
      <c r="B2063" s="4" t="str">
        <f>IFERROR(__xludf.DUMMYFUNCTION("GOOGLETRANSLATE(A2063, ""en"", ""te"")"),"ఆనంద్ స్పైసీ ముల్లు మురుక్కు")</f>
        <v>ఆనంద్ స్పైసీ ముల్లు మురుక్కు</v>
      </c>
      <c r="C2063" s="4" t="str">
        <f>IFERROR(__xludf.DUMMYFUNCTION("GOOGLETRANSLATE(A2063, ""en"", ""hi"")"),"आनंद स्पाइसी मुल्लू मुरुक्कू")</f>
        <v>आनंद स्पाइसी मुल्लू मुरुक्कू</v>
      </c>
      <c r="D2063" s="2" t="s">
        <v>7785</v>
      </c>
      <c r="E2063" s="2" t="s">
        <v>1294</v>
      </c>
      <c r="F2063" s="1">
        <v>4.0</v>
      </c>
      <c r="G2063" s="3" t="s">
        <v>446</v>
      </c>
    </row>
    <row r="2064">
      <c r="A2064" s="3" t="s">
        <v>7840</v>
      </c>
      <c r="B2064" s="4" t="str">
        <f>IFERROR(__xludf.DUMMYFUNCTION("GOOGLETRANSLATE(A2064, ""en"", ""te"")"),"ఆనంద్ సెల్తిన్")</f>
        <v>ఆనంద్ సెల్తిన్</v>
      </c>
      <c r="C2064" s="4" t="str">
        <f>IFERROR(__xludf.DUMMYFUNCTION("GOOGLETRANSLATE(A2064, ""en"", ""hi"")"),"आनंद सेल्थिन")</f>
        <v>आनंद सेल्थिन</v>
      </c>
      <c r="D2064" s="5"/>
      <c r="E2064" s="2" t="s">
        <v>4100</v>
      </c>
      <c r="F2064" s="1">
        <v>4.0</v>
      </c>
      <c r="G2064" s="3" t="s">
        <v>446</v>
      </c>
    </row>
    <row r="2065">
      <c r="A2065" s="3" t="s">
        <v>7841</v>
      </c>
      <c r="B2065" s="4" t="str">
        <f>IFERROR(__xludf.DUMMYFUNCTION("GOOGLETRANSLATE(A2065, ""en"", ""te"")"),"గర్వి గుజరాత్ డ్రై కఠోరి")</f>
        <v>గర్వి గుజరాత్ డ్రై కఠోరి</v>
      </c>
      <c r="C2065" s="4" t="str">
        <f>IFERROR(__xludf.DUMMYFUNCTION("GOOGLETRANSLATE(A2065, ""en"", ""hi"")"),"गरवी गुजरात ड्राई कथोरी")</f>
        <v>गरवी गुजरात ड्राई कथोरी</v>
      </c>
      <c r="D2065" s="5"/>
      <c r="E2065" s="2" t="s">
        <v>1294</v>
      </c>
      <c r="F2065" s="1">
        <v>4.0</v>
      </c>
      <c r="G2065" s="3" t="s">
        <v>492</v>
      </c>
    </row>
    <row r="2066">
      <c r="A2066" s="3" t="s">
        <v>7842</v>
      </c>
      <c r="B2066" s="4" t="str">
        <f>IFERROR(__xludf.DUMMYFUNCTION("GOOGLETRANSLATE(A2066, ""en"", ""te"")"),"గర్వి గుజరాత్ చనా జోర్ గరం")</f>
        <v>గర్వి గుజరాత్ చనా జోర్ గరం</v>
      </c>
      <c r="C2066" s="4" t="str">
        <f>IFERROR(__xludf.DUMMYFUNCTION("GOOGLETRANSLATE(A2066, ""en"", ""hi"")"),"गरवी गुजरात चना जोर गरम")</f>
        <v>गरवी गुजरात चना जोर गरम</v>
      </c>
      <c r="D2066" s="2" t="s">
        <v>7843</v>
      </c>
      <c r="E2066" s="2" t="s">
        <v>1294</v>
      </c>
      <c r="F2066" s="1">
        <v>4.0</v>
      </c>
      <c r="G2066" s="3" t="s">
        <v>492</v>
      </c>
    </row>
    <row r="2067">
      <c r="A2067" s="3" t="s">
        <v>3166</v>
      </c>
      <c r="B2067" s="4" t="str">
        <f>IFERROR(__xludf.DUMMYFUNCTION("GOOGLETRANSLATE(A2067, ""en"", ""te"")"),"గర్వి గుజరాత్ భాకర్వాడి")</f>
        <v>గర్వి గుజరాత్ భాకర్వాడి</v>
      </c>
      <c r="C2067" s="4" t="str">
        <f>IFERROR(__xludf.DUMMYFUNCTION("GOOGLETRANSLATE(A2067, ""en"", ""hi"")"),"गरवी गुजरात भाकरवाड़ी")</f>
        <v>गरवी गुजरात भाकरवाड़ी</v>
      </c>
      <c r="D2067" s="2" t="s">
        <v>7844</v>
      </c>
      <c r="E2067" s="2" t="s">
        <v>1294</v>
      </c>
      <c r="F2067" s="1">
        <v>4.0</v>
      </c>
      <c r="G2067" s="3" t="s">
        <v>492</v>
      </c>
    </row>
    <row r="2068">
      <c r="A2068" s="3" t="s">
        <v>3173</v>
      </c>
      <c r="B2068" s="4" t="str">
        <f>IFERROR(__xludf.DUMMYFUNCTION("GOOGLETRANSLATE(A2068, ""en"", ""te"")"),"గర్వి గుజరాత్ భేల్ మిక్స్")</f>
        <v>గర్వి గుజరాత్ భేల్ మిక్స్</v>
      </c>
      <c r="C2068" s="4" t="str">
        <f>IFERROR(__xludf.DUMMYFUNCTION("GOOGLETRANSLATE(A2068, ""en"", ""hi"")"),"गरवी गुजरात भेल मिक्स")</f>
        <v>गरवी गुजरात भेल मिक्स</v>
      </c>
      <c r="D2068" s="2" t="s">
        <v>7825</v>
      </c>
      <c r="E2068" s="2" t="s">
        <v>1294</v>
      </c>
      <c r="F2068" s="1">
        <v>4.0</v>
      </c>
      <c r="G2068" s="3" t="s">
        <v>492</v>
      </c>
    </row>
    <row r="2069">
      <c r="A2069" s="3" t="s">
        <v>7845</v>
      </c>
      <c r="B2069" s="4" t="str">
        <f>IFERROR(__xludf.DUMMYFUNCTION("GOOGLETRANSLATE(A2069, ""en"", ""te"")"),"ఆనంద్ భెల్ సేవ్")</f>
        <v>ఆనంద్ భెల్ సేవ్</v>
      </c>
      <c r="C2069" s="4" t="str">
        <f>IFERROR(__xludf.DUMMYFUNCTION("GOOGLETRANSLATE(A2069, ""en"", ""hi"")"),"आनंद भेल सेव")</f>
        <v>आनंद भेल सेव</v>
      </c>
      <c r="D2069" s="2" t="s">
        <v>7807</v>
      </c>
      <c r="E2069" s="2" t="s">
        <v>1294</v>
      </c>
      <c r="F2069" s="1">
        <v>4.0</v>
      </c>
      <c r="G2069" s="3" t="s">
        <v>492</v>
      </c>
    </row>
    <row r="2070">
      <c r="A2070" s="3" t="s">
        <v>7826</v>
      </c>
      <c r="B2070" s="4" t="str">
        <f>IFERROR(__xludf.DUMMYFUNCTION("GOOGLETRANSLATE(A2070, ""en"", ""te"")"),"గర్వి గుజరాత్ 3 ఇన్ వన్ పూరి")</f>
        <v>గర్వి గుజరాత్ 3 ఇన్ వన్ పూరి</v>
      </c>
      <c r="C2070" s="4" t="str">
        <f>IFERROR(__xludf.DUMMYFUNCTION("GOOGLETRANSLATE(A2070, ""en"", ""hi"")"),"गरवी गुजरात 3 इन वन पुरी")</f>
        <v>गरवी गुजरात 3 इन वन पुरी</v>
      </c>
      <c r="D2070" s="5"/>
      <c r="E2070" s="2" t="s">
        <v>1294</v>
      </c>
      <c r="F2070" s="1">
        <v>4.0</v>
      </c>
      <c r="G2070" s="3" t="s">
        <v>492</v>
      </c>
    </row>
    <row r="2071">
      <c r="A2071" s="3" t="s">
        <v>7846</v>
      </c>
      <c r="B2071" s="4" t="str">
        <f>IFERROR(__xludf.DUMMYFUNCTION("GOOGLETRANSLATE(A2071, ""en"", ""te"")"),"రాజు నమ్కీన్ ఖట్టా మీఠా")</f>
        <v>రాజు నమ్కీన్ ఖట్టా మీఠా</v>
      </c>
      <c r="C2071" s="4" t="str">
        <f>IFERROR(__xludf.DUMMYFUNCTION("GOOGLETRANSLATE(A2071, ""en"", ""hi"")"),"राजू नमकीन खट्टा मीठा")</f>
        <v>राजू नमकीन खट्टा मीठा</v>
      </c>
      <c r="D2071" s="2" t="s">
        <v>7847</v>
      </c>
      <c r="E2071" s="2" t="s">
        <v>1294</v>
      </c>
      <c r="F2071" s="1">
        <v>4.0</v>
      </c>
      <c r="G2071" s="3" t="s">
        <v>71</v>
      </c>
    </row>
    <row r="2072">
      <c r="A2072" s="3" t="s">
        <v>7848</v>
      </c>
      <c r="B2072" s="4" t="str">
        <f>IFERROR(__xludf.DUMMYFUNCTION("GOOGLETRANSLATE(A2072, ""en"", ""te"")"),"చిటాలే బంధు స్పెషల్ చివ్డా")</f>
        <v>చిటాలే బంధు స్పెషల్ చివ్డా</v>
      </c>
      <c r="C2072" s="4" t="str">
        <f>IFERROR(__xludf.DUMMYFUNCTION("GOOGLETRANSLATE(A2072, ""en"", ""hi"")"),"चिताले बंधु स्पेशल चिवड़ा")</f>
        <v>चिताले बंधु स्पेशल चिवड़ा</v>
      </c>
      <c r="D2072" s="2" t="s">
        <v>7569</v>
      </c>
      <c r="E2072" s="2" t="s">
        <v>1294</v>
      </c>
      <c r="F2072" s="1">
        <v>4.0</v>
      </c>
      <c r="G2072" s="3" t="s">
        <v>71</v>
      </c>
    </row>
    <row r="2073">
      <c r="A2073" s="3" t="s">
        <v>7826</v>
      </c>
      <c r="B2073" s="4" t="str">
        <f>IFERROR(__xludf.DUMMYFUNCTION("GOOGLETRANSLATE(A2073, ""en"", ""te"")"),"గర్వి గుజరాత్ 3 ఇన్ వన్ పూరి")</f>
        <v>గర్వి గుజరాత్ 3 ఇన్ వన్ పూరి</v>
      </c>
      <c r="C2073" s="4" t="str">
        <f>IFERROR(__xludf.DUMMYFUNCTION("GOOGLETRANSLATE(A2073, ""en"", ""hi"")"),"गरवी गुजरात 3 इन वन पुरी")</f>
        <v>गरवी गुजरात 3 इन वन पुरी</v>
      </c>
      <c r="D2073" s="5"/>
      <c r="E2073" s="2" t="s">
        <v>1294</v>
      </c>
      <c r="F2073" s="1">
        <v>4.0</v>
      </c>
      <c r="G2073" s="3" t="s">
        <v>71</v>
      </c>
    </row>
    <row r="2074">
      <c r="A2074" s="3" t="s">
        <v>7743</v>
      </c>
      <c r="B2074" s="4" t="str">
        <f>IFERROR(__xludf.DUMMYFUNCTION("GOOGLETRANSLATE(A2074, ""en"", ""te"")"),"యూరో మద్రాసీ మిక్స్")</f>
        <v>యూరో మద్రాసీ మిక్స్</v>
      </c>
      <c r="C2074" s="4" t="str">
        <f>IFERROR(__xludf.DUMMYFUNCTION("GOOGLETRANSLATE(A2074, ""en"", ""hi"")"),"यूरो मद्रासी मिक्स")</f>
        <v>यूरो मद्रासी मिक्स</v>
      </c>
      <c r="D2074" s="2" t="s">
        <v>7028</v>
      </c>
      <c r="E2074" s="2" t="s">
        <v>1294</v>
      </c>
      <c r="F2074" s="1">
        <v>4.0</v>
      </c>
      <c r="G2074" s="3" t="s">
        <v>76</v>
      </c>
    </row>
    <row r="2075">
      <c r="A2075" s="3" t="s">
        <v>7849</v>
      </c>
      <c r="B2075" s="4" t="str">
        <f>IFERROR(__xludf.DUMMYFUNCTION("GOOGLETRANSLATE(A2075, ""en"", ""te"")"),"రాజు నమ్‌కీన్ గార్లిక్ చివ్డా")</f>
        <v>రాజు నమ్‌కీన్ గార్లిక్ చివ్డా</v>
      </c>
      <c r="C2075" s="4" t="str">
        <f>IFERROR(__xludf.DUMMYFUNCTION("GOOGLETRANSLATE(A2075, ""en"", ""hi"")"),"राजू नमकीन लहसुन चिवड़ा")</f>
        <v>राजू नमकीन लहसुन चिवड़ा</v>
      </c>
      <c r="D2075" s="2" t="s">
        <v>2604</v>
      </c>
      <c r="E2075" s="2" t="s">
        <v>1294</v>
      </c>
      <c r="F2075" s="1">
        <v>4.0</v>
      </c>
      <c r="G2075" s="3" t="s">
        <v>76</v>
      </c>
    </row>
    <row r="2076">
      <c r="A2076" s="3" t="s">
        <v>3181</v>
      </c>
      <c r="B2076" s="4" t="str">
        <f>IFERROR(__xludf.DUMMYFUNCTION("GOOGLETRANSLATE(A2076, ""en"", ""te"")"),"గర్వి గుజరాత్ డ్రై సమోసా")</f>
        <v>గర్వి గుజరాత్ డ్రై సమోసా</v>
      </c>
      <c r="C2076" s="4" t="str">
        <f>IFERROR(__xludf.DUMMYFUNCTION("GOOGLETRANSLATE(A2076, ""en"", ""hi"")"),"गरवी गुजरात ड्राई समोसा")</f>
        <v>गरवी गुजरात ड्राई समोसा</v>
      </c>
      <c r="D2076" s="5"/>
      <c r="E2076" s="2" t="s">
        <v>1294</v>
      </c>
      <c r="F2076" s="1">
        <v>4.0</v>
      </c>
      <c r="G2076" s="3" t="s">
        <v>76</v>
      </c>
    </row>
    <row r="2077">
      <c r="A2077" s="3" t="s">
        <v>7850</v>
      </c>
      <c r="B2077" s="4" t="str">
        <f>IFERROR(__xludf.DUMMYFUNCTION("GOOGLETRANSLATE(A2077, ""en"", ""te"")"),"తెలుగు పోహా మిశ్రమం")</f>
        <v>తెలుగు పోహా మిశ్రమం</v>
      </c>
      <c r="C2077" s="4" t="str">
        <f>IFERROR(__xludf.DUMMYFUNCTION("GOOGLETRANSLATE(A2077, ""en"", ""hi"")"),"तेलुगु पोहा मिश्रण")</f>
        <v>तेलुगु पोहा मिश्रण</v>
      </c>
      <c r="D2077" s="5"/>
      <c r="E2077" s="2" t="s">
        <v>1294</v>
      </c>
      <c r="F2077" s="1">
        <v>4.0</v>
      </c>
      <c r="G2077" s="3" t="s">
        <v>76</v>
      </c>
    </row>
    <row r="2078">
      <c r="A2078" s="3" t="s">
        <v>7589</v>
      </c>
      <c r="B2078" s="4" t="str">
        <f>IFERROR(__xludf.DUMMYFUNCTION("GOOGLETRANSLATE(A2078, ""en"", ""te"")"),"జాబ్సన్స్ సోయా స్టిక్స్ టాంగీ టొమాటో")</f>
        <v>జాబ్సన్స్ సోయా స్టిక్స్ టాంగీ టొమాటో</v>
      </c>
      <c r="C2078" s="4" t="str">
        <f>IFERROR(__xludf.DUMMYFUNCTION("GOOGLETRANSLATE(A2078, ""en"", ""hi"")"),"जैब्सन्स सोया स्टिक्स टैंगी टोमैटो")</f>
        <v>जैब्सन्स सोया स्टिक्स टैंगी टोमैटो</v>
      </c>
      <c r="D2078" s="5"/>
      <c r="E2078" s="2" t="s">
        <v>1294</v>
      </c>
      <c r="F2078" s="1">
        <v>4.0</v>
      </c>
      <c r="G2078" s="3" t="s">
        <v>76</v>
      </c>
    </row>
    <row r="2079">
      <c r="A2079" s="3" t="s">
        <v>7588</v>
      </c>
      <c r="B2079" s="4" t="str">
        <f>IFERROR(__xludf.DUMMYFUNCTION("GOOGLETRANSLATE(A2079, ""en"", ""te"")"),"జాబ్సన్స్ సోయా స్టిక్స్ మ్యాజిక్ మసాలా")</f>
        <v>జాబ్సన్స్ సోయా స్టిక్స్ మ్యాజిక్ మసాలా</v>
      </c>
      <c r="C2079" s="4" t="str">
        <f>IFERROR(__xludf.DUMMYFUNCTION("GOOGLETRANSLATE(A2079, ""en"", ""hi"")"),"जैब्सन्स सोया स्टिक्स मैजिक मसाला")</f>
        <v>जैब्सन्स सोया स्टिक्स मैजिक मसाला</v>
      </c>
      <c r="D2079" s="5"/>
      <c r="E2079" s="2" t="s">
        <v>1294</v>
      </c>
      <c r="F2079" s="1">
        <v>4.0</v>
      </c>
      <c r="G2079" s="3" t="s">
        <v>76</v>
      </c>
    </row>
    <row r="2080">
      <c r="A2080" s="3" t="s">
        <v>7851</v>
      </c>
      <c r="B2080" s="4" t="str">
        <f>IFERROR(__xludf.DUMMYFUNCTION("GOOGLETRANSLATE(A2080, ""en"", ""te"")"),"లక్ష్మీనారాయణ్ ఫలహార్ మిశ్రమం")</f>
        <v>లక్ష్మీనారాయణ్ ఫలహార్ మిశ్రమం</v>
      </c>
      <c r="C2080" s="4" t="str">
        <f>IFERROR(__xludf.DUMMYFUNCTION("GOOGLETRANSLATE(A2080, ""en"", ""hi"")"),"लक्ष्मीनारायण फलाहार मिश्रण")</f>
        <v>लक्ष्मीनारायण फलाहार मिश्रण</v>
      </c>
      <c r="D2080" s="5"/>
      <c r="E2080" s="2" t="s">
        <v>1294</v>
      </c>
      <c r="F2080" s="1">
        <v>4.0</v>
      </c>
      <c r="G2080" s="3" t="s">
        <v>76</v>
      </c>
    </row>
    <row r="2081">
      <c r="A2081" s="3" t="s">
        <v>7852</v>
      </c>
      <c r="B2081" s="4" t="str">
        <f>IFERROR(__xludf.DUMMYFUNCTION("GOOGLETRANSLATE(A2081, ""en"", ""te"")"),"హల్దీరామ్ నవరత్న")</f>
        <v>హల్దీరామ్ నవరత్న</v>
      </c>
      <c r="C2081" s="4" t="str">
        <f>IFERROR(__xludf.DUMMYFUNCTION("GOOGLETRANSLATE(A2081, ""en"", ""hi"")"),"हल्दीराम का नवरतन")</f>
        <v>हल्दीराम का नवरतन</v>
      </c>
      <c r="D2081" s="5"/>
      <c r="E2081" s="2" t="s">
        <v>1294</v>
      </c>
      <c r="F2081" s="1">
        <v>4.0</v>
      </c>
      <c r="G2081" s="3" t="s">
        <v>85</v>
      </c>
    </row>
    <row r="2082">
      <c r="A2082" s="3" t="s">
        <v>7853</v>
      </c>
      <c r="B2082" s="4" t="str">
        <f>IFERROR(__xludf.DUMMYFUNCTION("GOOGLETRANSLATE(A2082, ""en"", ""te"")"),"హల్దీరామ్ పంజాబీ తడ్కా")</f>
        <v>హల్దీరామ్ పంజాబీ తడ్కా</v>
      </c>
      <c r="C2082" s="4" t="str">
        <f>IFERROR(__xludf.DUMMYFUNCTION("GOOGLETRANSLATE(A2082, ""en"", ""hi"")"),"हल्दीराम का पंजाबी तड़का")</f>
        <v>हल्दीराम का पंजाबी तड़का</v>
      </c>
      <c r="D2082" s="2" t="s">
        <v>7854</v>
      </c>
      <c r="E2082" s="2" t="s">
        <v>1294</v>
      </c>
      <c r="F2082" s="1">
        <v>4.0</v>
      </c>
      <c r="G2082" s="3" t="s">
        <v>85</v>
      </c>
    </row>
    <row r="2083">
      <c r="A2083" s="3" t="s">
        <v>7729</v>
      </c>
      <c r="B2083" s="4" t="str">
        <f>IFERROR(__xludf.DUMMYFUNCTION("GOOGLETRANSLATE(A2083, ""en"", ""te"")"),"హల్దీరామ్స్ భుజియా")</f>
        <v>హల్దీరామ్స్ భుజియా</v>
      </c>
      <c r="C2083" s="4" t="str">
        <f>IFERROR(__xludf.DUMMYFUNCTION("GOOGLETRANSLATE(A2083, ""en"", ""hi"")"),"हल्दीराम की भुजिया")</f>
        <v>हल्दीराम की भुजिया</v>
      </c>
      <c r="D2083" s="2" t="s">
        <v>7557</v>
      </c>
      <c r="E2083" s="2" t="s">
        <v>1294</v>
      </c>
      <c r="F2083" s="1">
        <v>4.0</v>
      </c>
      <c r="G2083" s="3" t="s">
        <v>85</v>
      </c>
    </row>
    <row r="2084">
      <c r="A2084" s="3" t="s">
        <v>7558</v>
      </c>
      <c r="B2084" s="4" t="str">
        <f>IFERROR(__xludf.DUMMYFUNCTION("GOOGLETRANSLATE(A2084, ""en"", ""te"")"),"హల్దీరామ్స్ బూందీ సాల్టెడ్")</f>
        <v>హల్దీరామ్స్ బూందీ సాల్టెడ్</v>
      </c>
      <c r="C2084" s="4" t="str">
        <f>IFERROR(__xludf.DUMMYFUNCTION("GOOGLETRANSLATE(A2084, ""en"", ""hi"")"),"हल्दीराम की बूंदी नमकीन")</f>
        <v>हल्दीराम की बूंदी नमकीन</v>
      </c>
      <c r="D2084" s="5"/>
      <c r="E2084" s="2" t="s">
        <v>1294</v>
      </c>
      <c r="F2084" s="1">
        <v>4.0</v>
      </c>
      <c r="G2084" s="3" t="s">
        <v>85</v>
      </c>
    </row>
    <row r="2085">
      <c r="A2085" s="3" t="s">
        <v>7833</v>
      </c>
      <c r="B2085" s="4" t="str">
        <f>IFERROR(__xludf.DUMMYFUNCTION("GOOGLETRANSLATE(A2085, ""en"", ""te"")"),"హల్దీరామ్స్ బాంబే మిక్స్")</f>
        <v>హల్దీరామ్స్ బాంబే మిక్స్</v>
      </c>
      <c r="C2085" s="4" t="str">
        <f>IFERROR(__xludf.DUMMYFUNCTION("GOOGLETRANSLATE(A2085, ""en"", ""hi"")"),"हल्दीराम का बॉम्बे मिक्स")</f>
        <v>हल्दीराम का बॉम्बे मिक्स</v>
      </c>
      <c r="D2085" s="2" t="s">
        <v>7834</v>
      </c>
      <c r="E2085" s="2" t="s">
        <v>1294</v>
      </c>
      <c r="F2085" s="1">
        <v>4.0</v>
      </c>
      <c r="G2085" s="3" t="s">
        <v>85</v>
      </c>
    </row>
    <row r="2086">
      <c r="A2086" s="3" t="s">
        <v>7855</v>
      </c>
      <c r="B2086" s="4" t="str">
        <f>IFERROR(__xludf.DUMMYFUNCTION("GOOGLETRANSLATE(A2086, ""en"", ""te"")"),"హల్దీరామ్ లింబు మారి")</f>
        <v>హల్దీరామ్ లింబు మారి</v>
      </c>
      <c r="C2086" s="4" t="str">
        <f>IFERROR(__xludf.DUMMYFUNCTION("GOOGLETRANSLATE(A2086, ""en"", ""hi"")"),"हलदिराम की लिंबू मारी")</f>
        <v>हलदिराम की लिंबू मारी</v>
      </c>
      <c r="D2086" s="5"/>
      <c r="E2086" s="2" t="s">
        <v>1294</v>
      </c>
      <c r="F2086" s="1">
        <v>4.0</v>
      </c>
      <c r="G2086" s="3" t="s">
        <v>114</v>
      </c>
    </row>
    <row r="2087">
      <c r="A2087" s="3" t="s">
        <v>7856</v>
      </c>
      <c r="B2087" s="4" t="str">
        <f>IFERROR(__xludf.DUMMYFUNCTION("GOOGLETRANSLATE(A2087, ""en"", ""te"")"),"హల్దీరామ్ యొక్క అబు మారి సెవ్")</f>
        <v>హల్దీరామ్ యొక్క అబు మారి సెవ్</v>
      </c>
      <c r="C2087" s="4" t="str">
        <f>IFERROR(__xludf.DUMMYFUNCTION("GOOGLETRANSLATE(A2087, ""en"", ""hi"")"),"हल्दिराम का अबू मारी सेव")</f>
        <v>हल्दिराम का अबू मारी सेव</v>
      </c>
      <c r="D2087" s="5"/>
      <c r="E2087" s="2" t="s">
        <v>1294</v>
      </c>
      <c r="F2087" s="1">
        <v>4.0</v>
      </c>
      <c r="G2087" s="3" t="s">
        <v>114</v>
      </c>
    </row>
    <row r="2088">
      <c r="A2088" s="3" t="s">
        <v>7857</v>
      </c>
      <c r="B2088" s="4" t="str">
        <f>IFERROR(__xludf.DUMMYFUNCTION("GOOGLETRANSLATE(A2088, ""en"", ""te"")"),"రాజు నమ్కీన్ చనా దాల్")</f>
        <v>రాజు నమ్కీన్ చనా దాల్</v>
      </c>
      <c r="C2088" s="4" t="str">
        <f>IFERROR(__xludf.DUMMYFUNCTION("GOOGLETRANSLATE(A2088, ""en"", ""hi"")"),"राजू नमकीन चना दाल")</f>
        <v>राजू नमकीन चना दाल</v>
      </c>
      <c r="D2088" s="5"/>
      <c r="E2088" s="2" t="s">
        <v>1294</v>
      </c>
      <c r="F2088" s="1">
        <v>4.0</v>
      </c>
      <c r="G2088" s="3" t="s">
        <v>114</v>
      </c>
    </row>
    <row r="2089">
      <c r="A2089" s="3" t="s">
        <v>7528</v>
      </c>
      <c r="B2089" s="4" t="str">
        <f>IFERROR(__xludf.DUMMYFUNCTION("GOOGLETRANSLATE(A2089, ""en"", ""te"")"),"హల్దీరామ్స్ ఆల్ ఇన్ వన్")</f>
        <v>హల్దీరామ్స్ ఆల్ ఇన్ వన్</v>
      </c>
      <c r="C2089" s="4" t="str">
        <f>IFERROR(__xludf.DUMMYFUNCTION("GOOGLETRANSLATE(A2089, ""en"", ""hi"")"),"हल्दीराम का ऑल इन वन")</f>
        <v>हल्दीराम का ऑल इन वन</v>
      </c>
      <c r="D2089" s="5"/>
      <c r="E2089" s="2" t="s">
        <v>940</v>
      </c>
      <c r="F2089" s="1">
        <v>4.0</v>
      </c>
      <c r="G2089" s="3" t="s">
        <v>114</v>
      </c>
    </row>
    <row r="2090">
      <c r="A2090" s="3" t="s">
        <v>7858</v>
      </c>
      <c r="B2090" s="4" t="str">
        <f>IFERROR(__xludf.DUMMYFUNCTION("GOOGLETRANSLATE(A2090, ""en"", ""te"")"),"హల్దీరామ్ యొక్క ఓం పోడి")</f>
        <v>హల్దీరామ్ యొక్క ఓం పోడి</v>
      </c>
      <c r="C2090" s="4" t="str">
        <f>IFERROR(__xludf.DUMMYFUNCTION("GOOGLETRANSLATE(A2090, ""en"", ""hi"")"),"हल्दिराम की ओम पोडी")</f>
        <v>हल्दिराम की ओम पोडी</v>
      </c>
      <c r="D2090" s="2" t="s">
        <v>7859</v>
      </c>
      <c r="E2090" s="2" t="s">
        <v>442</v>
      </c>
      <c r="F2090" s="1">
        <v>4.0</v>
      </c>
      <c r="G2090" s="3" t="s">
        <v>114</v>
      </c>
    </row>
    <row r="2091">
      <c r="A2091" s="3" t="s">
        <v>7860</v>
      </c>
      <c r="B2091" s="4" t="str">
        <f>IFERROR(__xludf.DUMMYFUNCTION("GOOGLETRANSLATE(A2091, ""en"", ""te"")"),"లక్ష్మీనారాయణ షాబు ఫ్లేక్స్ చివ్డా")</f>
        <v>లక్ష్మీనారాయణ షాబు ఫ్లేక్స్ చివ్డా</v>
      </c>
      <c r="C2091" s="4" t="str">
        <f>IFERROR(__xludf.DUMMYFUNCTION("GOOGLETRANSLATE(A2091, ""en"", ""hi"")"),"लक्ष्मीनारायण शाबू फ्लेक्स चिवड़ा")</f>
        <v>लक्ष्मीनारायण शाबू फ्लेक्स चिवड़ा</v>
      </c>
      <c r="D2091" s="2" t="s">
        <v>7861</v>
      </c>
      <c r="E2091" s="2" t="s">
        <v>1294</v>
      </c>
      <c r="F2091" s="1">
        <v>4.0</v>
      </c>
      <c r="G2091" s="3" t="s">
        <v>114</v>
      </c>
    </row>
    <row r="2092">
      <c r="A2092" s="3" t="s">
        <v>7599</v>
      </c>
      <c r="B2092" s="4" t="str">
        <f>IFERROR(__xludf.DUMMYFUNCTION("GOOGLETRANSLATE(A2092, ""en"", ""te"")"),"గర్వి గుజరాత్ గుజరాతీ చక్రి")</f>
        <v>గర్వి గుజరాత్ గుజరాతీ చక్రి</v>
      </c>
      <c r="C2092" s="4" t="str">
        <f>IFERROR(__xludf.DUMMYFUNCTION("GOOGLETRANSLATE(A2092, ""en"", ""hi"")"),"गरवी गुजरात गुजराती चक्री")</f>
        <v>गरवी गुजरात गुजराती चक्री</v>
      </c>
      <c r="D2092" s="2" t="s">
        <v>7600</v>
      </c>
      <c r="E2092" s="2" t="s">
        <v>1294</v>
      </c>
      <c r="F2092" s="1">
        <v>4.0</v>
      </c>
      <c r="G2092" s="3" t="s">
        <v>10</v>
      </c>
    </row>
    <row r="2093">
      <c r="A2093" s="3" t="s">
        <v>3181</v>
      </c>
      <c r="B2093" s="4" t="str">
        <f>IFERROR(__xludf.DUMMYFUNCTION("GOOGLETRANSLATE(A2093, ""en"", ""te"")"),"గర్వి గుజరాత్ డ్రై సమోసా")</f>
        <v>గర్వి గుజరాత్ డ్రై సమోసా</v>
      </c>
      <c r="C2093" s="4" t="str">
        <f>IFERROR(__xludf.DUMMYFUNCTION("GOOGLETRANSLATE(A2093, ""en"", ""hi"")"),"गरवी गुजरात ड्राई समोसा")</f>
        <v>गरवी गुजरात ड्राई समोसा</v>
      </c>
      <c r="D2093" s="5"/>
      <c r="E2093" s="2" t="s">
        <v>1294</v>
      </c>
      <c r="F2093" s="1">
        <v>4.0</v>
      </c>
      <c r="G2093" s="3" t="s">
        <v>10</v>
      </c>
    </row>
    <row r="2094">
      <c r="A2094" s="3" t="s">
        <v>3179</v>
      </c>
      <c r="B2094" s="4" t="str">
        <f>IFERROR(__xludf.DUMMYFUNCTION("GOOGLETRANSLATE(A2094, ""en"", ""te"")"),"గర్వి గుజరాత్ డ్రై కచోరి")</f>
        <v>గర్వి గుజరాత్ డ్రై కచోరి</v>
      </c>
      <c r="C2094" s="4" t="str">
        <f>IFERROR(__xludf.DUMMYFUNCTION("GOOGLETRANSLATE(A2094, ""en"", ""hi"")"),"गरवी गुजरात ड्राई कचौरी")</f>
        <v>गरवी गुजरात ड्राई कचौरी</v>
      </c>
      <c r="D2094" s="5"/>
      <c r="E2094" s="2" t="s">
        <v>1294</v>
      </c>
      <c r="F2094" s="1">
        <v>4.0</v>
      </c>
      <c r="G2094" s="3" t="s">
        <v>10</v>
      </c>
    </row>
    <row r="2095">
      <c r="A2095" s="3" t="s">
        <v>7842</v>
      </c>
      <c r="B2095" s="4" t="str">
        <f>IFERROR(__xludf.DUMMYFUNCTION("GOOGLETRANSLATE(A2095, ""en"", ""te"")"),"గర్వి గుజరాత్ చనా జోర్ గరం")</f>
        <v>గర్వి గుజరాత్ చనా జోర్ గరం</v>
      </c>
      <c r="C2095" s="4" t="str">
        <f>IFERROR(__xludf.DUMMYFUNCTION("GOOGLETRANSLATE(A2095, ""en"", ""hi"")"),"गरवी गुजरात चना जोर गरम")</f>
        <v>गरवी गुजरात चना जोर गरम</v>
      </c>
      <c r="D2095" s="2" t="s">
        <v>7843</v>
      </c>
      <c r="E2095" s="2" t="s">
        <v>1294</v>
      </c>
      <c r="F2095" s="1">
        <v>4.0</v>
      </c>
      <c r="G2095" s="3" t="s">
        <v>10</v>
      </c>
    </row>
    <row r="2096">
      <c r="A2096" s="3" t="s">
        <v>3166</v>
      </c>
      <c r="B2096" s="4" t="str">
        <f>IFERROR(__xludf.DUMMYFUNCTION("GOOGLETRANSLATE(A2096, ""en"", ""te"")"),"గర్వి గుజరాత్ భాకర్వాడి")</f>
        <v>గర్వి గుజరాత్ భాకర్వాడి</v>
      </c>
      <c r="C2096" s="4" t="str">
        <f>IFERROR(__xludf.DUMMYFUNCTION("GOOGLETRANSLATE(A2096, ""en"", ""hi"")"),"गरवी गुजरात भाकरवाड़ी")</f>
        <v>गरवी गुजरात भाकरवाड़ी</v>
      </c>
      <c r="D2096" s="2" t="s">
        <v>7844</v>
      </c>
      <c r="E2096" s="2" t="s">
        <v>1294</v>
      </c>
      <c r="F2096" s="1">
        <v>4.0</v>
      </c>
      <c r="G2096" s="3" t="s">
        <v>10</v>
      </c>
    </row>
    <row r="2097">
      <c r="A2097" s="3" t="s">
        <v>7530</v>
      </c>
      <c r="B2097" s="4" t="str">
        <f>IFERROR(__xludf.DUMMYFUNCTION("GOOGLETRANSLATE(A2097, ""en"", ""te"")"),"రాజు భాత కని")</f>
        <v>రాజు భాత కని</v>
      </c>
      <c r="C2097" s="4" t="str">
        <f>IFERROR(__xludf.DUMMYFUNCTION("GOOGLETRANSLATE(A2097, ""en"", ""hi"")"),"राजू भाथा कानी")</f>
        <v>राजू भाथा कानी</v>
      </c>
      <c r="D2097" s="2" t="s">
        <v>7531</v>
      </c>
      <c r="E2097" s="2" t="s">
        <v>67</v>
      </c>
      <c r="F2097" s="1">
        <v>4.0</v>
      </c>
      <c r="G2097" s="3" t="s">
        <v>508</v>
      </c>
    </row>
    <row r="2098">
      <c r="A2098" s="3" t="s">
        <v>7862</v>
      </c>
      <c r="B2098" s="4" t="str">
        <f>IFERROR(__xludf.DUMMYFUNCTION("GOOGLETRANSLATE(A2098, ""en"", ""te"")"),"రాజు భాత")</f>
        <v>రాజు భాత</v>
      </c>
      <c r="C2098" s="4" t="str">
        <f>IFERROR(__xludf.DUMMYFUNCTION("GOOGLETRANSLATE(A2098, ""en"", ""hi"")"),"राजू भाथा")</f>
        <v>राजू भाथा</v>
      </c>
      <c r="D2098" s="2" t="s">
        <v>7547</v>
      </c>
      <c r="E2098" s="2" t="s">
        <v>4100</v>
      </c>
      <c r="F2098" s="1">
        <v>4.0</v>
      </c>
      <c r="G2098" s="3" t="s">
        <v>508</v>
      </c>
    </row>
    <row r="2099">
      <c r="A2099" s="3" t="s">
        <v>7863</v>
      </c>
      <c r="B2099" s="4" t="str">
        <f>IFERROR(__xludf.DUMMYFUNCTION("GOOGLETRANSLATE(A2099, ""en"", ""te"")"),"హల్దీరామ్స్ బూందీ సాల్ట్")</f>
        <v>హల్దీరామ్స్ బూందీ సాల్ట్</v>
      </c>
      <c r="C2099" s="4" t="str">
        <f>IFERROR(__xludf.DUMMYFUNCTION("GOOGLETRANSLATE(A2099, ""en"", ""hi"")"),"हल्दीराम का बूंदी नमक")</f>
        <v>हल्दीराम का बूंदी नमक</v>
      </c>
      <c r="D2099" s="2" t="s">
        <v>7276</v>
      </c>
      <c r="E2099" s="2" t="s">
        <v>996</v>
      </c>
      <c r="F2099" s="1">
        <v>4.0</v>
      </c>
      <c r="G2099" s="3" t="s">
        <v>508</v>
      </c>
    </row>
    <row r="2100">
      <c r="A2100" s="3" t="s">
        <v>7864</v>
      </c>
      <c r="B2100" s="4" t="str">
        <f>IFERROR(__xludf.DUMMYFUNCTION("GOOGLETRANSLATE(A2100, ""en"", ""te"")"),"చిటాలే రత్లామి మిశ్రమం")</f>
        <v>చిటాలే రత్లామి మిశ్రమం</v>
      </c>
      <c r="C2100" s="4" t="str">
        <f>IFERROR(__xludf.DUMMYFUNCTION("GOOGLETRANSLATE(A2100, ""en"", ""hi"")"),"चिताले रतलामी मिश्रण")</f>
        <v>चिताले रतलामी मिश्रण</v>
      </c>
      <c r="D2100" s="2" t="s">
        <v>7028</v>
      </c>
      <c r="E2100" s="2" t="s">
        <v>1294</v>
      </c>
      <c r="F2100" s="1">
        <v>4.0</v>
      </c>
      <c r="G2100" s="3" t="s">
        <v>508</v>
      </c>
    </row>
    <row r="2101">
      <c r="A2101" s="3" t="s">
        <v>7865</v>
      </c>
      <c r="B2101" s="4" t="str">
        <f>IFERROR(__xludf.DUMMYFUNCTION("GOOGLETRANSLATE(A2101, ""en"", ""te"")"),"చిటాలే బకర్వాడి")</f>
        <v>చిటాలే బకర్వాడి</v>
      </c>
      <c r="C2101" s="4" t="str">
        <f>IFERROR(__xludf.DUMMYFUNCTION("GOOGLETRANSLATE(A2101, ""en"", ""hi"")"),"चिताले बकरवाड़ी")</f>
        <v>चिताले बकरवाड़ी</v>
      </c>
      <c r="D2101" s="2" t="s">
        <v>7866</v>
      </c>
      <c r="E2101" s="2" t="s">
        <v>1294</v>
      </c>
      <c r="F2101" s="1">
        <v>4.0</v>
      </c>
      <c r="G2101" s="3" t="s">
        <v>518</v>
      </c>
    </row>
    <row r="2102">
      <c r="A2102" s="3" t="s">
        <v>7867</v>
      </c>
      <c r="B2102" s="4" t="str">
        <f>IFERROR(__xludf.DUMMYFUNCTION("GOOGLETRANSLATE(A2102, ""en"", ""te"")"),"చిటాలే చనా చోర్ సమోసా")</f>
        <v>చిటాలే చనా చోర్ సమోసా</v>
      </c>
      <c r="C2102" s="4" t="str">
        <f>IFERROR(__xludf.DUMMYFUNCTION("GOOGLETRANSLATE(A2102, ""en"", ""hi"")"),"चिताले चना चोर समोसा")</f>
        <v>चिताले चना चोर समोसा</v>
      </c>
      <c r="D2102" s="2" t="s">
        <v>7843</v>
      </c>
      <c r="E2102" s="2" t="s">
        <v>1294</v>
      </c>
      <c r="F2102" s="1">
        <v>4.0</v>
      </c>
      <c r="G2102" s="3" t="s">
        <v>518</v>
      </c>
    </row>
    <row r="2103">
      <c r="A2103" s="3" t="s">
        <v>7868</v>
      </c>
      <c r="B2103" s="4" t="str">
        <f>IFERROR(__xludf.DUMMYFUNCTION("GOOGLETRANSLATE(A2103, ""en"", ""te"")"),"చిటాలే చక్లి")</f>
        <v>చిటాలే చక్లి</v>
      </c>
      <c r="C2103" s="4" t="str">
        <f>IFERROR(__xludf.DUMMYFUNCTION("GOOGLETRANSLATE(A2103, ""en"", ""hi"")"),"चिताले चकली")</f>
        <v>चिताले चकली</v>
      </c>
      <c r="D2103" s="2" t="s">
        <v>7319</v>
      </c>
      <c r="E2103" s="2" t="s">
        <v>1294</v>
      </c>
      <c r="F2103" s="1">
        <v>4.0</v>
      </c>
      <c r="G2103" s="3" t="s">
        <v>518</v>
      </c>
    </row>
    <row r="2104">
      <c r="A2104" s="3" t="s">
        <v>7743</v>
      </c>
      <c r="B2104" s="4" t="str">
        <f>IFERROR(__xludf.DUMMYFUNCTION("GOOGLETRANSLATE(A2104, ""en"", ""te"")"),"యూరో మద్రాసీ మిక్స్")</f>
        <v>యూరో మద్రాసీ మిక్స్</v>
      </c>
      <c r="C2104" s="4" t="str">
        <f>IFERROR(__xludf.DUMMYFUNCTION("GOOGLETRANSLATE(A2104, ""en"", ""hi"")"),"यूरो मद्रासी मिक्स")</f>
        <v>यूरो मद्रासी मिक्स</v>
      </c>
      <c r="D2104" s="2" t="s">
        <v>7028</v>
      </c>
      <c r="E2104" s="2" t="s">
        <v>1294</v>
      </c>
      <c r="F2104" s="1">
        <v>4.0</v>
      </c>
      <c r="G2104" s="3" t="s">
        <v>518</v>
      </c>
    </row>
    <row r="2105">
      <c r="A2105" s="3" t="s">
        <v>7744</v>
      </c>
      <c r="B2105" s="4" t="str">
        <f>IFERROR(__xludf.DUMMYFUNCTION("GOOGLETRANSLATE(A2105, ""en"", ""te"")"),"యూరో గార్లిక్ చివ్డా")</f>
        <v>యూరో గార్లిక్ చివ్డా</v>
      </c>
      <c r="C2105" s="4" t="str">
        <f>IFERROR(__xludf.DUMMYFUNCTION("GOOGLETRANSLATE(A2105, ""en"", ""hi"")"),"यूरो गार्लिक चिवड़ा")</f>
        <v>यूरो गार्लिक चिवड़ा</v>
      </c>
      <c r="D2105" s="2" t="s">
        <v>7745</v>
      </c>
      <c r="E2105" s="2" t="s">
        <v>1294</v>
      </c>
      <c r="F2105" s="1">
        <v>4.0</v>
      </c>
      <c r="G2105" s="3" t="s">
        <v>518</v>
      </c>
    </row>
    <row r="2106">
      <c r="A2106" s="3" t="s">
        <v>3181</v>
      </c>
      <c r="B2106" s="4" t="str">
        <f>IFERROR(__xludf.DUMMYFUNCTION("GOOGLETRANSLATE(A2106, ""en"", ""te"")"),"గర్వి గుజరాత్ డ్రై సమోసా")</f>
        <v>గర్వి గుజరాత్ డ్రై సమోసా</v>
      </c>
      <c r="C2106" s="4" t="str">
        <f>IFERROR(__xludf.DUMMYFUNCTION("GOOGLETRANSLATE(A2106, ""en"", ""hi"")"),"गरवी गुजरात ड्राई समोसा")</f>
        <v>गरवी गुजरात ड्राई समोसा</v>
      </c>
      <c r="D2106" s="5"/>
      <c r="E2106" s="2" t="s">
        <v>1294</v>
      </c>
      <c r="F2106" s="1">
        <v>4.0</v>
      </c>
      <c r="G2106" s="3" t="s">
        <v>518</v>
      </c>
    </row>
    <row r="2107">
      <c r="A2107" s="3" t="s">
        <v>7869</v>
      </c>
      <c r="B2107" s="4" t="str">
        <f>IFERROR(__xludf.DUMMYFUNCTION("GOOGLETRANSLATE(A2107, ""en"", ""te"")"),"పోహా అటుకుల")</f>
        <v>పోహా అటుకుల</v>
      </c>
      <c r="C2107" s="4" t="str">
        <f>IFERROR(__xludf.DUMMYFUNCTION("GOOGLETRANSLATE(A2107, ""en"", ""hi"")"),"पोहा अटुकुला")</f>
        <v>पोहा अटुकुला</v>
      </c>
      <c r="D2107" s="2" t="s">
        <v>4932</v>
      </c>
      <c r="E2107" s="2" t="s">
        <v>2649</v>
      </c>
      <c r="F2107" s="1">
        <v>4.0</v>
      </c>
      <c r="G2107" s="3" t="s">
        <v>518</v>
      </c>
    </row>
    <row r="2108">
      <c r="A2108" s="3" t="s">
        <v>7741</v>
      </c>
      <c r="B2108" s="4" t="str">
        <f>IFERROR(__xludf.DUMMYFUNCTION("GOOGLETRANSLATE(A2108, ""en"", ""te"")"),"యూరో నవరతన్ మిశ్రమం")</f>
        <v>యూరో నవరతన్ మిశ్రమం</v>
      </c>
      <c r="C2108" s="4" t="str">
        <f>IFERROR(__xludf.DUMMYFUNCTION("GOOGLETRANSLATE(A2108, ""en"", ""hi"")"),"यूरो नवरतन मिश्रण")</f>
        <v>यूरो नवरतन मिश्रण</v>
      </c>
      <c r="D2108" s="2" t="s">
        <v>7028</v>
      </c>
      <c r="E2108" s="2" t="s">
        <v>1294</v>
      </c>
      <c r="F2108" s="1">
        <v>4.0</v>
      </c>
      <c r="G2108" s="3" t="s">
        <v>524</v>
      </c>
    </row>
    <row r="2109">
      <c r="A2109" s="3" t="s">
        <v>7870</v>
      </c>
      <c r="B2109" s="4" t="str">
        <f>IFERROR(__xludf.DUMMYFUNCTION("GOOGLETRANSLATE(A2109, ""en"", ""te"")"),"హల్దీరామ్ సమోసా")</f>
        <v>హల్దీరామ్ సమోసా</v>
      </c>
      <c r="C2109" s="4" t="str">
        <f>IFERROR(__xludf.DUMMYFUNCTION("GOOGLETRANSLATE(A2109, ""en"", ""hi"")"),"हल्दीराम का समोसा")</f>
        <v>हल्दीराम का समोसा</v>
      </c>
      <c r="D2109" s="2" t="s">
        <v>7871</v>
      </c>
      <c r="E2109" s="2" t="s">
        <v>1294</v>
      </c>
      <c r="F2109" s="1">
        <v>4.0</v>
      </c>
      <c r="G2109" s="3" t="s">
        <v>524</v>
      </c>
    </row>
    <row r="2110">
      <c r="A2110" s="3" t="s">
        <v>7852</v>
      </c>
      <c r="B2110" s="4" t="str">
        <f>IFERROR(__xludf.DUMMYFUNCTION("GOOGLETRANSLATE(A2110, ""en"", ""te"")"),"హల్దీరామ్ నవరత్న")</f>
        <v>హల్దీరామ్ నవరత్న</v>
      </c>
      <c r="C2110" s="4" t="str">
        <f>IFERROR(__xludf.DUMMYFUNCTION("GOOGLETRANSLATE(A2110, ""en"", ""hi"")"),"हल्दीराम का नवरतन")</f>
        <v>हल्दीराम का नवरतन</v>
      </c>
      <c r="D2110" s="5"/>
      <c r="E2110" s="2" t="s">
        <v>1294</v>
      </c>
      <c r="F2110" s="1">
        <v>4.0</v>
      </c>
      <c r="G2110" s="3" t="s">
        <v>524</v>
      </c>
    </row>
    <row r="2111">
      <c r="A2111" s="3" t="s">
        <v>7853</v>
      </c>
      <c r="B2111" s="4" t="str">
        <f>IFERROR(__xludf.DUMMYFUNCTION("GOOGLETRANSLATE(A2111, ""en"", ""te"")"),"హల్దీరామ్ పంజాబీ తడ్కా")</f>
        <v>హల్దీరామ్ పంజాబీ తడ్కా</v>
      </c>
      <c r="C2111" s="4" t="str">
        <f>IFERROR(__xludf.DUMMYFUNCTION("GOOGLETRANSLATE(A2111, ""en"", ""hi"")"),"हल्दीराम का पंजाबी तड़का")</f>
        <v>हल्दीराम का पंजाबी तड़का</v>
      </c>
      <c r="D2111" s="2" t="s">
        <v>7854</v>
      </c>
      <c r="E2111" s="2" t="s">
        <v>1294</v>
      </c>
      <c r="F2111" s="1">
        <v>4.0</v>
      </c>
      <c r="G2111" s="3" t="s">
        <v>524</v>
      </c>
    </row>
    <row r="2112">
      <c r="A2112" s="3" t="s">
        <v>7526</v>
      </c>
      <c r="B2112" s="4" t="str">
        <f>IFERROR(__xludf.DUMMYFUNCTION("GOOGLETRANSLATE(A2112, ""en"", ""te"")"),"హల్దీరామ్స్ ఆలూ భుజియా")</f>
        <v>హల్దీరామ్స్ ఆలూ భుజియా</v>
      </c>
      <c r="C2112" s="4" t="str">
        <f>IFERROR(__xludf.DUMMYFUNCTION("GOOGLETRANSLATE(A2112, ""en"", ""hi"")"),"हल्दीराम की आलू भुजिया")</f>
        <v>हल्दीराम की आलू भुजिया</v>
      </c>
      <c r="D2112" s="2" t="s">
        <v>7527</v>
      </c>
      <c r="E2112" s="2" t="s">
        <v>1294</v>
      </c>
      <c r="F2112" s="1">
        <v>4.0</v>
      </c>
      <c r="G2112" s="3" t="s">
        <v>524</v>
      </c>
    </row>
    <row r="2113">
      <c r="A2113" s="3" t="s">
        <v>7729</v>
      </c>
      <c r="B2113" s="4" t="str">
        <f>IFERROR(__xludf.DUMMYFUNCTION("GOOGLETRANSLATE(A2113, ""en"", ""te"")"),"హల్దీరామ్స్ భుజియా")</f>
        <v>హల్దీరామ్స్ భుజియా</v>
      </c>
      <c r="C2113" s="4" t="str">
        <f>IFERROR(__xludf.DUMMYFUNCTION("GOOGLETRANSLATE(A2113, ""en"", ""hi"")"),"हल्दीराम की भुजिया")</f>
        <v>हल्दीराम की भुजिया</v>
      </c>
      <c r="D2113" s="2" t="s">
        <v>7557</v>
      </c>
      <c r="E2113" s="2" t="s">
        <v>1294</v>
      </c>
      <c r="F2113" s="1">
        <v>4.0</v>
      </c>
      <c r="G2113" s="3" t="s">
        <v>524</v>
      </c>
    </row>
    <row r="2114">
      <c r="A2114" s="3" t="s">
        <v>7526</v>
      </c>
      <c r="B2114" s="4" t="str">
        <f>IFERROR(__xludf.DUMMYFUNCTION("GOOGLETRANSLATE(A2114, ""en"", ""te"")"),"హల్దీరామ్స్ ఆలూ భుజియా")</f>
        <v>హల్దీరామ్స్ ఆలూ భుజియా</v>
      </c>
      <c r="C2114" s="4" t="str">
        <f>IFERROR(__xludf.DUMMYFUNCTION("GOOGLETRANSLATE(A2114, ""en"", ""hi"")"),"हल्दीराम की आलू भुजिया")</f>
        <v>हल्दीराम की आलू भुजिया</v>
      </c>
      <c r="D2114" s="2" t="s">
        <v>7527</v>
      </c>
      <c r="E2114" s="2" t="s">
        <v>1294</v>
      </c>
      <c r="F2114" s="1">
        <v>4.0</v>
      </c>
      <c r="G2114" s="3" t="s">
        <v>530</v>
      </c>
    </row>
    <row r="2115">
      <c r="A2115" s="3" t="s">
        <v>7872</v>
      </c>
      <c r="B2115" s="4" t="str">
        <f>IFERROR(__xludf.DUMMYFUNCTION("GOOGLETRANSLATE(A2115, ""en"", ""te"")"),"లిము మారి సెవ్")</f>
        <v>లిము మారి సెవ్</v>
      </c>
      <c r="C2115" s="4" t="str">
        <f>IFERROR(__xludf.DUMMYFUNCTION("GOOGLETRANSLATE(A2115, ""en"", ""hi"")"),"लिमु मारी सेव")</f>
        <v>लिमु मारी सेव</v>
      </c>
      <c r="D2115" s="5"/>
      <c r="E2115" s="2" t="s">
        <v>1294</v>
      </c>
      <c r="F2115" s="1">
        <v>4.0</v>
      </c>
      <c r="G2115" s="3" t="s">
        <v>530</v>
      </c>
    </row>
    <row r="2116">
      <c r="A2116" s="3" t="s">
        <v>7836</v>
      </c>
      <c r="B2116" s="4" t="str">
        <f>IFERROR(__xludf.DUMMYFUNCTION("GOOGLETRANSLATE(A2116, ""en"", ""te"")"),"రాజు చనా దాల్")</f>
        <v>రాజు చనా దాల్</v>
      </c>
      <c r="C2116" s="4" t="str">
        <f>IFERROR(__xludf.DUMMYFUNCTION("GOOGLETRANSLATE(A2116, ""en"", ""hi"")"),"राजू चना दाल")</f>
        <v>राजू चना दाल</v>
      </c>
      <c r="D2116" s="2" t="s">
        <v>3379</v>
      </c>
      <c r="E2116" s="2" t="s">
        <v>1038</v>
      </c>
      <c r="F2116" s="1">
        <v>4.0</v>
      </c>
      <c r="G2116" s="3" t="s">
        <v>530</v>
      </c>
    </row>
    <row r="2117">
      <c r="A2117" s="3" t="s">
        <v>7873</v>
      </c>
      <c r="B2117" s="4" t="str">
        <f>IFERROR(__xludf.DUMMYFUNCTION("GOOGLETRANSLATE(A2117, ""en"", ""te"")"),"చివ్డా")</f>
        <v>చివ్డా</v>
      </c>
      <c r="C2117" s="4" t="str">
        <f>IFERROR(__xludf.DUMMYFUNCTION("GOOGLETRANSLATE(A2117, ""en"", ""hi"")"),"चिवड़ा")</f>
        <v>चिवड़ा</v>
      </c>
      <c r="D2117" s="5"/>
      <c r="E2117" s="2" t="s">
        <v>1294</v>
      </c>
      <c r="F2117" s="1">
        <v>4.0</v>
      </c>
      <c r="G2117" s="3" t="s">
        <v>530</v>
      </c>
    </row>
    <row r="2118">
      <c r="A2118" s="3" t="s">
        <v>3181</v>
      </c>
      <c r="B2118" s="4" t="str">
        <f>IFERROR(__xludf.DUMMYFUNCTION("GOOGLETRANSLATE(A2118, ""en"", ""te"")"),"గర్వి గుజరాత్ డ్రై సమోసా")</f>
        <v>గర్వి గుజరాత్ డ్రై సమోసా</v>
      </c>
      <c r="C2118" s="4" t="str">
        <f>IFERROR(__xludf.DUMMYFUNCTION("GOOGLETRANSLATE(A2118, ""en"", ""hi"")"),"गरवी गुजरात ड्राई समोसा")</f>
        <v>गरवी गुजरात ड्राई समोसा</v>
      </c>
      <c r="D2118" s="5"/>
      <c r="E2118" s="2" t="s">
        <v>1294</v>
      </c>
      <c r="F2118" s="1">
        <v>4.0</v>
      </c>
      <c r="G2118" s="3" t="s">
        <v>449</v>
      </c>
    </row>
    <row r="2119">
      <c r="A2119" s="3" t="s">
        <v>3179</v>
      </c>
      <c r="B2119" s="4" t="str">
        <f>IFERROR(__xludf.DUMMYFUNCTION("GOOGLETRANSLATE(A2119, ""en"", ""te"")"),"గర్వి గుజరాత్ డ్రై కచోరి")</f>
        <v>గర్వి గుజరాత్ డ్రై కచోరి</v>
      </c>
      <c r="C2119" s="4" t="str">
        <f>IFERROR(__xludf.DUMMYFUNCTION("GOOGLETRANSLATE(A2119, ""en"", ""hi"")"),"गरवी गुजरात ड्राई कचौरी")</f>
        <v>गरवी गुजरात ड्राई कचौरी</v>
      </c>
      <c r="D2119" s="5"/>
      <c r="E2119" s="2" t="s">
        <v>1294</v>
      </c>
      <c r="F2119" s="1">
        <v>4.0</v>
      </c>
      <c r="G2119" s="3" t="s">
        <v>449</v>
      </c>
    </row>
    <row r="2120">
      <c r="A2120" s="3" t="s">
        <v>7874</v>
      </c>
      <c r="B2120" s="4" t="str">
        <f>IFERROR(__xludf.DUMMYFUNCTION("GOOGLETRANSLATE(A2120, ""en"", ""te"")"),"అలు భుజియా")</f>
        <v>అలు భుజియా</v>
      </c>
      <c r="C2120" s="4" t="str">
        <f>IFERROR(__xludf.DUMMYFUNCTION("GOOGLETRANSLATE(A2120, ""en"", ""hi"")"),"आलू भुजिया")</f>
        <v>आलू भुजिया</v>
      </c>
      <c r="D2120" s="2" t="s">
        <v>7557</v>
      </c>
      <c r="E2120" s="2" t="s">
        <v>1294</v>
      </c>
      <c r="F2120" s="1">
        <v>4.0</v>
      </c>
      <c r="G2120" s="3" t="s">
        <v>508</v>
      </c>
    </row>
    <row r="2121">
      <c r="A2121" s="3" t="s">
        <v>7875</v>
      </c>
      <c r="B2121" s="4" t="str">
        <f>IFERROR(__xludf.DUMMYFUNCTION("GOOGLETRANSLATE(A2121, ""en"", ""te"")"),"గణేష్ భెల్")</f>
        <v>గణేష్ భెల్</v>
      </c>
      <c r="C2121" s="4" t="str">
        <f>IFERROR(__xludf.DUMMYFUNCTION("GOOGLETRANSLATE(A2121, ""en"", ""hi"")"),"गणेश भेल")</f>
        <v>गणेश भेल</v>
      </c>
      <c r="D2121" s="2" t="s">
        <v>7067</v>
      </c>
      <c r="E2121" s="2" t="s">
        <v>1294</v>
      </c>
      <c r="F2121" s="1">
        <v>4.0</v>
      </c>
      <c r="G2121" s="3" t="s">
        <v>508</v>
      </c>
    </row>
    <row r="2122">
      <c r="A2122" s="3" t="s">
        <v>7876</v>
      </c>
      <c r="B2122" s="4" t="str">
        <f>IFERROR(__xludf.DUMMYFUNCTION("GOOGLETRANSLATE(A2122, ""en"", ""te"")"),"కరాచీ డ్రై-ఫ్రూట్ కచోరీ")</f>
        <v>కరాచీ డ్రై-ఫ్రూట్ కచోరీ</v>
      </c>
      <c r="C2122" s="4" t="str">
        <f>IFERROR(__xludf.DUMMYFUNCTION("GOOGLETRANSLATE(A2122, ""en"", ""hi"")"),"कराची की ड्राई फ्रूट कचौरी")</f>
        <v>कराची की ड्राई फ्रूट कचौरी</v>
      </c>
      <c r="D2122" s="2" t="s">
        <v>1087</v>
      </c>
      <c r="E2122" s="2" t="s">
        <v>1294</v>
      </c>
      <c r="F2122" s="1">
        <v>4.0</v>
      </c>
      <c r="G2122" s="3" t="s">
        <v>518</v>
      </c>
    </row>
    <row r="2123">
      <c r="A2123" s="3" t="s">
        <v>7877</v>
      </c>
      <c r="B2123" s="4" t="str">
        <f>IFERROR(__xludf.DUMMYFUNCTION("GOOGLETRANSLATE(A2123, ""en"", ""te"")"),"బాన్సీ భేల్ పూరీ కిట్")</f>
        <v>బాన్సీ భేల్ పూరీ కిట్</v>
      </c>
      <c r="C2123" s="4" t="str">
        <f>IFERROR(__xludf.DUMMYFUNCTION("GOOGLETRANSLATE(A2123, ""en"", ""hi"")"),"बंसी भेल पूरी किट")</f>
        <v>बंसी भेल पूरी किट</v>
      </c>
      <c r="D2123" s="2" t="s">
        <v>7807</v>
      </c>
      <c r="E2123" s="2" t="s">
        <v>1294</v>
      </c>
      <c r="F2123" s="1">
        <v>4.0</v>
      </c>
      <c r="G2123" s="3" t="s">
        <v>518</v>
      </c>
    </row>
    <row r="2124">
      <c r="A2124" s="3" t="s">
        <v>7878</v>
      </c>
      <c r="B2124" s="4" t="str">
        <f>IFERROR(__xludf.DUMMYFUNCTION("GOOGLETRANSLATE(A2124, ""en"", ""te"")"),"చిటాలే చనా చాట్ సమోసా")</f>
        <v>చిటాలే చనా చాట్ సమోసా</v>
      </c>
      <c r="C2124" s="4" t="str">
        <f>IFERROR(__xludf.DUMMYFUNCTION("GOOGLETRANSLATE(A2124, ""en"", ""hi"")"),"चिताले चना चाट समोसा")</f>
        <v>चिताले चना चाट समोसा</v>
      </c>
      <c r="D2124" s="2" t="s">
        <v>7879</v>
      </c>
      <c r="E2124" s="2" t="s">
        <v>1294</v>
      </c>
      <c r="F2124" s="1">
        <v>4.0</v>
      </c>
      <c r="G2124" s="3" t="s">
        <v>518</v>
      </c>
    </row>
    <row r="2125">
      <c r="A2125" s="3" t="s">
        <v>4826</v>
      </c>
      <c r="B2125" s="4" t="str">
        <f>IFERROR(__xludf.DUMMYFUNCTION("GOOGLETRANSLATE(A2125, ""en"", ""te"")"),"మురి")</f>
        <v>మురి</v>
      </c>
      <c r="C2125" s="4" t="str">
        <f>IFERROR(__xludf.DUMMYFUNCTION("GOOGLETRANSLATE(A2125, ""en"", ""hi"")"),"मूरी")</f>
        <v>मूरी</v>
      </c>
      <c r="D2125" s="5"/>
      <c r="E2125" s="2" t="s">
        <v>2700</v>
      </c>
      <c r="F2125" s="1">
        <v>4.0</v>
      </c>
      <c r="G2125" s="3" t="s">
        <v>524</v>
      </c>
    </row>
    <row r="2126">
      <c r="A2126" s="3" t="s">
        <v>7880</v>
      </c>
      <c r="B2126" s="4" t="str">
        <f>IFERROR(__xludf.DUMMYFUNCTION("GOOGLETRANSLATE(A2126, ""en"", ""te"")"),"యూరో నవరతన్ మిక్స్‌టప్")</f>
        <v>యూరో నవరతన్ మిక్స్‌టప్</v>
      </c>
      <c r="C2126" s="4" t="str">
        <f>IFERROR(__xludf.DUMMYFUNCTION("GOOGLETRANSLATE(A2126, ""en"", ""hi"")"),"यूरो नवरतन मिक्सटअप")</f>
        <v>यूरो नवरतन मिक्सटअप</v>
      </c>
      <c r="D2126" s="2" t="s">
        <v>2520</v>
      </c>
      <c r="E2126" s="2" t="s">
        <v>442</v>
      </c>
      <c r="F2126" s="1">
        <v>4.0</v>
      </c>
      <c r="G2126" s="3" t="s">
        <v>524</v>
      </c>
    </row>
    <row r="2127">
      <c r="A2127" s="3" t="s">
        <v>5900</v>
      </c>
      <c r="B2127" s="4" t="str">
        <f>IFERROR(__xludf.DUMMYFUNCTION("GOOGLETRANSLATE(A2127, ""en"", ""te"")"),"సమోసా")</f>
        <v>సమోసా</v>
      </c>
      <c r="C2127" s="4" t="str">
        <f>IFERROR(__xludf.DUMMYFUNCTION("GOOGLETRANSLATE(A2127, ""en"", ""hi"")"),"समोसा")</f>
        <v>समोसा</v>
      </c>
      <c r="D2127" s="2" t="s">
        <v>7881</v>
      </c>
      <c r="E2127" s="2" t="s">
        <v>1294</v>
      </c>
      <c r="F2127" s="1">
        <v>4.0</v>
      </c>
      <c r="G2127" s="3" t="s">
        <v>524</v>
      </c>
    </row>
    <row r="2128">
      <c r="A2128" s="3" t="s">
        <v>7882</v>
      </c>
      <c r="B2128" s="4" t="str">
        <f>IFERROR(__xludf.DUMMYFUNCTION("GOOGLETRANSLATE(A2128, ""en"", ""te"")"),"హల్దీరామ్స్ నవరతన్")</f>
        <v>హల్దీరామ్స్ నవరతన్</v>
      </c>
      <c r="C2128" s="4" t="str">
        <f>IFERROR(__xludf.DUMMYFUNCTION("GOOGLETRANSLATE(A2128, ""en"", ""hi"")"),"हल्दीराम नवरतन")</f>
        <v>हल्दीराम नवरतन</v>
      </c>
      <c r="D2128" s="2" t="s">
        <v>7174</v>
      </c>
      <c r="E2128" s="2" t="s">
        <v>3438</v>
      </c>
      <c r="F2128" s="1">
        <v>4.0</v>
      </c>
      <c r="G2128" s="3" t="s">
        <v>524</v>
      </c>
    </row>
    <row r="2129">
      <c r="A2129" s="3" t="s">
        <v>3621</v>
      </c>
      <c r="B2129" s="4" t="str">
        <f>IFERROR(__xludf.DUMMYFUNCTION("GOOGLETRANSLATE(A2129, ""en"", ""te"")"),"హల్దీరామ్స్ పంజాబీ తడ్కా")</f>
        <v>హల్దీరామ్స్ పంజాబీ తడ్కా</v>
      </c>
      <c r="C2129" s="4" t="str">
        <f>IFERROR(__xludf.DUMMYFUNCTION("GOOGLETRANSLATE(A2129, ""en"", ""hi"")"),"हल्दीराम्स पंजाबी तड़का")</f>
        <v>हल्दीराम्स पंजाबी तड़का</v>
      </c>
      <c r="D2129" s="2" t="s">
        <v>7854</v>
      </c>
      <c r="E2129" s="2" t="s">
        <v>1294</v>
      </c>
      <c r="F2129" s="1">
        <v>4.0</v>
      </c>
      <c r="G2129" s="3" t="s">
        <v>524</v>
      </c>
    </row>
    <row r="2130">
      <c r="A2130" s="3" t="s">
        <v>7588</v>
      </c>
      <c r="B2130" s="4" t="str">
        <f>IFERROR(__xludf.DUMMYFUNCTION("GOOGLETRANSLATE(A2130, ""en"", ""te"")"),"జాబ్సన్స్ సోయా స్టిక్స్ మ్యాజిక్ మసాలా")</f>
        <v>జాబ్సన్స్ సోయా స్టిక్స్ మ్యాజిక్ మసాలా</v>
      </c>
      <c r="C2130" s="4" t="str">
        <f>IFERROR(__xludf.DUMMYFUNCTION("GOOGLETRANSLATE(A2130, ""en"", ""hi"")"),"जैब्सन्स सोया स्टिक्स मैजिक मसाला")</f>
        <v>जैब्सन्स सोया स्टिक्स मैजिक मसाला</v>
      </c>
      <c r="D2130" s="5"/>
      <c r="E2130" s="2" t="s">
        <v>1294</v>
      </c>
      <c r="F2130" s="1">
        <v>4.0</v>
      </c>
      <c r="G2130" s="3" t="s">
        <v>530</v>
      </c>
    </row>
    <row r="2131">
      <c r="A2131" s="3" t="s">
        <v>7589</v>
      </c>
      <c r="B2131" s="4" t="str">
        <f>IFERROR(__xludf.DUMMYFUNCTION("GOOGLETRANSLATE(A2131, ""en"", ""te"")"),"జాబ్సన్స్ సోయా స్టిక్స్ టాంగీ టొమాటో")</f>
        <v>జాబ్సన్స్ సోయా స్టిక్స్ టాంగీ టొమాటో</v>
      </c>
      <c r="C2131" s="4" t="str">
        <f>IFERROR(__xludf.DUMMYFUNCTION("GOOGLETRANSLATE(A2131, ""en"", ""hi"")"),"जैब्सन्स सोया स्टिक्स टैंगी टोमैटो")</f>
        <v>जैब्सन्स सोया स्टिक्स टैंगी टोमैटो</v>
      </c>
      <c r="D2131" s="5"/>
      <c r="E2131" s="2" t="s">
        <v>1294</v>
      </c>
      <c r="F2131" s="1">
        <v>4.0</v>
      </c>
      <c r="G2131" s="3" t="s">
        <v>530</v>
      </c>
    </row>
    <row r="2132">
      <c r="A2132" s="3" t="s">
        <v>7590</v>
      </c>
      <c r="B2132" s="4" t="str">
        <f>IFERROR(__xludf.DUMMYFUNCTION("GOOGLETRANSLATE(A2132, ""en"", ""te"")"),"జాబ్సన్స్ సబుదానా మిక్స్")</f>
        <v>జాబ్సన్స్ సబుదానా మిక్స్</v>
      </c>
      <c r="C2132" s="4" t="str">
        <f>IFERROR(__xludf.DUMMYFUNCTION("GOOGLETRANSLATE(A2132, ""en"", ""hi"")"),"जैब्सन्स साबूदाना मिक्स")</f>
        <v>जैब्सन्स साबूदाना मिक्स</v>
      </c>
      <c r="D2132" s="2" t="s">
        <v>6469</v>
      </c>
      <c r="E2132" s="2" t="s">
        <v>940</v>
      </c>
      <c r="F2132" s="1">
        <v>4.0</v>
      </c>
      <c r="G2132" s="3" t="s">
        <v>530</v>
      </c>
    </row>
    <row r="2133">
      <c r="A2133" s="3" t="s">
        <v>7883</v>
      </c>
      <c r="B2133" s="4" t="str">
        <f>IFERROR(__xludf.DUMMYFUNCTION("GOOGLETRANSLATE(A2133, ""en"", ""te"")"),"రాజు ఆలూ భుజియా")</f>
        <v>రాజు ఆలూ భుజియా</v>
      </c>
      <c r="C2133" s="4" t="str">
        <f>IFERROR(__xludf.DUMMYFUNCTION("GOOGLETRANSLATE(A2133, ""en"", ""hi"")"),"राजू आलू भुजिया")</f>
        <v>राजू आलू भुजिया</v>
      </c>
      <c r="D2133" s="2" t="s">
        <v>7527</v>
      </c>
      <c r="E2133" s="2" t="s">
        <v>1294</v>
      </c>
      <c r="F2133" s="1">
        <v>4.0</v>
      </c>
      <c r="G2133" s="3" t="s">
        <v>530</v>
      </c>
    </row>
    <row r="2134">
      <c r="A2134" s="3" t="s">
        <v>7593</v>
      </c>
      <c r="B2134" s="4" t="str">
        <f>IFERROR(__xludf.DUMMYFUNCTION("GOOGLETRANSLATE(A2134, ""en"", ""te"")"),"గర్వి గుజరాత్ సదా సేవ")</f>
        <v>గర్వి గుజరాత్ సదా సేవ</v>
      </c>
      <c r="C2134" s="4" t="str">
        <f>IFERROR(__xludf.DUMMYFUNCTION("GOOGLETRANSLATE(A2134, ""en"", ""hi"")"),"गरवी गुजरात सदा सेव")</f>
        <v>गरवी गुजरात सदा सेव</v>
      </c>
      <c r="D2134" s="2" t="s">
        <v>7174</v>
      </c>
      <c r="E2134" s="2" t="s">
        <v>1294</v>
      </c>
      <c r="F2134" s="1">
        <v>4.0</v>
      </c>
      <c r="G2134" s="3" t="s">
        <v>449</v>
      </c>
    </row>
    <row r="2135">
      <c r="A2135" s="3" t="s">
        <v>7884</v>
      </c>
      <c r="B2135" s="4" t="str">
        <f>IFERROR(__xludf.DUMMYFUNCTION("GOOGLETRANSLATE(A2135, ""en"", ""te"")"),"గర్వి గుజరాత్ పోహా చివ్డా")</f>
        <v>గర్వి గుజరాత్ పోహా చివ్డా</v>
      </c>
      <c r="C2135" s="4" t="str">
        <f>IFERROR(__xludf.DUMMYFUNCTION("GOOGLETRANSLATE(A2135, ""en"", ""hi"")"),"गरवी गुजरात पोहा चिवड़ा")</f>
        <v>गरवी गुजरात पोहा चिवड़ा</v>
      </c>
      <c r="D2135" s="2" t="s">
        <v>7569</v>
      </c>
      <c r="E2135" s="2" t="s">
        <v>2649</v>
      </c>
      <c r="F2135" s="1">
        <v>4.0</v>
      </c>
      <c r="G2135" s="3" t="s">
        <v>449</v>
      </c>
    </row>
    <row r="2136">
      <c r="A2136" s="3" t="s">
        <v>7885</v>
      </c>
      <c r="B2136" s="4" t="str">
        <f>IFERROR(__xludf.DUMMYFUNCTION("GOOGLETRANSLATE(A2136, ""en"", ""te"")"),"బాబు మారి సేవ్")</f>
        <v>బాబు మారి సేవ్</v>
      </c>
      <c r="C2136" s="4" t="str">
        <f>IFERROR(__xludf.DUMMYFUNCTION("GOOGLETRANSLATE(A2136, ""en"", ""hi"")"),"बाबू मारी सेव")</f>
        <v>बाबू मारी सेव</v>
      </c>
      <c r="D2136" s="5"/>
      <c r="E2136" s="2" t="s">
        <v>1294</v>
      </c>
      <c r="F2136" s="1">
        <v>4.0</v>
      </c>
      <c r="G2136" s="3" t="s">
        <v>71</v>
      </c>
    </row>
    <row r="2137">
      <c r="A2137" s="3" t="s">
        <v>7886</v>
      </c>
      <c r="B2137" s="4" t="str">
        <f>IFERROR(__xludf.DUMMYFUNCTION("GOOGLETRANSLATE(A2137, ""en"", ""te"")"),"బాబు చనా దాల్")</f>
        <v>బాబు చనా దాల్</v>
      </c>
      <c r="C2137" s="4" t="str">
        <f>IFERROR(__xludf.DUMMYFUNCTION("GOOGLETRANSLATE(A2137, ""en"", ""hi"")"),"बाबू चना दाल")</f>
        <v>बाबू चना दाल</v>
      </c>
      <c r="D2137" s="5"/>
      <c r="E2137" s="2" t="s">
        <v>1038</v>
      </c>
      <c r="F2137" s="1">
        <v>4.0</v>
      </c>
      <c r="G2137" s="3" t="s">
        <v>71</v>
      </c>
    </row>
    <row r="2138">
      <c r="A2138" s="3" t="s">
        <v>7599</v>
      </c>
      <c r="B2138" s="4" t="str">
        <f>IFERROR(__xludf.DUMMYFUNCTION("GOOGLETRANSLATE(A2138, ""en"", ""te"")"),"గర్వి గుజరాత్ గుజరాతీ చక్రి")</f>
        <v>గర్వి గుజరాత్ గుజరాతీ చక్రి</v>
      </c>
      <c r="C2138" s="4" t="str">
        <f>IFERROR(__xludf.DUMMYFUNCTION("GOOGLETRANSLATE(A2138, ""en"", ""hi"")"),"गरवी गुजरात गुजराती चक्री")</f>
        <v>गरवी गुजरात गुजराती चक्री</v>
      </c>
      <c r="D2138" s="2" t="s">
        <v>7600</v>
      </c>
      <c r="E2138" s="2" t="s">
        <v>1294</v>
      </c>
      <c r="F2138" s="1">
        <v>4.0</v>
      </c>
      <c r="G2138" s="3" t="s">
        <v>76</v>
      </c>
    </row>
    <row r="2139">
      <c r="A2139" s="3" t="s">
        <v>7887</v>
      </c>
      <c r="B2139" s="4" t="str">
        <f>IFERROR(__xludf.DUMMYFUNCTION("GOOGLETRANSLATE(A2139, ""en"", ""te"")"),"గర్వి గుజరాత్ ఫరాలి చివ్డా")</f>
        <v>గర్వి గుజరాత్ ఫరాలి చివ్డా</v>
      </c>
      <c r="C2139" s="4" t="str">
        <f>IFERROR(__xludf.DUMMYFUNCTION("GOOGLETRANSLATE(A2139, ""en"", ""hi"")"),"गरवी गुजरात फराली चिवड़ा")</f>
        <v>गरवी गुजरात फराली चिवड़ा</v>
      </c>
      <c r="D2139" s="2" t="s">
        <v>7569</v>
      </c>
      <c r="E2139" s="2" t="s">
        <v>1294</v>
      </c>
      <c r="F2139" s="1">
        <v>4.0</v>
      </c>
      <c r="G2139" s="3" t="s">
        <v>76</v>
      </c>
    </row>
    <row r="2140">
      <c r="A2140" s="3" t="s">
        <v>3179</v>
      </c>
      <c r="B2140" s="4" t="str">
        <f>IFERROR(__xludf.DUMMYFUNCTION("GOOGLETRANSLATE(A2140, ""en"", ""te"")"),"గర్వి గుజరాత్ డ్రై కచోరి")</f>
        <v>గర్వి గుజరాత్ డ్రై కచోరి</v>
      </c>
      <c r="C2140" s="4" t="str">
        <f>IFERROR(__xludf.DUMMYFUNCTION("GOOGLETRANSLATE(A2140, ""en"", ""hi"")"),"गरवी गुजरात ड्राई कचौरी")</f>
        <v>गरवी गुजरात ड्राई कचौरी</v>
      </c>
      <c r="D2140" s="5"/>
      <c r="E2140" s="2" t="s">
        <v>1294</v>
      </c>
      <c r="F2140" s="1">
        <v>4.0</v>
      </c>
      <c r="G2140" s="3" t="s">
        <v>76</v>
      </c>
    </row>
    <row r="2141">
      <c r="A2141" s="3" t="s">
        <v>7888</v>
      </c>
      <c r="B2141" s="4" t="str">
        <f>IFERROR(__xludf.DUMMYFUNCTION("GOOGLETRANSLATE(A2141, ""en"", ""te"")"),"గర్వి గుజరాత్ గుజరాతీ చక్రి")</f>
        <v>గర్వి గుజరాత్ గుజరాతీ చక్రి</v>
      </c>
      <c r="C2141" s="4" t="str">
        <f>IFERROR(__xludf.DUMMYFUNCTION("GOOGLETRANSLATE(A2141, ""en"", ""hi"")"),"गरवी गुजरात गुजराती चक्री")</f>
        <v>गरवी गुजरात गुजराती चक्री</v>
      </c>
      <c r="D2141" s="2" t="s">
        <v>7600</v>
      </c>
      <c r="E2141" s="2" t="s">
        <v>1294</v>
      </c>
      <c r="F2141" s="1">
        <v>4.0</v>
      </c>
      <c r="G2141" s="3" t="s">
        <v>76</v>
      </c>
    </row>
    <row r="2142">
      <c r="A2142" s="3" t="s">
        <v>7889</v>
      </c>
      <c r="B2142" s="4" t="str">
        <f>IFERROR(__xludf.DUMMYFUNCTION("GOOGLETRANSLATE(A2142, ""en"", ""te"")"),"లేస్ స్పానిష్ టొమాటో టాంగో")</f>
        <v>లేస్ స్పానిష్ టొమాటో టాంగో</v>
      </c>
      <c r="C2142" s="4" t="str">
        <f>IFERROR(__xludf.DUMMYFUNCTION("GOOGLETRANSLATE(A2142, ""en"", ""hi"")"),"लेज़ स्पैनिश टोमैटो टैंगो")</f>
        <v>लेज़ स्पैनिश टोमैटो टैंगो</v>
      </c>
      <c r="D2142" s="5"/>
      <c r="E2142" s="2" t="s">
        <v>1294</v>
      </c>
      <c r="F2142" s="1">
        <v>4.0</v>
      </c>
      <c r="G2142" s="3" t="s">
        <v>85</v>
      </c>
    </row>
    <row r="2143">
      <c r="A2143" s="3" t="s">
        <v>7890</v>
      </c>
      <c r="B2143" s="4" t="str">
        <f>IFERROR(__xludf.DUMMYFUNCTION("GOOGLETRANSLATE(A2143, ""en"", ""te"")"),"శనగ పప్పు")</f>
        <v>శనగ పప్పు</v>
      </c>
      <c r="C2143" s="4" t="str">
        <f>IFERROR(__xludf.DUMMYFUNCTION("GOOGLETRANSLATE(A2143, ""en"", ""hi"")"),"चना दाल")</f>
        <v>चना दाल</v>
      </c>
      <c r="D2143" s="2" t="s">
        <v>7891</v>
      </c>
      <c r="E2143" s="2" t="s">
        <v>1038</v>
      </c>
      <c r="F2143" s="1">
        <v>4.0</v>
      </c>
      <c r="G2143" s="3" t="s">
        <v>446</v>
      </c>
    </row>
    <row r="2144">
      <c r="A2144" s="3" t="s">
        <v>3179</v>
      </c>
      <c r="B2144" s="4" t="str">
        <f>IFERROR(__xludf.DUMMYFUNCTION("GOOGLETRANSLATE(A2144, ""en"", ""te"")"),"గర్వి గుజరాత్ డ్రై కచోరి")</f>
        <v>గర్వి గుజరాత్ డ్రై కచోరి</v>
      </c>
      <c r="C2144" s="4" t="str">
        <f>IFERROR(__xludf.DUMMYFUNCTION("GOOGLETRANSLATE(A2144, ""en"", ""hi"")"),"गरवी गुजरात ड्राई कचौरी")</f>
        <v>गरवी गुजरात ड्राई कचौरी</v>
      </c>
      <c r="D2144" s="5"/>
      <c r="E2144" s="2" t="s">
        <v>1294</v>
      </c>
      <c r="F2144" s="1">
        <v>4.0</v>
      </c>
      <c r="G2144" s="3" t="s">
        <v>492</v>
      </c>
    </row>
    <row r="2145">
      <c r="A2145" s="3" t="s">
        <v>7892</v>
      </c>
      <c r="B2145" s="4" t="str">
        <f>IFERROR(__xludf.DUMMYFUNCTION("GOOGLETRANSLATE(A2145, ""en"", ""te"")"),"గర్వి గుజరాత్ మసాలా మురుక్కు")</f>
        <v>గర్వి గుజరాత్ మసాలా మురుక్కు</v>
      </c>
      <c r="C2145" s="4" t="str">
        <f>IFERROR(__xludf.DUMMYFUNCTION("GOOGLETRANSLATE(A2145, ""en"", ""hi"")"),"गरवी गुजरात मसाला मुरुक्कू")</f>
        <v>गरवी गुजरात मसाला मुरुक्कू</v>
      </c>
      <c r="D2145" s="2" t="s">
        <v>7174</v>
      </c>
      <c r="E2145" s="2" t="s">
        <v>1294</v>
      </c>
      <c r="F2145" s="1">
        <v>4.0</v>
      </c>
      <c r="G2145" s="3" t="s">
        <v>492</v>
      </c>
    </row>
    <row r="2146">
      <c r="A2146" s="3" t="s">
        <v>7893</v>
      </c>
      <c r="B2146" s="4" t="str">
        <f>IFERROR(__xludf.DUMMYFUNCTION("GOOGLETRANSLATE(A2146, ""en"", ""te"")"),"గర్వి గుజరాత్ నగరి గతియా")</f>
        <v>గర్వి గుజరాత్ నగరి గతియా</v>
      </c>
      <c r="C2146" s="4" t="str">
        <f>IFERROR(__xludf.DUMMYFUNCTION("GOOGLETRANSLATE(A2146, ""en"", ""hi"")"),"गरवी गुजरात नागरी गाठिया")</f>
        <v>गरवी गुजरात नागरी गाठिया</v>
      </c>
      <c r="D2146" s="5"/>
      <c r="E2146" s="2" t="s">
        <v>1294</v>
      </c>
      <c r="F2146" s="1">
        <v>4.0</v>
      </c>
      <c r="G2146" s="3" t="s">
        <v>492</v>
      </c>
    </row>
    <row r="2147">
      <c r="A2147" s="3" t="s">
        <v>7894</v>
      </c>
      <c r="B2147" s="4" t="str">
        <f>IFERROR(__xludf.DUMMYFUNCTION("GOOGLETRANSLATE(A2147, ""en"", ""te"")"),"లేస్ సిజ్లింగ్ హాట్")</f>
        <v>లేస్ సిజ్లింగ్ హాట్</v>
      </c>
      <c r="C2147" s="4" t="str">
        <f>IFERROR(__xludf.DUMMYFUNCTION("GOOGLETRANSLATE(A2147, ""en"", ""hi"")"),"लेज़ सिज़लिंग हॉट")</f>
        <v>लेज़ सिज़लिंग हॉट</v>
      </c>
      <c r="D2147" s="5"/>
      <c r="E2147" s="2" t="s">
        <v>1294</v>
      </c>
      <c r="F2147" s="1">
        <v>4.0</v>
      </c>
      <c r="G2147" s="3" t="s">
        <v>7895</v>
      </c>
    </row>
    <row r="2148">
      <c r="A2148" s="3" t="s">
        <v>7896</v>
      </c>
      <c r="B2148" s="4" t="str">
        <f>IFERROR(__xludf.DUMMYFUNCTION("GOOGLETRANSLATE(A2148, ""en"", ""te"")"),"ఆనంద్ స్పైసీ ముల్లు మురుకు")</f>
        <v>ఆనంద్ స్పైసీ ముల్లు మురుకు</v>
      </c>
      <c r="C2148" s="4" t="str">
        <f>IFERROR(__xludf.DUMMYFUNCTION("GOOGLETRANSLATE(A2148, ""en"", ""hi"")"),"आनंद स्पाइसी मुल्लू मुरुक्कू")</f>
        <v>आनंद स्पाइसी मुल्लू मुरुक्कू</v>
      </c>
      <c r="D2148" s="2" t="s">
        <v>7537</v>
      </c>
      <c r="E2148" s="2" t="s">
        <v>1294</v>
      </c>
      <c r="F2148" s="1">
        <v>4.0</v>
      </c>
      <c r="G2148" s="3" t="s">
        <v>446</v>
      </c>
    </row>
    <row r="2149">
      <c r="A2149" s="3" t="s">
        <v>7800</v>
      </c>
      <c r="B2149" s="4" t="str">
        <f>IFERROR(__xludf.DUMMYFUNCTION("GOOGLETRANSLATE(A2149, ""en"", ""te"")"),"ఆనంద్ స్పెషల్ కార్న్‌ఫ్లేక్స్ మిశ్రమం")</f>
        <v>ఆనంద్ స్పెషల్ కార్న్‌ఫ్లేక్స్ మిశ్రమం</v>
      </c>
      <c r="C2149" s="4" t="str">
        <f>IFERROR(__xludf.DUMMYFUNCTION("GOOGLETRANSLATE(A2149, ""en"", ""hi"")"),"आनंद स्पेशल कॉर्नफ्लेक्स मिश्रण")</f>
        <v>आनंद स्पेशल कॉर्नफ्लेक्स मिश्रण</v>
      </c>
      <c r="D2149" s="2" t="s">
        <v>7801</v>
      </c>
      <c r="E2149" s="2" t="s">
        <v>1294</v>
      </c>
      <c r="F2149" s="1">
        <v>4.0</v>
      </c>
      <c r="G2149" s="3" t="s">
        <v>446</v>
      </c>
    </row>
    <row r="2150">
      <c r="A2150" s="3" t="s">
        <v>7897</v>
      </c>
      <c r="B2150" s="4" t="str">
        <f>IFERROR(__xludf.DUMMYFUNCTION("GOOGLETRANSLATE(A2150, ""en"", ""te"")"),"గర్వి గుజరాత్ భావనగరి గతియా")</f>
        <v>గర్వి గుజరాత్ భావనగరి గతియా</v>
      </c>
      <c r="C2150" s="4" t="str">
        <f>IFERROR(__xludf.DUMMYFUNCTION("GOOGLETRANSLATE(A2150, ""en"", ""hi"")"),"गरवी गुजरात भावनगरी गाठिया")</f>
        <v>गरवी गुजरात भावनगरी गाठिया</v>
      </c>
      <c r="D2150" s="5"/>
      <c r="E2150" s="2" t="s">
        <v>1294</v>
      </c>
      <c r="F2150" s="1">
        <v>4.0</v>
      </c>
      <c r="G2150" s="3" t="s">
        <v>492</v>
      </c>
    </row>
    <row r="2151">
      <c r="A2151" s="3" t="s">
        <v>3175</v>
      </c>
      <c r="B2151" s="4" t="str">
        <f>IFERROR(__xludf.DUMMYFUNCTION("GOOGLETRANSLATE(A2151, ""en"", ""te"")"),"గర్వి గుజరాత్ భేల్ సేవ్")</f>
        <v>గర్వి గుజరాత్ భేల్ సేవ్</v>
      </c>
      <c r="C2151" s="4" t="str">
        <f>IFERROR(__xludf.DUMMYFUNCTION("GOOGLETRANSLATE(A2151, ""en"", ""hi"")"),"गरवी गुजरात भेल सेव")</f>
        <v>गरवी गुजरात भेल सेव</v>
      </c>
      <c r="D2151" s="5"/>
      <c r="E2151" s="2" t="s">
        <v>1294</v>
      </c>
      <c r="F2151" s="1">
        <v>4.0</v>
      </c>
      <c r="G2151" s="3" t="s">
        <v>492</v>
      </c>
    </row>
    <row r="2152">
      <c r="A2152" s="3" t="s">
        <v>7809</v>
      </c>
      <c r="B2152" s="4" t="str">
        <f>IFERROR(__xludf.DUMMYFUNCTION("GOOGLETRANSLATE(A2152, ""en"", ""te"")"),"యూరో ఉసల్ సెవ్")</f>
        <v>యూరో ఉసల్ సెవ్</v>
      </c>
      <c r="C2152" s="4" t="str">
        <f>IFERROR(__xludf.DUMMYFUNCTION("GOOGLETRANSLATE(A2152, ""en"", ""hi"")"),"यूरो उसल सेव")</f>
        <v>यूरो उसल सेव</v>
      </c>
      <c r="D2152" s="5"/>
      <c r="E2152" s="2" t="s">
        <v>1294</v>
      </c>
      <c r="F2152" s="1">
        <v>4.0</v>
      </c>
      <c r="G2152" s="3" t="s">
        <v>492</v>
      </c>
    </row>
    <row r="2153">
      <c r="A2153" s="3" t="s">
        <v>7898</v>
      </c>
      <c r="B2153" s="4" t="str">
        <f>IFERROR(__xludf.DUMMYFUNCTION("GOOGLETRANSLATE(A2153, ""en"", ""te"")"),"లేస్ చిలీ లిమోన్")</f>
        <v>లేస్ చిలీ లిమోన్</v>
      </c>
      <c r="C2153" s="4" t="str">
        <f>IFERROR(__xludf.DUMMYFUNCTION("GOOGLETRANSLATE(A2153, ""en"", ""hi"")"),"लेज़ चिली लिमोन")</f>
        <v>लेज़ चिली लिमोन</v>
      </c>
      <c r="D2153" s="5"/>
      <c r="E2153" s="2" t="s">
        <v>1294</v>
      </c>
      <c r="F2153" s="1">
        <v>4.0</v>
      </c>
      <c r="G2153" s="3" t="s">
        <v>7479</v>
      </c>
    </row>
    <row r="2154">
      <c r="A2154" s="3" t="s">
        <v>7800</v>
      </c>
      <c r="B2154" s="4" t="str">
        <f>IFERROR(__xludf.DUMMYFUNCTION("GOOGLETRANSLATE(A2154, ""en"", ""te"")"),"ఆనంద్ స్పెషల్ కార్న్‌ఫ్లేక్స్ మిశ్రమం")</f>
        <v>ఆనంద్ స్పెషల్ కార్న్‌ఫ్లేక్స్ మిశ్రమం</v>
      </c>
      <c r="C2154" s="4" t="str">
        <f>IFERROR(__xludf.DUMMYFUNCTION("GOOGLETRANSLATE(A2154, ""en"", ""hi"")"),"आनंद स्पेशल कॉर्नफ्लेक्स मिश्रण")</f>
        <v>आनंद स्पेशल कॉर्नफ्लेक्स मिश्रण</v>
      </c>
      <c r="D2154" s="2" t="s">
        <v>7801</v>
      </c>
      <c r="E2154" s="2" t="s">
        <v>1294</v>
      </c>
      <c r="F2154" s="1">
        <v>4.0</v>
      </c>
      <c r="G2154" s="3" t="s">
        <v>4434</v>
      </c>
    </row>
    <row r="2155">
      <c r="A2155" s="3" t="s">
        <v>7802</v>
      </c>
      <c r="B2155" s="4" t="str">
        <f>IFERROR(__xludf.DUMMYFUNCTION("GOOGLETRANSLATE(A2155, ""en"", ""te"")"),"ఆనంద్ సేవ్ థిన్")</f>
        <v>ఆనంద్ సేవ్ థిన్</v>
      </c>
      <c r="C2155" s="4" t="str">
        <f>IFERROR(__xludf.DUMMYFUNCTION("GOOGLETRANSLATE(A2155, ""en"", ""hi"")"),"आनंद सेव थिन")</f>
        <v>आनंद सेव थिन</v>
      </c>
      <c r="D2155" s="5"/>
      <c r="E2155" s="2" t="s">
        <v>1294</v>
      </c>
      <c r="F2155" s="1">
        <v>4.0</v>
      </c>
      <c r="G2155" s="3" t="s">
        <v>4434</v>
      </c>
    </row>
    <row r="2156">
      <c r="A2156" s="3" t="s">
        <v>7803</v>
      </c>
      <c r="B2156" s="4" t="str">
        <f>IFERROR(__xludf.DUMMYFUNCTION("GOOGLETRANSLATE(A2156, ""en"", ""te"")"),"ఆనంద్ రైస్ మురుక్కు")</f>
        <v>ఆనంద్ రైస్ మురుక్కు</v>
      </c>
      <c r="C2156" s="4" t="str">
        <f>IFERROR(__xludf.DUMMYFUNCTION("GOOGLETRANSLATE(A2156, ""en"", ""hi"")"),"आनंद राइस मुरुक्कू")</f>
        <v>आनंद राइस मुरुक्कू</v>
      </c>
      <c r="D2156" s="2" t="s">
        <v>7773</v>
      </c>
      <c r="E2156" s="2" t="s">
        <v>1294</v>
      </c>
      <c r="F2156" s="1">
        <v>4.0</v>
      </c>
      <c r="G2156" s="3" t="s">
        <v>4434</v>
      </c>
    </row>
    <row r="2157">
      <c r="A2157" s="3" t="s">
        <v>7899</v>
      </c>
      <c r="B2157" s="4" t="str">
        <f>IFERROR(__xludf.DUMMYFUNCTION("GOOGLETRANSLATE(A2157, ""en"", ""te"")"),"ఆనంద్ రిబ్బన్ పకోడా")</f>
        <v>ఆనంద్ రిబ్బన్ పకోడా</v>
      </c>
      <c r="C2157" s="4" t="str">
        <f>IFERROR(__xludf.DUMMYFUNCTION("GOOGLETRANSLATE(A2157, ""en"", ""hi"")"),"आनंद रिबन पकोड़ा")</f>
        <v>आनंद रिबन पकोड़ा</v>
      </c>
      <c r="D2157" s="2" t="s">
        <v>7900</v>
      </c>
      <c r="E2157" s="2" t="s">
        <v>1294</v>
      </c>
      <c r="F2157" s="1">
        <v>4.0</v>
      </c>
      <c r="G2157" s="3" t="s">
        <v>4434</v>
      </c>
    </row>
    <row r="2158">
      <c r="A2158" s="3" t="s">
        <v>7897</v>
      </c>
      <c r="B2158" s="4" t="str">
        <f>IFERROR(__xludf.DUMMYFUNCTION("GOOGLETRANSLATE(A2158, ""en"", ""te"")"),"గర్వి గుజరాత్ భావనగరి గతియా")</f>
        <v>గర్వి గుజరాత్ భావనగరి గతియా</v>
      </c>
      <c r="C2158" s="4" t="str">
        <f>IFERROR(__xludf.DUMMYFUNCTION("GOOGLETRANSLATE(A2158, ""en"", ""hi"")"),"गरवी गुजरात भावनगरी गाठिया")</f>
        <v>गरवी गुजरात भावनगरी गाठिया</v>
      </c>
      <c r="D2158" s="5"/>
      <c r="E2158" s="2" t="s">
        <v>1294</v>
      </c>
      <c r="F2158" s="1">
        <v>4.0</v>
      </c>
      <c r="G2158" s="3" t="s">
        <v>4446</v>
      </c>
    </row>
    <row r="2159">
      <c r="A2159" s="3" t="s">
        <v>3175</v>
      </c>
      <c r="B2159" s="4" t="str">
        <f>IFERROR(__xludf.DUMMYFUNCTION("GOOGLETRANSLATE(A2159, ""en"", ""te"")"),"గర్వి గుజరాత్ భేల్ సేవ్")</f>
        <v>గర్వి గుజరాత్ భేల్ సేవ్</v>
      </c>
      <c r="C2159" s="4" t="str">
        <f>IFERROR(__xludf.DUMMYFUNCTION("GOOGLETRANSLATE(A2159, ""en"", ""hi"")"),"गरवी गुजरात भेल सेव")</f>
        <v>गरवी गुजरात भेल सेव</v>
      </c>
      <c r="D2159" s="5"/>
      <c r="E2159" s="2" t="s">
        <v>1294</v>
      </c>
      <c r="F2159" s="1">
        <v>4.0</v>
      </c>
      <c r="G2159" s="3" t="s">
        <v>4446</v>
      </c>
    </row>
    <row r="2160">
      <c r="A2160" s="3" t="s">
        <v>7826</v>
      </c>
      <c r="B2160" s="4" t="str">
        <f>IFERROR(__xludf.DUMMYFUNCTION("GOOGLETRANSLATE(A2160, ""en"", ""te"")"),"గర్వి గుజరాత్ 3 ఇన్ వన్ పూరి")</f>
        <v>గర్వి గుజరాత్ 3 ఇన్ వన్ పూరి</v>
      </c>
      <c r="C2160" s="4" t="str">
        <f>IFERROR(__xludf.DUMMYFUNCTION("GOOGLETRANSLATE(A2160, ""en"", ""hi"")"),"गरवी गुजरात 3 इन वन पुरी")</f>
        <v>गरवी गुजरात 3 इन वन पुरी</v>
      </c>
      <c r="D2160" s="5"/>
      <c r="E2160" s="2" t="s">
        <v>1294</v>
      </c>
      <c r="F2160" s="1">
        <v>4.0</v>
      </c>
      <c r="G2160" s="3" t="s">
        <v>4446</v>
      </c>
    </row>
    <row r="2161">
      <c r="A2161" s="3" t="s">
        <v>7809</v>
      </c>
      <c r="B2161" s="4" t="str">
        <f>IFERROR(__xludf.DUMMYFUNCTION("GOOGLETRANSLATE(A2161, ""en"", ""te"")"),"యూరో ఉసల్ సెవ్")</f>
        <v>యూరో ఉసల్ సెవ్</v>
      </c>
      <c r="C2161" s="4" t="str">
        <f>IFERROR(__xludf.DUMMYFUNCTION("GOOGLETRANSLATE(A2161, ""en"", ""hi"")"),"यूरो उसल सेव")</f>
        <v>यूरो उसल सेव</v>
      </c>
      <c r="D2161" s="5"/>
      <c r="E2161" s="2" t="s">
        <v>1294</v>
      </c>
      <c r="F2161" s="1">
        <v>4.0</v>
      </c>
      <c r="G2161" s="3" t="s">
        <v>4446</v>
      </c>
    </row>
    <row r="2162">
      <c r="A2162" s="3" t="s">
        <v>7579</v>
      </c>
      <c r="B2162" s="4" t="str">
        <f>IFERROR(__xludf.DUMMYFUNCTION("GOOGLETRANSLATE(A2162, ""en"", ""te"")"),"యూరో టేస్టీ పీనట్స్")</f>
        <v>యూరో టేస్టీ పీనట్స్</v>
      </c>
      <c r="C2162" s="4" t="str">
        <f>IFERROR(__xludf.DUMMYFUNCTION("GOOGLETRANSLATE(A2162, ""en"", ""hi"")"),"यूरो टेस्टी मूंगफली")</f>
        <v>यूरो टेस्टी मूंगफली</v>
      </c>
      <c r="D2162" s="2" t="s">
        <v>945</v>
      </c>
      <c r="E2162" s="2" t="s">
        <v>2700</v>
      </c>
      <c r="F2162" s="1">
        <v>4.0</v>
      </c>
      <c r="G2162" s="3" t="s">
        <v>4446</v>
      </c>
    </row>
    <row r="2163">
      <c r="A2163" s="3" t="s">
        <v>7580</v>
      </c>
      <c r="B2163" s="4" t="str">
        <f>IFERROR(__xludf.DUMMYFUNCTION("GOOGLETRANSLATE(A2163, ""en"", ""te"")"),"యూరో షాహి మిశ్రమం")</f>
        <v>యూరో షాహి మిశ్రమం</v>
      </c>
      <c r="C2163" s="4" t="str">
        <f>IFERROR(__xludf.DUMMYFUNCTION("GOOGLETRANSLATE(A2163, ""en"", ""hi"")"),"यूरो शाही मिश्रण")</f>
        <v>यूरो शाही मिश्रण</v>
      </c>
      <c r="D2163" s="5"/>
      <c r="E2163" s="2" t="s">
        <v>1294</v>
      </c>
      <c r="F2163" s="1">
        <v>4.0</v>
      </c>
      <c r="G2163" s="3" t="s">
        <v>4446</v>
      </c>
    </row>
    <row r="2164">
      <c r="A2164" s="3" t="s">
        <v>7901</v>
      </c>
      <c r="B2164" s="4" t="str">
        <f>IFERROR(__xludf.DUMMYFUNCTION("GOOGLETRANSLATE(A2164, ""en"", ""te"")"),"లేస్ చిల్లీ లిమోన్ పొటాటో చిప్స్")</f>
        <v>లేస్ చిల్లీ లిమోన్ పొటాటో చిప్స్</v>
      </c>
      <c r="C2164" s="4" t="str">
        <f>IFERROR(__xludf.DUMMYFUNCTION("GOOGLETRANSLATE(A2164, ""en"", ""hi"")"),"लेज़ चिली लेमन पोटैटो चिप्स")</f>
        <v>लेज़ चिली लेमन पोटैटो चिप्स</v>
      </c>
      <c r="D2164" s="2" t="s">
        <v>7902</v>
      </c>
      <c r="E2164" s="2" t="s">
        <v>1294</v>
      </c>
      <c r="F2164" s="1">
        <v>4.0</v>
      </c>
      <c r="G2164" s="3" t="s">
        <v>329</v>
      </c>
    </row>
    <row r="2165">
      <c r="A2165" s="3" t="s">
        <v>7903</v>
      </c>
      <c r="B2165" s="4" t="str">
        <f>IFERROR(__xludf.DUMMYFUNCTION("GOOGLETRANSLATE(A2165, ""en"", ""te"")"),"లేస్ బంగాళాదుంప చిప్స్")</f>
        <v>లేస్ బంగాళాదుంప చిప్స్</v>
      </c>
      <c r="C2165" s="4" t="str">
        <f>IFERROR(__xludf.DUMMYFUNCTION("GOOGLETRANSLATE(A2165, ""en"", ""hi"")"),"लेज़ पोटैटो चिप्स")</f>
        <v>लेज़ पोटैटो चिप्स</v>
      </c>
      <c r="D2165" s="2" t="s">
        <v>7902</v>
      </c>
      <c r="E2165" s="2" t="s">
        <v>1294</v>
      </c>
      <c r="F2165" s="1">
        <v>4.0</v>
      </c>
      <c r="G2165" s="3" t="s">
        <v>350</v>
      </c>
    </row>
    <row r="2166">
      <c r="A2166" s="3" t="s">
        <v>7904</v>
      </c>
      <c r="B2166" s="4" t="str">
        <f>IFERROR(__xludf.DUMMYFUNCTION("GOOGLETRANSLATE(A2166, ""en"", ""te"")"),"ఆనంద్ థిన్ సెవ్")</f>
        <v>ఆనంద్ థిన్ సెవ్</v>
      </c>
      <c r="C2166" s="4" t="str">
        <f>IFERROR(__xludf.DUMMYFUNCTION("GOOGLETRANSLATE(A2166, ""en"", ""hi"")"),"आनंद थिन सेव")</f>
        <v>आनंद थिन सेव</v>
      </c>
      <c r="D2166" s="5"/>
      <c r="E2166" s="2" t="s">
        <v>1294</v>
      </c>
      <c r="F2166" s="1">
        <v>4.0</v>
      </c>
      <c r="G2166" s="3" t="s">
        <v>4446</v>
      </c>
    </row>
    <row r="2167">
      <c r="A2167" s="3" t="s">
        <v>7905</v>
      </c>
      <c r="B2167" s="4" t="str">
        <f>IFERROR(__xludf.DUMMYFUNCTION("GOOGLETRANSLATE(A2167, ""en"", ""te"")"),"ఆనంద్ రాగి మురుక్కు")</f>
        <v>ఆనంద్ రాగి మురుక్కు</v>
      </c>
      <c r="C2167" s="4" t="str">
        <f>IFERROR(__xludf.DUMMYFUNCTION("GOOGLETRANSLATE(A2167, ""en"", ""hi"")"),"आनंद रागी मुरुक्कू")</f>
        <v>आनंद रागी मुरुक्कू</v>
      </c>
      <c r="D2167" s="2" t="s">
        <v>7906</v>
      </c>
      <c r="E2167" s="2" t="s">
        <v>1294</v>
      </c>
      <c r="F2167" s="1">
        <v>4.0</v>
      </c>
      <c r="G2167" s="3" t="s">
        <v>4446</v>
      </c>
    </row>
    <row r="2168">
      <c r="A2168" s="3" t="s">
        <v>7907</v>
      </c>
      <c r="B2168" s="4" t="str">
        <f>IFERROR(__xludf.DUMMYFUNCTION("GOOGLETRANSLATE(A2168, ""en"", ""te"")"),"యూరో రత్లామి మిశ్రమం")</f>
        <v>యూరో రత్లామి మిశ్రమం</v>
      </c>
      <c r="C2168" s="4" t="str">
        <f>IFERROR(__xludf.DUMMYFUNCTION("GOOGLETRANSLATE(A2168, ""en"", ""hi"")"),"यूरो रतलामी मिश्रण")</f>
        <v>यूरो रतलामी मिश्रण</v>
      </c>
      <c r="D2168" s="2" t="s">
        <v>7908</v>
      </c>
      <c r="E2168" s="2" t="s">
        <v>1294</v>
      </c>
      <c r="F2168" s="1">
        <v>4.0</v>
      </c>
      <c r="G2168" s="3" t="s">
        <v>329</v>
      </c>
    </row>
    <row r="2169">
      <c r="A2169" s="3" t="s">
        <v>7909</v>
      </c>
      <c r="B2169" s="4" t="str">
        <f>IFERROR(__xludf.DUMMYFUNCTION("GOOGLETRANSLATE(A2169, ""en"", ""te"")"),"లేస్ చిప్స్")</f>
        <v>లేస్ చిప్స్</v>
      </c>
      <c r="C2169" s="4" t="str">
        <f>IFERROR(__xludf.DUMMYFUNCTION("GOOGLETRANSLATE(A2169, ""en"", ""hi"")"),"लेज़ चिप्स")</f>
        <v>लेज़ चिप्स</v>
      </c>
      <c r="D2169" s="2" t="s">
        <v>7648</v>
      </c>
      <c r="E2169" s="2" t="s">
        <v>1294</v>
      </c>
      <c r="F2169" s="1">
        <v>4.0</v>
      </c>
      <c r="G2169" s="3" t="s">
        <v>350</v>
      </c>
    </row>
    <row r="2170">
      <c r="A2170" s="3" t="s">
        <v>7786</v>
      </c>
      <c r="B2170" s="4" t="str">
        <f>IFERROR(__xludf.DUMMYFUNCTION("GOOGLETRANSLATE(A2170, ""en"", ""te"")"),"ఆనంద్ మురుకు")</f>
        <v>ఆనంద్ మురుకు</v>
      </c>
      <c r="C2170" s="4" t="str">
        <f>IFERROR(__xludf.DUMMYFUNCTION("GOOGLETRANSLATE(A2170, ""en"", ""hi"")"),"आनंद मुरुक्कू")</f>
        <v>आनंद मुरुक्कू</v>
      </c>
      <c r="D2170" s="2" t="s">
        <v>7537</v>
      </c>
      <c r="E2170" s="2" t="s">
        <v>1294</v>
      </c>
      <c r="F2170" s="1">
        <v>4.0</v>
      </c>
      <c r="G2170" s="3" t="s">
        <v>4446</v>
      </c>
    </row>
    <row r="2171">
      <c r="A2171" s="3" t="s">
        <v>7741</v>
      </c>
      <c r="B2171" s="4" t="str">
        <f>IFERROR(__xludf.DUMMYFUNCTION("GOOGLETRANSLATE(A2171, ""en"", ""te"")"),"యూరో నవరతన్ మిశ్రమం")</f>
        <v>యూరో నవరతన్ మిశ్రమం</v>
      </c>
      <c r="C2171" s="4" t="str">
        <f>IFERROR(__xludf.DUMMYFUNCTION("GOOGLETRANSLATE(A2171, ""en"", ""hi"")"),"यूरो नवरतन मिश्रण")</f>
        <v>यूरो नवरतन मिश्रण</v>
      </c>
      <c r="D2171" s="2" t="s">
        <v>7028</v>
      </c>
      <c r="E2171" s="2" t="s">
        <v>1294</v>
      </c>
      <c r="F2171" s="1">
        <v>4.0</v>
      </c>
      <c r="G2171" s="3" t="s">
        <v>329</v>
      </c>
    </row>
    <row r="2172">
      <c r="A2172" s="3" t="s">
        <v>7727</v>
      </c>
      <c r="B2172" s="4" t="str">
        <f>IFERROR(__xludf.DUMMYFUNCTION("GOOGLETRANSLATE(A2172, ""en"", ""te"")"),"కుర్కురే")</f>
        <v>కుర్కురే</v>
      </c>
      <c r="C2172" s="4" t="str">
        <f>IFERROR(__xludf.DUMMYFUNCTION("GOOGLETRANSLATE(A2172, ""en"", ""hi"")"),"कुरकुरे")</f>
        <v>कुरकुरे</v>
      </c>
      <c r="D2172" s="5"/>
      <c r="E2172" s="2" t="s">
        <v>1294</v>
      </c>
      <c r="F2172" s="1">
        <v>4.0</v>
      </c>
      <c r="G2172" s="3" t="s">
        <v>350</v>
      </c>
    </row>
    <row r="2173">
      <c r="A2173" s="3" t="s">
        <v>715</v>
      </c>
      <c r="B2173" s="4" t="str">
        <f>IFERROR(__xludf.DUMMYFUNCTION("GOOGLETRANSLATE(A2173, ""en"", ""te"")"),"ఆనంద్ మురుకు మినీ")</f>
        <v>ఆనంద్ మురుకు మినీ</v>
      </c>
      <c r="C2173" s="4" t="str">
        <f>IFERROR(__xludf.DUMMYFUNCTION("GOOGLETRANSLATE(A2173, ""en"", ""hi"")"),"आनंद मुरुकु मिनी")</f>
        <v>आनंद मुरुकु मिनी</v>
      </c>
      <c r="D2173" s="2" t="s">
        <v>7577</v>
      </c>
      <c r="E2173" s="2" t="s">
        <v>1294</v>
      </c>
      <c r="F2173" s="1">
        <v>4.0</v>
      </c>
      <c r="G2173" s="3" t="s">
        <v>71</v>
      </c>
    </row>
    <row r="2174">
      <c r="A2174" s="3" t="s">
        <v>7578</v>
      </c>
      <c r="B2174" s="4" t="str">
        <f>IFERROR(__xludf.DUMMYFUNCTION("GOOGLETRANSLATE(A2174, ""en"", ""te"")"),"ఆనంద్ మినీ భాకర్వాడి")</f>
        <v>ఆనంద్ మినీ భాకర్వాడి</v>
      </c>
      <c r="C2174" s="4" t="str">
        <f>IFERROR(__xludf.DUMMYFUNCTION("GOOGLETRANSLATE(A2174, ""en"", ""hi"")"),"आनंद मिनी भाकरवाड़ी")</f>
        <v>आनंद मिनी भाकरवाड़ी</v>
      </c>
      <c r="D2174" s="2" t="s">
        <v>440</v>
      </c>
      <c r="E2174" s="2" t="s">
        <v>1294</v>
      </c>
      <c r="F2174" s="1">
        <v>4.0</v>
      </c>
      <c r="G2174" s="3" t="s">
        <v>71</v>
      </c>
    </row>
    <row r="2175">
      <c r="A2175" s="3" t="s">
        <v>7544</v>
      </c>
      <c r="B2175" s="4" t="str">
        <f>IFERROR(__xludf.DUMMYFUNCTION("GOOGLETRANSLATE(A2175, ""en"", ""te"")"),"ఆనంద్ మసాలా చనాడల్")</f>
        <v>ఆనంద్ మసాలా చనాడల్</v>
      </c>
      <c r="C2175" s="4" t="str">
        <f>IFERROR(__xludf.DUMMYFUNCTION("GOOGLETRANSLATE(A2175, ""en"", ""hi"")"),"आनंद मसाला चनादल")</f>
        <v>आनंद मसाला चनादल</v>
      </c>
      <c r="D2175" s="2" t="s">
        <v>1655</v>
      </c>
      <c r="E2175" s="2" t="s">
        <v>442</v>
      </c>
      <c r="F2175" s="1">
        <v>4.0</v>
      </c>
      <c r="G2175" s="3" t="s">
        <v>71</v>
      </c>
    </row>
    <row r="2176">
      <c r="A2176" s="3" t="s">
        <v>7582</v>
      </c>
      <c r="B2176" s="4" t="str">
        <f>IFERROR(__xludf.DUMMYFUNCTION("GOOGLETRANSLATE(A2176, ""en"", ""te"")"),"యూరో నైలాన్ సెవ్")</f>
        <v>యూరో నైలాన్ సెవ్</v>
      </c>
      <c r="C2176" s="4" t="str">
        <f>IFERROR(__xludf.DUMMYFUNCTION("GOOGLETRANSLATE(A2176, ""en"", ""hi"")"),"यूरो नायलॉन सेव")</f>
        <v>यूरो नायलॉन सेव</v>
      </c>
      <c r="D2176" s="5"/>
      <c r="E2176" s="2" t="s">
        <v>1294</v>
      </c>
      <c r="F2176" s="1">
        <v>4.0</v>
      </c>
      <c r="G2176" s="3" t="s">
        <v>76</v>
      </c>
    </row>
    <row r="2177">
      <c r="A2177" s="3" t="s">
        <v>7741</v>
      </c>
      <c r="B2177" s="4" t="str">
        <f>IFERROR(__xludf.DUMMYFUNCTION("GOOGLETRANSLATE(A2177, ""en"", ""te"")"),"యూరో నవరతన్ మిశ్రమం")</f>
        <v>యూరో నవరతన్ మిశ్రమం</v>
      </c>
      <c r="C2177" s="4" t="str">
        <f>IFERROR(__xludf.DUMMYFUNCTION("GOOGLETRANSLATE(A2177, ""en"", ""hi"")"),"यूरो नवरतन मिश्रण")</f>
        <v>यूरो नवरतन मिश्रण</v>
      </c>
      <c r="D2177" s="2" t="s">
        <v>7028</v>
      </c>
      <c r="E2177" s="2" t="s">
        <v>1294</v>
      </c>
      <c r="F2177" s="1">
        <v>4.0</v>
      </c>
      <c r="G2177" s="3" t="s">
        <v>76</v>
      </c>
    </row>
    <row r="2178">
      <c r="A2178" s="3" t="s">
        <v>7910</v>
      </c>
      <c r="B2178" s="4" t="str">
        <f>IFERROR(__xludf.DUMMYFUNCTION("GOOGLETRANSLATE(A2178, ""en"", ""te"")"),"యూరో మసాలా సోయా స్టిక్స్")</f>
        <v>యూరో మసాలా సోయా స్టిక్స్</v>
      </c>
      <c r="C2178" s="4" t="str">
        <f>IFERROR(__xludf.DUMMYFUNCTION("GOOGLETRANSLATE(A2178, ""en"", ""hi"")"),"यूरो मसाला सोया स्टिक्स")</f>
        <v>यूरो मसाला सोया स्टिक्स</v>
      </c>
      <c r="D2178" s="5"/>
      <c r="E2178" s="2" t="s">
        <v>1294</v>
      </c>
      <c r="F2178" s="1">
        <v>4.0</v>
      </c>
      <c r="G2178" s="3" t="s">
        <v>76</v>
      </c>
    </row>
    <row r="2179">
      <c r="A2179" s="3" t="s">
        <v>7546</v>
      </c>
      <c r="B2179" s="4" t="str">
        <f>IFERROR(__xludf.DUMMYFUNCTION("GOOGLETRANSLATE(A2179, ""en"", ""te"")"),"యూరో మినీ భాకర్వాడి")</f>
        <v>యూరో మినీ భాకర్వాడి</v>
      </c>
      <c r="C2179" s="4" t="str">
        <f>IFERROR(__xludf.DUMMYFUNCTION("GOOGLETRANSLATE(A2179, ""en"", ""hi"")"),"यूरो मिनी भाकरवाड़ी")</f>
        <v>यूरो मिनी भाकरवाड़ी</v>
      </c>
      <c r="D2179" s="2" t="s">
        <v>7547</v>
      </c>
      <c r="E2179" s="2" t="s">
        <v>1294</v>
      </c>
      <c r="F2179" s="1">
        <v>4.0</v>
      </c>
      <c r="G2179" s="3" t="s">
        <v>76</v>
      </c>
    </row>
    <row r="2180">
      <c r="A2180" s="3" t="s">
        <v>7911</v>
      </c>
      <c r="B2180" s="4" t="str">
        <f>IFERROR(__xludf.DUMMYFUNCTION("GOOGLETRANSLATE(A2180, ""en"", ""te"")"),"యూరో మసాలా")</f>
        <v>యూరో మసాలా</v>
      </c>
      <c r="C2180" s="4" t="str">
        <f>IFERROR(__xludf.DUMMYFUNCTION("GOOGLETRANSLATE(A2180, ""en"", ""hi"")"),"यूरो मसाला")</f>
        <v>यूरो मसाला</v>
      </c>
      <c r="D2180" s="5"/>
      <c r="E2180" s="2" t="s">
        <v>442</v>
      </c>
      <c r="F2180" s="1">
        <v>4.0</v>
      </c>
      <c r="G2180" s="3" t="s">
        <v>76</v>
      </c>
    </row>
    <row r="2181">
      <c r="A2181" s="3" t="s">
        <v>7605</v>
      </c>
      <c r="B2181" s="4" t="str">
        <f>IFERROR(__xludf.DUMMYFUNCTION("GOOGLETRANSLATE(A2181, ""en"", ""te"")"),"కుర్కురే మసాలా మంచ్")</f>
        <v>కుర్కురే మసాలా మంచ్</v>
      </c>
      <c r="C2181" s="4" t="str">
        <f>IFERROR(__xludf.DUMMYFUNCTION("GOOGLETRANSLATE(A2181, ""en"", ""hi"")"),"कुरकुरे मसाला मंच")</f>
        <v>कुरकुरे मसाला मंच</v>
      </c>
      <c r="D2181" s="5"/>
      <c r="E2181" s="2" t="s">
        <v>1294</v>
      </c>
      <c r="F2181" s="1">
        <v>4.0</v>
      </c>
      <c r="G2181" s="3" t="s">
        <v>85</v>
      </c>
    </row>
    <row r="2182">
      <c r="A2182" s="3" t="s">
        <v>709</v>
      </c>
      <c r="B2182" s="4" t="str">
        <f>IFERROR(__xludf.DUMMYFUNCTION("GOOGLETRANSLATE(A2182, ""en"", ""te"")"),"ఆనంద్ కేరళ మిశ్రమం")</f>
        <v>ఆనంద్ కేరళ మిశ్రమం</v>
      </c>
      <c r="C2182" s="4" t="str">
        <f>IFERROR(__xludf.DUMMYFUNCTION("GOOGLETRANSLATE(A2182, ""en"", ""hi"")"),"आनंद केरल मिश्रण")</f>
        <v>आनंद केरल मिश्रण</v>
      </c>
      <c r="D2182" s="2" t="s">
        <v>7912</v>
      </c>
      <c r="E2182" s="2" t="s">
        <v>1294</v>
      </c>
      <c r="F2182" s="1">
        <v>4.0</v>
      </c>
      <c r="G2182" s="3" t="s">
        <v>4692</v>
      </c>
    </row>
    <row r="2183">
      <c r="A2183" s="3" t="s">
        <v>7742</v>
      </c>
      <c r="B2183" s="4" t="str">
        <f>IFERROR(__xludf.DUMMYFUNCTION("GOOGLETRANSLATE(A2183, ""en"", ""te"")"),"యూరో సోయా స్టిక్స్")</f>
        <v>యూరో సోయా స్టిక్స్</v>
      </c>
      <c r="C2183" s="4" t="str">
        <f>IFERROR(__xludf.DUMMYFUNCTION("GOOGLETRANSLATE(A2183, ""en"", ""hi"")"),"यूरो सोया स्टिक्स")</f>
        <v>यूरो सोया स्टिक्स</v>
      </c>
      <c r="D2183" s="5"/>
      <c r="E2183" s="2" t="s">
        <v>1038</v>
      </c>
      <c r="F2183" s="1">
        <v>4.0</v>
      </c>
      <c r="G2183" s="3" t="s">
        <v>4924</v>
      </c>
    </row>
    <row r="2184">
      <c r="A2184" s="3" t="s">
        <v>7546</v>
      </c>
      <c r="B2184" s="4" t="str">
        <f>IFERROR(__xludf.DUMMYFUNCTION("GOOGLETRANSLATE(A2184, ""en"", ""te"")"),"యూరో మినీ భాకర్వాడి")</f>
        <v>యూరో మినీ భాకర్వాడి</v>
      </c>
      <c r="C2184" s="4" t="str">
        <f>IFERROR(__xludf.DUMMYFUNCTION("GOOGLETRANSLATE(A2184, ""en"", ""hi"")"),"यूरो मिनी भाकरवाड़ी")</f>
        <v>यूरो मिनी भाकरवाड़ी</v>
      </c>
      <c r="D2184" s="2" t="s">
        <v>7547</v>
      </c>
      <c r="E2184" s="2" t="s">
        <v>1294</v>
      </c>
      <c r="F2184" s="1">
        <v>4.0</v>
      </c>
      <c r="G2184" s="3" t="s">
        <v>4924</v>
      </c>
    </row>
    <row r="2185">
      <c r="A2185" s="3" t="s">
        <v>7913</v>
      </c>
      <c r="B2185" s="4" t="str">
        <f>IFERROR(__xludf.DUMMYFUNCTION("GOOGLETRANSLATE(A2185, ""en"", ""te"")"),"యూరో మెథి పారా")</f>
        <v>యూరో మెథి పారా</v>
      </c>
      <c r="C2185" s="4" t="str">
        <f>IFERROR(__xludf.DUMMYFUNCTION("GOOGLETRANSLATE(A2185, ""en"", ""hi"")"),"यूरो मेथी पारा")</f>
        <v>यूरो मेथी पारा</v>
      </c>
      <c r="D2185" s="5"/>
      <c r="E2185" s="2" t="s">
        <v>2649</v>
      </c>
      <c r="F2185" s="1">
        <v>4.0</v>
      </c>
      <c r="G2185" s="3" t="s">
        <v>4924</v>
      </c>
    </row>
    <row r="2186">
      <c r="A2186" s="3" t="s">
        <v>7605</v>
      </c>
      <c r="B2186" s="4" t="str">
        <f>IFERROR(__xludf.DUMMYFUNCTION("GOOGLETRANSLATE(A2186, ""en"", ""te"")"),"కుర్కురే మసాలా మంచ్")</f>
        <v>కుర్కురే మసాలా మంచ్</v>
      </c>
      <c r="C2186" s="4" t="str">
        <f>IFERROR(__xludf.DUMMYFUNCTION("GOOGLETRANSLATE(A2186, ""en"", ""hi"")"),"कुरकुरे मसाला मंच")</f>
        <v>कुरकुरे मसाला मंच</v>
      </c>
      <c r="D2186" s="5"/>
      <c r="E2186" s="2" t="s">
        <v>1294</v>
      </c>
      <c r="F2186" s="1">
        <v>4.0</v>
      </c>
      <c r="G2186" s="3" t="s">
        <v>4933</v>
      </c>
    </row>
    <row r="2187">
      <c r="A2187" s="3" t="s">
        <v>7780</v>
      </c>
      <c r="B2187" s="4" t="str">
        <f>IFERROR(__xludf.DUMMYFUNCTION("GOOGLETRANSLATE(A2187, ""en"", ""te"")"),"కుర్కురే గ్రీన్ చట్నీ")</f>
        <v>కుర్కురే గ్రీన్ చట్నీ</v>
      </c>
      <c r="C2187" s="4" t="str">
        <f>IFERROR(__xludf.DUMMYFUNCTION("GOOGLETRANSLATE(A2187, ""en"", ""hi"")"),"कुरकुरे हरी चटनी")</f>
        <v>कुरकुरे हरी चटनी</v>
      </c>
      <c r="D2187" s="5"/>
      <c r="E2187" s="2" t="s">
        <v>996</v>
      </c>
      <c r="F2187" s="1">
        <v>4.0</v>
      </c>
      <c r="G2187" s="3" t="s">
        <v>4933</v>
      </c>
    </row>
    <row r="2188">
      <c r="A2188" s="3" t="s">
        <v>7914</v>
      </c>
      <c r="B2188" s="4" t="str">
        <f>IFERROR(__xludf.DUMMYFUNCTION("GOOGLETRANSLATE(A2188, ""en"", ""te"")"),"యూరో నీ భాకర్వాడి")</f>
        <v>యూరో నీ భాకర్వాడి</v>
      </c>
      <c r="C2188" s="4" t="str">
        <f>IFERROR(__xludf.DUMMYFUNCTION("GOOGLETRANSLATE(A2188, ""en"", ""hi"")"),"यूरो नी भाकरवाड़ी")</f>
        <v>यूरो नी भाकरवाड़ी</v>
      </c>
      <c r="D2188" s="5"/>
      <c r="E2188" s="2" t="s">
        <v>1294</v>
      </c>
      <c r="F2188" s="1">
        <v>4.0</v>
      </c>
      <c r="G2188" s="3" t="s">
        <v>4692</v>
      </c>
    </row>
    <row r="2189">
      <c r="A2189" s="3" t="s">
        <v>7549</v>
      </c>
      <c r="B2189" s="4" t="str">
        <f>IFERROR(__xludf.DUMMYFUNCTION("GOOGLETRANSLATE(A2189, ""en"", ""te"")"),"ఆనంద్ కాబులి చనా స్పైసీ")</f>
        <v>ఆనంద్ కాబులి చనా స్పైసీ</v>
      </c>
      <c r="C2189" s="4" t="str">
        <f>IFERROR(__xludf.DUMMYFUNCTION("GOOGLETRANSLATE(A2189, ""en"", ""hi"")"),"आनंद काबुली चना मसालेदार")</f>
        <v>आनंद काबुली चना मसालेदार</v>
      </c>
      <c r="D2189" s="5"/>
      <c r="E2189" s="2" t="s">
        <v>1038</v>
      </c>
      <c r="F2189" s="1">
        <v>4.0</v>
      </c>
      <c r="G2189" s="3" t="s">
        <v>4692</v>
      </c>
    </row>
    <row r="2190">
      <c r="A2190" s="3" t="s">
        <v>7915</v>
      </c>
      <c r="B2190" s="4" t="str">
        <f>IFERROR(__xludf.DUMMYFUNCTION("GOOGLETRANSLATE(A2190, ""en"", ""te"")"),"ఆనంద్ జాలా")</f>
        <v>ఆనంద్ జాలా</v>
      </c>
      <c r="C2190" s="4" t="str">
        <f>IFERROR(__xludf.DUMMYFUNCTION("GOOGLETRANSLATE(A2190, ""en"", ""hi"")"),"आनंद जला")</f>
        <v>आनंद जला</v>
      </c>
      <c r="D2190" s="5"/>
      <c r="E2190" s="2" t="s">
        <v>9</v>
      </c>
      <c r="F2190" s="1">
        <v>4.0</v>
      </c>
      <c r="G2190" s="3" t="s">
        <v>4692</v>
      </c>
    </row>
    <row r="2191">
      <c r="A2191" s="3" t="s">
        <v>703</v>
      </c>
      <c r="B2191" s="4" t="str">
        <f>IFERROR(__xludf.DUMMYFUNCTION("GOOGLETRANSLATE(A2191, ""en"", ""te"")"),"ఆనంద్ కచోరి")</f>
        <v>ఆనంద్ కచోరి</v>
      </c>
      <c r="C2191" s="4" t="str">
        <f>IFERROR(__xludf.DUMMYFUNCTION("GOOGLETRANSLATE(A2191, ""en"", ""hi"")"),"आनंद कचौरी")</f>
        <v>आनंद कचौरी</v>
      </c>
      <c r="D2191" s="2" t="s">
        <v>7569</v>
      </c>
      <c r="E2191" s="2" t="s">
        <v>1294</v>
      </c>
      <c r="F2191" s="1">
        <v>4.0</v>
      </c>
      <c r="G2191" s="3" t="s">
        <v>71</v>
      </c>
    </row>
    <row r="2192">
      <c r="A2192" s="3" t="s">
        <v>7552</v>
      </c>
      <c r="B2192" s="4" t="str">
        <f>IFERROR(__xludf.DUMMYFUNCTION("GOOGLETRANSLATE(A2192, ""en"", ""te"")"),"ఆనంద్ జలపెనో మురుక్కు స్టిక్స్")</f>
        <v>ఆనంద్ జలపెనో మురుక్కు స్టిక్స్</v>
      </c>
      <c r="C2192" s="4" t="str">
        <f>IFERROR(__xludf.DUMMYFUNCTION("GOOGLETRANSLATE(A2192, ""en"", ""hi"")"),"आनंद जलपीनो मुरुक्कू स्टिक्स")</f>
        <v>आनंद जलपीनो मुरुक्कू स्टिक्स</v>
      </c>
      <c r="D2192" s="2" t="s">
        <v>7553</v>
      </c>
      <c r="E2192" s="2" t="s">
        <v>1294</v>
      </c>
      <c r="F2192" s="1">
        <v>4.0</v>
      </c>
      <c r="G2192" s="3" t="s">
        <v>71</v>
      </c>
    </row>
    <row r="2193">
      <c r="A2193" s="3" t="s">
        <v>7698</v>
      </c>
      <c r="B2193" s="4" t="str">
        <f>IFERROR(__xludf.DUMMYFUNCTION("GOOGLETRANSLATE(A2193, ""en"", ""te"")"),"ఆనంద్ పనస చిప్స్")</f>
        <v>ఆనంద్ పనస చిప్స్</v>
      </c>
      <c r="C2193" s="4" t="str">
        <f>IFERROR(__xludf.DUMMYFUNCTION("GOOGLETRANSLATE(A2193, ""en"", ""hi"")"),"आनंद कटहल चिप्स")</f>
        <v>आनंद कटहल चिप्स</v>
      </c>
      <c r="D2193" s="2" t="s">
        <v>4054</v>
      </c>
      <c r="E2193" s="2" t="s">
        <v>1294</v>
      </c>
      <c r="F2193" s="1">
        <v>4.0</v>
      </c>
      <c r="G2193" s="3" t="s">
        <v>71</v>
      </c>
    </row>
    <row r="2194">
      <c r="A2194" s="3" t="s">
        <v>7699</v>
      </c>
      <c r="B2194" s="4" t="str">
        <f>IFERROR(__xludf.DUMMYFUNCTION("GOOGLETRANSLATE(A2194, ""en"", ""te"")"),"ఆనంద్ హైదరాబాద్ మిశ్రమం")</f>
        <v>ఆనంద్ హైదరాబాద్ మిశ్రమం</v>
      </c>
      <c r="C2194" s="4" t="str">
        <f>IFERROR(__xludf.DUMMYFUNCTION("GOOGLETRANSLATE(A2194, ""en"", ""hi"")"),"आनंद हैदराबाद मिश्रण")</f>
        <v>आनंद हैदराबाद मिश्रण</v>
      </c>
      <c r="D2194" s="2" t="s">
        <v>4054</v>
      </c>
      <c r="E2194" s="2" t="s">
        <v>1294</v>
      </c>
      <c r="F2194" s="1">
        <v>4.0</v>
      </c>
      <c r="G2194" s="3" t="s">
        <v>71</v>
      </c>
    </row>
    <row r="2195">
      <c r="A2195" s="3" t="s">
        <v>7916</v>
      </c>
      <c r="B2195" s="4" t="str">
        <f>IFERROR(__xludf.DUMMYFUNCTION("GOOGLETRANSLATE(A2195, ""en"", ""te"")"),"ఆనంద్ వెల్లుల్లి")</f>
        <v>ఆనంద్ వెల్లుల్లి</v>
      </c>
      <c r="C2195" s="4" t="str">
        <f>IFERROR(__xludf.DUMMYFUNCTION("GOOGLETRANSLATE(A2195, ""en"", ""hi"")"),"आनंद लहसुन")</f>
        <v>आनंद लहसुन</v>
      </c>
      <c r="D2195" s="2" t="s">
        <v>2604</v>
      </c>
      <c r="E2195" s="2" t="s">
        <v>442</v>
      </c>
      <c r="F2195" s="1">
        <v>4.0</v>
      </c>
      <c r="G2195" s="3" t="s">
        <v>71</v>
      </c>
    </row>
    <row r="2196">
      <c r="A2196" s="3" t="s">
        <v>7917</v>
      </c>
      <c r="B2196" s="4" t="str">
        <f>IFERROR(__xludf.DUMMYFUNCTION("GOOGLETRANSLATE(A2196, ""en"", ""te"")"),"యూరో చివ్డా")</f>
        <v>యూరో చివ్డా</v>
      </c>
      <c r="C2196" s="4" t="str">
        <f>IFERROR(__xludf.DUMMYFUNCTION("GOOGLETRANSLATE(A2196, ""en"", ""hi"")"),"यूरो चिवडा")</f>
        <v>यूरो चिवडा</v>
      </c>
      <c r="D2196" s="2" t="s">
        <v>7830</v>
      </c>
      <c r="E2196" s="2" t="s">
        <v>1294</v>
      </c>
      <c r="F2196" s="1">
        <v>4.0</v>
      </c>
      <c r="G2196" s="3" t="s">
        <v>76</v>
      </c>
    </row>
    <row r="2197">
      <c r="A2197" s="3" t="s">
        <v>7704</v>
      </c>
      <c r="B2197" s="4" t="str">
        <f>IFERROR(__xludf.DUMMYFUNCTION("GOOGLETRANSLATE(A2197, ""en"", ""te"")"),"యూరో డాల్ చిమ్మట")</f>
        <v>యూరో డాల్ చిమ్మట</v>
      </c>
      <c r="C2197" s="4" t="str">
        <f>IFERROR(__xludf.DUMMYFUNCTION("GOOGLETRANSLATE(A2197, ""en"", ""hi"")"),"यूरो दाल मोथ")</f>
        <v>यूरो दाल मोथ</v>
      </c>
      <c r="D2197" s="5"/>
      <c r="E2197" s="2" t="s">
        <v>1038</v>
      </c>
      <c r="F2197" s="1">
        <v>4.0</v>
      </c>
      <c r="G2197" s="3" t="s">
        <v>76</v>
      </c>
    </row>
    <row r="2198">
      <c r="A2198" s="3" t="s">
        <v>7705</v>
      </c>
      <c r="B2198" s="4" t="str">
        <f>IFERROR(__xludf.DUMMYFUNCTION("GOOGLETRANSLATE(A2198, ""en"", ""te"")"),"యూరో డ్రై కచోరి")</f>
        <v>యూరో డ్రై కచోరి</v>
      </c>
      <c r="C2198" s="4" t="str">
        <f>IFERROR(__xludf.DUMMYFUNCTION("GOOGLETRANSLATE(A2198, ""en"", ""hi"")"),"यूरो ड्राई कचौरी")</f>
        <v>यूरो ड्राई कचौरी</v>
      </c>
      <c r="D2198" s="5"/>
      <c r="E2198" s="2" t="s">
        <v>1294</v>
      </c>
      <c r="F2198" s="1">
        <v>4.0</v>
      </c>
      <c r="G2198" s="3" t="s">
        <v>76</v>
      </c>
    </row>
    <row r="2199">
      <c r="A2199" s="3" t="s">
        <v>7706</v>
      </c>
      <c r="B2199" s="4" t="str">
        <f>IFERROR(__xludf.DUMMYFUNCTION("GOOGLETRANSLATE(A2199, ""en"", ""te"")"),"యూరో చనా దాల్")</f>
        <v>యూరో చనా దాల్</v>
      </c>
      <c r="C2199" s="4" t="str">
        <f>IFERROR(__xludf.DUMMYFUNCTION("GOOGLETRANSLATE(A2199, ""en"", ""hi"")"),"यूरो चना दाल")</f>
        <v>यूरो चना दाल</v>
      </c>
      <c r="D2199" s="2" t="s">
        <v>3861</v>
      </c>
      <c r="E2199" s="2" t="s">
        <v>1038</v>
      </c>
      <c r="F2199" s="1">
        <v>4.0</v>
      </c>
      <c r="G2199" s="3" t="s">
        <v>76</v>
      </c>
    </row>
    <row r="2200">
      <c r="A2200" s="3" t="s">
        <v>7707</v>
      </c>
      <c r="B2200" s="4" t="str">
        <f>IFERROR(__xludf.DUMMYFUNCTION("GOOGLETRANSLATE(A2200, ""en"", ""te"")"),"యూరో చనా జోర్ మసాలా")</f>
        <v>యూరో చనా జోర్ మసాలా</v>
      </c>
      <c r="C2200" s="4" t="str">
        <f>IFERROR(__xludf.DUMMYFUNCTION("GOOGLETRANSLATE(A2200, ""en"", ""hi"")"),"यूरो चना जोर मसाला")</f>
        <v>यूरो चना जोर मसाला</v>
      </c>
      <c r="D2200" s="5"/>
      <c r="E2200" s="2" t="s">
        <v>442</v>
      </c>
      <c r="F2200" s="1">
        <v>4.0</v>
      </c>
      <c r="G2200" s="3" t="s">
        <v>76</v>
      </c>
    </row>
    <row r="2201">
      <c r="A2201" s="3" t="s">
        <v>7708</v>
      </c>
      <c r="B2201" s="4" t="str">
        <f>IFERROR(__xludf.DUMMYFUNCTION("GOOGLETRANSLATE(A2201, ""en"", ""te"")"),"యూరో ఆలూ సేవ్")</f>
        <v>యూరో ఆలూ సేవ్</v>
      </c>
      <c r="C2201" s="4" t="str">
        <f>IFERROR(__xludf.DUMMYFUNCTION("GOOGLETRANSLATE(A2201, ""en"", ""hi"")"),"यूरो आलू सेव")</f>
        <v>यूरो आलू सेव</v>
      </c>
      <c r="D2201" s="5"/>
      <c r="E2201" s="2" t="s">
        <v>1294</v>
      </c>
      <c r="F2201" s="1">
        <v>4.0</v>
      </c>
      <c r="G2201" s="3" t="s">
        <v>76</v>
      </c>
    </row>
    <row r="2202">
      <c r="A2202" s="3" t="s">
        <v>7918</v>
      </c>
      <c r="B2202" s="4" t="str">
        <f>IFERROR(__xludf.DUMMYFUNCTION("GOOGLETRANSLATE(A2202, ""en"", ""te"")"),"అబాద్ మిశ్రమం")</f>
        <v>అబాద్ మిశ్రమం</v>
      </c>
      <c r="C2202" s="4" t="str">
        <f>IFERROR(__xludf.DUMMYFUNCTION("GOOGLETRANSLATE(A2202, ""en"", ""hi"")"),"अबाड मिश्रण")</f>
        <v>अबाड मिश्रण</v>
      </c>
      <c r="D2202" s="2" t="s">
        <v>7919</v>
      </c>
      <c r="E2202" s="2" t="s">
        <v>442</v>
      </c>
      <c r="F2202" s="1">
        <v>4.0</v>
      </c>
      <c r="G2202" s="3" t="s">
        <v>240</v>
      </c>
    </row>
    <row r="2203">
      <c r="A2203" s="3" t="s">
        <v>7920</v>
      </c>
      <c r="B2203" s="4" t="str">
        <f>IFERROR(__xludf.DUMMYFUNCTION("GOOGLETRANSLATE(A2203, ""en"", ""te"")"),"ఫర్సన్ మార్ట్ ఫరాలీ చివడా తిఖా")</f>
        <v>ఫర్సన్ మార్ట్ ఫరాలీ చివడా తిఖా</v>
      </c>
      <c r="C2203" s="4" t="str">
        <f>IFERROR(__xludf.DUMMYFUNCTION("GOOGLETRANSLATE(A2203, ""en"", ""hi"")"),"फरसाण मार्ट फराली चिवड़ा तिखा")</f>
        <v>फरसाण मार्ट फराली चिवड़ा तिखा</v>
      </c>
      <c r="D2203" s="5"/>
      <c r="E2203" s="2" t="s">
        <v>1294</v>
      </c>
      <c r="F2203" s="1">
        <v>4.0</v>
      </c>
      <c r="G2203" s="3" t="s">
        <v>240</v>
      </c>
    </row>
    <row r="2204">
      <c r="A2204" s="3" t="s">
        <v>7921</v>
      </c>
      <c r="B2204" s="4" t="str">
        <f>IFERROR(__xludf.DUMMYFUNCTION("GOOGLETRANSLATE(A2204, ""en"", ""te"")"),"ఫర్సాన్ మార్ట్ ఫరాలి చివ్డా")</f>
        <v>ఫర్సాన్ మార్ట్ ఫరాలి చివ్డా</v>
      </c>
      <c r="C2204" s="4" t="str">
        <f>IFERROR(__xludf.DUMMYFUNCTION("GOOGLETRANSLATE(A2204, ""en"", ""hi"")"),"फरसान मार्ट फराली चिवड़ा")</f>
        <v>फरसान मार्ट फराली चिवड़ा</v>
      </c>
      <c r="D2204" s="5"/>
      <c r="E2204" s="2" t="s">
        <v>1294</v>
      </c>
      <c r="F2204" s="1">
        <v>4.0</v>
      </c>
      <c r="G2204" s="3" t="s">
        <v>240</v>
      </c>
    </row>
    <row r="2205">
      <c r="A2205" s="3" t="s">
        <v>7922</v>
      </c>
      <c r="B2205" s="4" t="str">
        <f>IFERROR(__xludf.DUMMYFUNCTION("GOOGLETRANSLATE(A2205, ""en"", ""te"")"),"ఎ. చనాచూర్ మిశ్రమం")</f>
        <v>ఎ. చనాచూర్ మిశ్రమం</v>
      </c>
      <c r="C2205" s="4" t="str">
        <f>IFERROR(__xludf.DUMMYFUNCTION("GOOGLETRANSLATE(A2205, ""en"", ""hi"")"),"ए. चनाचूर मिश्रण")</f>
        <v>ए. चनाचूर मिश्रण</v>
      </c>
      <c r="D2205" s="5"/>
      <c r="E2205" s="2" t="s">
        <v>1294</v>
      </c>
      <c r="F2205" s="1">
        <v>4.0</v>
      </c>
      <c r="G2205" s="3" t="s">
        <v>240</v>
      </c>
    </row>
    <row r="2206">
      <c r="A2206" s="3" t="s">
        <v>7923</v>
      </c>
      <c r="B2206" s="4" t="str">
        <f>IFERROR(__xludf.DUMMYFUNCTION("GOOGLETRANSLATE(A2206, ""en"", ""te"")"),"యూరో ఎ జోర్ మసాలా")</f>
        <v>యూరో ఎ జోర్ మసాలా</v>
      </c>
      <c r="C2206" s="4" t="str">
        <f>IFERROR(__xludf.DUMMYFUNCTION("GOOGLETRANSLATE(A2206, ""en"", ""hi"")"),"यूरो ए जोर मसाला")</f>
        <v>यूरो ए जोर मसाला</v>
      </c>
      <c r="D2206" s="5"/>
      <c r="E2206" s="2" t="s">
        <v>442</v>
      </c>
      <c r="F2206" s="1">
        <v>4.0</v>
      </c>
      <c r="G2206" s="3" t="s">
        <v>258</v>
      </c>
    </row>
    <row r="2207">
      <c r="A2207" s="3" t="s">
        <v>7924</v>
      </c>
      <c r="B2207" s="4" t="str">
        <f>IFERROR(__xludf.DUMMYFUNCTION("GOOGLETRANSLATE(A2207, ""en"", ""te"")"),"పాప్‌రింగ్స్ చీజ్ చిల్లీ ఫ్లేవర్")</f>
        <v>పాప్‌రింగ్స్ చీజ్ చిల్లీ ఫ్లేవర్</v>
      </c>
      <c r="C2207" s="4" t="str">
        <f>IFERROR(__xludf.DUMMYFUNCTION("GOOGLETRANSLATE(A2207, ""en"", ""hi"")"),"पॉपरिंग्स चीज़ चिली फ्लेवर")</f>
        <v>पॉपरिंग्स चीज़ चिली फ्लेवर</v>
      </c>
      <c r="D2207" s="2" t="s">
        <v>7493</v>
      </c>
      <c r="E2207" s="2" t="s">
        <v>1294</v>
      </c>
      <c r="F2207" s="1">
        <v>4.0</v>
      </c>
      <c r="G2207" s="3" t="s">
        <v>292</v>
      </c>
    </row>
    <row r="2208">
      <c r="A2208" s="3" t="s">
        <v>7925</v>
      </c>
      <c r="B2208" s="4" t="str">
        <f>IFERROR(__xludf.DUMMYFUNCTION("GOOGLETRANSLATE(A2208, ""en"", ""te"")"),"ఫరాలి చివ్డా")</f>
        <v>ఫరాలి చివ్డా</v>
      </c>
      <c r="C2208" s="4" t="str">
        <f>IFERROR(__xludf.DUMMYFUNCTION("GOOGLETRANSLATE(A2208, ""en"", ""hi"")"),"फराली चिवड़ा")</f>
        <v>फराली चिवड़ा</v>
      </c>
      <c r="D2208" s="2" t="s">
        <v>7569</v>
      </c>
      <c r="E2208" s="2" t="s">
        <v>1294</v>
      </c>
      <c r="F2208" s="1">
        <v>4.0</v>
      </c>
      <c r="G2208" s="3" t="s">
        <v>71</v>
      </c>
    </row>
    <row r="2209">
      <c r="A2209" s="3" t="s">
        <v>7926</v>
      </c>
      <c r="B2209" s="4" t="str">
        <f>IFERROR(__xludf.DUMMYFUNCTION("GOOGLETRANSLATE(A2209, ""en"", ""te"")"),"చనాచూర్ మిక్స్")</f>
        <v>చనాచూర్ మిక్స్</v>
      </c>
      <c r="C2209" s="4" t="str">
        <f>IFERROR(__xludf.DUMMYFUNCTION("GOOGLETRANSLATE(A2209, ""en"", ""hi"")"),"चनाचुर मिक्स")</f>
        <v>चनाचुर मिक्स</v>
      </c>
      <c r="D2209" s="2" t="s">
        <v>7927</v>
      </c>
      <c r="E2209" s="2" t="s">
        <v>1294</v>
      </c>
      <c r="F2209" s="1">
        <v>4.0</v>
      </c>
      <c r="G2209" s="3" t="s">
        <v>71</v>
      </c>
    </row>
    <row r="2210">
      <c r="A2210" s="3" t="s">
        <v>7928</v>
      </c>
      <c r="B2210" s="4" t="str">
        <f>IFERROR(__xludf.DUMMYFUNCTION("GOOGLETRANSLATE(A2210, ""en"", ""te"")"),"వెన్న మురుక్కు కర్రలు")</f>
        <v>వెన్న మురుక్కు కర్రలు</v>
      </c>
      <c r="C2210" s="4" t="str">
        <f>IFERROR(__xludf.DUMMYFUNCTION("GOOGLETRANSLATE(A2210, ""en"", ""hi"")"),"मक्खन मुरुक्कू की छड़ें")</f>
        <v>मक्खन मुरुक्कू की छड़ें</v>
      </c>
      <c r="D2210" s="2" t="s">
        <v>7553</v>
      </c>
      <c r="E2210" s="2" t="s">
        <v>1294</v>
      </c>
      <c r="F2210" s="1">
        <v>4.0</v>
      </c>
      <c r="G2210" s="3" t="s">
        <v>71</v>
      </c>
    </row>
    <row r="2211">
      <c r="A2211" s="3" t="s">
        <v>7929</v>
      </c>
      <c r="B2211" s="4" t="str">
        <f>IFERROR(__xludf.DUMMYFUNCTION("GOOGLETRANSLATE(A2211, ""en"", ""te"")"),"బూందీ")</f>
        <v>బూందీ</v>
      </c>
      <c r="C2211" s="4" t="str">
        <f>IFERROR(__xludf.DUMMYFUNCTION("GOOGLETRANSLATE(A2211, ""en"", ""hi"")"),"बूंदी")</f>
        <v>बूंदी</v>
      </c>
      <c r="D2211" s="2" t="s">
        <v>7673</v>
      </c>
      <c r="E2211" s="2" t="s">
        <v>1294</v>
      </c>
      <c r="F2211" s="1">
        <v>4.0</v>
      </c>
      <c r="G2211" s="3" t="s">
        <v>71</v>
      </c>
    </row>
    <row r="2212">
      <c r="A2212" s="3" t="s">
        <v>7672</v>
      </c>
      <c r="B2212" s="4" t="str">
        <f>IFERROR(__xludf.DUMMYFUNCTION("GOOGLETRANSLATE(A2212, ""en"", ""te"")"),"ఆనంద్ బూందీ మైదానం")</f>
        <v>ఆనంద్ బూందీ మైదానం</v>
      </c>
      <c r="C2212" s="4" t="str">
        <f>IFERROR(__xludf.DUMMYFUNCTION("GOOGLETRANSLATE(A2212, ""en"", ""hi"")"),"आनंद बूंदी मैदान")</f>
        <v>आनंद बूंदी मैदान</v>
      </c>
      <c r="D2212" s="2" t="s">
        <v>7673</v>
      </c>
      <c r="E2212" s="2" t="s">
        <v>1294</v>
      </c>
      <c r="F2212" s="1">
        <v>4.0</v>
      </c>
      <c r="G2212" s="3" t="s">
        <v>71</v>
      </c>
    </row>
    <row r="2213">
      <c r="A2213" s="3" t="s">
        <v>7930</v>
      </c>
      <c r="B2213" s="4" t="str">
        <f>IFERROR(__xludf.DUMMYFUNCTION("GOOGLETRANSLATE(A2213, ""en"", ""te"")"),"ఫ్రిటో జోన్")</f>
        <v>ఫ్రిటో జోన్</v>
      </c>
      <c r="C2213" s="4" t="str">
        <f>IFERROR(__xludf.DUMMYFUNCTION("GOOGLETRANSLATE(A2213, ""en"", ""hi"")"),"फ्रिटो जोन्स")</f>
        <v>फ्रिटो जोन्स</v>
      </c>
      <c r="D2213" s="5"/>
      <c r="E2213" s="2" t="s">
        <v>1294</v>
      </c>
      <c r="F2213" s="1">
        <v>4.0</v>
      </c>
      <c r="G2213" s="3" t="s">
        <v>76</v>
      </c>
    </row>
    <row r="2214">
      <c r="A2214" s="3" t="s">
        <v>7710</v>
      </c>
      <c r="B2214" s="4" t="str">
        <f>IFERROR(__xludf.DUMMYFUNCTION("GOOGLETRANSLATE(A2214, ""en"", ""te"")"),"అమ్మ కిచెన్ బనానా చిప్స్ చిల్లీ మసాలా")</f>
        <v>అమ్మ కిచెన్ బనానా చిప్స్ చిల్లీ మసాలా</v>
      </c>
      <c r="C2214" s="4" t="str">
        <f>IFERROR(__xludf.DUMMYFUNCTION("GOOGLETRANSLATE(A2214, ""en"", ""hi"")"),"अम्मा की रसोई केले के चिप्स मिर्च मसाला")</f>
        <v>अम्मा की रसोई केले के चिप्स मिर्च मसाला</v>
      </c>
      <c r="D2214" s="5"/>
      <c r="E2214" s="2" t="s">
        <v>1294</v>
      </c>
      <c r="F2214" s="1">
        <v>4.0</v>
      </c>
      <c r="G2214" s="3" t="s">
        <v>76</v>
      </c>
    </row>
    <row r="2215">
      <c r="A2215" s="3" t="s">
        <v>7679</v>
      </c>
      <c r="B2215" s="4" t="str">
        <f>IFERROR(__xludf.DUMMYFUNCTION("GOOGLETRANSLATE(A2215, ""en"", ""te"")"),"అమ్మ వంటగది అచ్చప్పం")</f>
        <v>అమ్మ వంటగది అచ్చప్పం</v>
      </c>
      <c r="C2215" s="4" t="str">
        <f>IFERROR(__xludf.DUMMYFUNCTION("GOOGLETRANSLATE(A2215, ""en"", ""hi"")"),"अम्माज़ किचन अचप्पम")</f>
        <v>अम्माज़ किचन अचप्पम</v>
      </c>
      <c r="D2215" s="5"/>
      <c r="E2215" s="2" t="s">
        <v>1294</v>
      </c>
      <c r="F2215" s="1">
        <v>4.0</v>
      </c>
      <c r="G2215" s="3" t="s">
        <v>76</v>
      </c>
    </row>
    <row r="2216">
      <c r="A2216" s="3" t="s">
        <v>7633</v>
      </c>
      <c r="B2216" s="4" t="str">
        <f>IFERROR(__xludf.DUMMYFUNCTION("GOOGLETRANSLATE(A2216, ""en"", ""te"")"),"తీపి కారం కాఫీ మసాలా వేరుశనగలు")</f>
        <v>తీపి కారం కాఫీ మసాలా వేరుశనగలు</v>
      </c>
      <c r="C2216" s="4" t="str">
        <f>IFERROR(__xludf.DUMMYFUNCTION("GOOGLETRANSLATE(A2216, ""en"", ""hi"")"),"स्वीट करम कॉफी स्पाइस्ड पीनट्स")</f>
        <v>स्वीट करम कॉफी स्पाइस्ड पीनट्स</v>
      </c>
      <c r="D2216" s="2" t="s">
        <v>945</v>
      </c>
      <c r="E2216" s="2" t="s">
        <v>1294</v>
      </c>
      <c r="F2216" s="1">
        <v>4.0</v>
      </c>
      <c r="G2216" s="3" t="s">
        <v>76</v>
      </c>
    </row>
    <row r="2217">
      <c r="A2217" s="3" t="s">
        <v>7924</v>
      </c>
      <c r="B2217" s="4" t="str">
        <f>IFERROR(__xludf.DUMMYFUNCTION("GOOGLETRANSLATE(A2217, ""en"", ""te"")"),"పాప్‌రింగ్స్ చీజ్ చిల్లీ ఫ్లేవర్")</f>
        <v>పాప్‌రింగ్స్ చీజ్ చిల్లీ ఫ్లేవర్</v>
      </c>
      <c r="C2217" s="4" t="str">
        <f>IFERROR(__xludf.DUMMYFUNCTION("GOOGLETRANSLATE(A2217, ""en"", ""hi"")"),"पॉपरिंग्स चीज़ चिली फ्लेवर")</f>
        <v>पॉपरिंग्स चीज़ चिली फ्लेवर</v>
      </c>
      <c r="D2217" s="2" t="s">
        <v>7493</v>
      </c>
      <c r="E2217" s="2" t="s">
        <v>1294</v>
      </c>
      <c r="F2217" s="1">
        <v>4.0</v>
      </c>
      <c r="G2217" s="3" t="s">
        <v>85</v>
      </c>
    </row>
    <row r="2218">
      <c r="A2218" s="3" t="s">
        <v>7682</v>
      </c>
      <c r="B2218" s="4" t="str">
        <f>IFERROR(__xludf.DUMMYFUNCTION("GOOGLETRANSLATE(A2218, ""en"", ""te"")"),"క్విక్స్ చీజ్ బాల్స్")</f>
        <v>క్విక్స్ చీజ్ బాల్స్</v>
      </c>
      <c r="C2218" s="4" t="str">
        <f>IFERROR(__xludf.DUMMYFUNCTION("GOOGLETRANSLATE(A2218, ""en"", ""hi"")"),"क्विक्स चीज़ बॉल्स")</f>
        <v>क्विक्स चीज़ बॉल्स</v>
      </c>
      <c r="D2218" s="5"/>
      <c r="E2218" s="2" t="s">
        <v>1294</v>
      </c>
      <c r="F2218" s="1">
        <v>4.0</v>
      </c>
      <c r="G2218" s="3" t="s">
        <v>85</v>
      </c>
    </row>
    <row r="2219">
      <c r="A2219" s="3" t="s">
        <v>7931</v>
      </c>
      <c r="B2219" s="4" t="str">
        <f>IFERROR(__xludf.DUMMYFUNCTION("GOOGLETRANSLATE(A2219, ""en"", ""te"")"),"ఆనంద్ బౌండి మైదానం")</f>
        <v>ఆనంద్ బౌండి మైదానం</v>
      </c>
      <c r="C2219" s="4" t="str">
        <f>IFERROR(__xludf.DUMMYFUNCTION("GOOGLETRANSLATE(A2219, ""en"", ""hi"")"),"आनंद बाउंडी मैदान")</f>
        <v>आनंद बाउंडी मैदान</v>
      </c>
      <c r="D2219" s="5"/>
      <c r="E2219" s="2" t="s">
        <v>1294</v>
      </c>
      <c r="F2219" s="1">
        <v>4.0</v>
      </c>
      <c r="G2219" s="3" t="s">
        <v>85</v>
      </c>
    </row>
    <row r="2220">
      <c r="A2220" s="3" t="s">
        <v>660</v>
      </c>
      <c r="B2220" s="4" t="str">
        <f>IFERROR(__xludf.DUMMYFUNCTION("GOOGLETRANSLATE(A2220, ""en"", ""te"")"),"ఆనంద్ భుజియా")</f>
        <v>ఆనంద్ భుజియా</v>
      </c>
      <c r="C2220" s="4" t="str">
        <f>IFERROR(__xludf.DUMMYFUNCTION("GOOGLETRANSLATE(A2220, ""en"", ""hi"")"),"आनंद भुजिया")</f>
        <v>आनंद भुजिया</v>
      </c>
      <c r="D2220" s="5"/>
      <c r="E2220" s="2" t="s">
        <v>1294</v>
      </c>
      <c r="F2220" s="1">
        <v>4.0</v>
      </c>
      <c r="G2220" s="3" t="s">
        <v>85</v>
      </c>
    </row>
    <row r="2221">
      <c r="A2221" s="3" t="s">
        <v>7627</v>
      </c>
      <c r="B2221" s="4" t="str">
        <f>IFERROR(__xludf.DUMMYFUNCTION("GOOGLETRANSLATE(A2221, ""en"", ""te"")"),"ఆనంద్ బెన్నె మురుకు")</f>
        <v>ఆనంద్ బెన్నె మురుకు</v>
      </c>
      <c r="C2221" s="4" t="str">
        <f>IFERROR(__xludf.DUMMYFUNCTION("GOOGLETRANSLATE(A2221, ""en"", ""hi"")"),"आनंद बेन्ने मुरुक्कू")</f>
        <v>आनंद बेन्ने मुरुक्कू</v>
      </c>
      <c r="D2221" s="2" t="s">
        <v>2357</v>
      </c>
      <c r="E2221" s="2" t="s">
        <v>1294</v>
      </c>
      <c r="F2221" s="1">
        <v>4.0</v>
      </c>
      <c r="G2221" s="3" t="s">
        <v>85</v>
      </c>
    </row>
    <row r="2222">
      <c r="A2222" s="3" t="s">
        <v>7932</v>
      </c>
      <c r="B2222" s="4" t="str">
        <f>IFERROR(__xludf.DUMMYFUNCTION("GOOGLETRANSLATE(A2222, ""en"", ""te"")"),"ఆనంద్ బనానా చిప్స్ (ఉప్పు వేసినవి)")</f>
        <v>ఆనంద్ బనానా చిప్స్ (ఉప్పు వేసినవి)</v>
      </c>
      <c r="C2222" s="4" t="str">
        <f>IFERROR(__xludf.DUMMYFUNCTION("GOOGLETRANSLATE(A2222, ""en"", ""hi"")"),"आनंद केले के चिप्स (नमकीन)")</f>
        <v>आनंद केले के चिप्स (नमकीन)</v>
      </c>
      <c r="D2222" s="2" t="s">
        <v>7933</v>
      </c>
      <c r="E2222" s="2" t="s">
        <v>1294</v>
      </c>
      <c r="F2222" s="1">
        <v>4.0</v>
      </c>
      <c r="G2222" s="3" t="s">
        <v>85</v>
      </c>
    </row>
    <row r="2223">
      <c r="A2223" s="3" t="s">
        <v>7629</v>
      </c>
      <c r="B2223" s="4" t="str">
        <f>IFERROR(__xludf.DUMMYFUNCTION("GOOGLETRANSLATE(A2223, ""en"", ""te"")"),"ఆనంద్ బనానా చిప్స్ (పెప్పర్)")</f>
        <v>ఆనంద్ బనానా చిప్స్ (పెప్పర్)</v>
      </c>
      <c r="C2223" s="4" t="str">
        <f>IFERROR(__xludf.DUMMYFUNCTION("GOOGLETRANSLATE(A2223, ""en"", ""hi"")"),"आनंद बनाना चिप्स (मिर्च)")</f>
        <v>आनंद बनाना चिप्स (मिर्च)</v>
      </c>
      <c r="D2223" s="2" t="s">
        <v>7630</v>
      </c>
      <c r="E2223" s="2" t="s">
        <v>1294</v>
      </c>
      <c r="F2223" s="1">
        <v>4.0</v>
      </c>
      <c r="G2223" s="3" t="s">
        <v>85</v>
      </c>
    </row>
    <row r="2224">
      <c r="A2224" s="3" t="s">
        <v>7633</v>
      </c>
      <c r="B2224" s="4" t="str">
        <f>IFERROR(__xludf.DUMMYFUNCTION("GOOGLETRANSLATE(A2224, ""en"", ""te"")"),"తీపి కారం కాఫీ మసాలా వేరుశనగలు")</f>
        <v>తీపి కారం కాఫీ మసాలా వేరుశనగలు</v>
      </c>
      <c r="C2224" s="4" t="str">
        <f>IFERROR(__xludf.DUMMYFUNCTION("GOOGLETRANSLATE(A2224, ""en"", ""hi"")"),"स्वीट करम कॉफी स्पाइस्ड पीनट्स")</f>
        <v>स्वीट करम कॉफी स्पाइस्ड पीनट्स</v>
      </c>
      <c r="D2224" s="2" t="s">
        <v>945</v>
      </c>
      <c r="E2224" s="2" t="s">
        <v>1294</v>
      </c>
      <c r="F2224" s="1">
        <v>4.0</v>
      </c>
      <c r="G2224" s="3" t="s">
        <v>114</v>
      </c>
    </row>
    <row r="2225">
      <c r="A2225" s="3" t="s">
        <v>7634</v>
      </c>
      <c r="B2225" s="4" t="str">
        <f>IFERROR(__xludf.DUMMYFUNCTION("GOOGLETRANSLATE(A2225, ""en"", ""te"")"),"స్వీట్ కరమ్ కాఫీ రిబ్బన్ పకోడా")</f>
        <v>స్వీట్ కరమ్ కాఫీ రిబ్బన్ పకోడా</v>
      </c>
      <c r="C2225" s="4" t="str">
        <f>IFERROR(__xludf.DUMMYFUNCTION("GOOGLETRANSLATE(A2225, ""en"", ""hi"")"),"मीठा करम कॉफी रिबन पकोड़ा")</f>
        <v>मीठा करम कॉफी रिबन पकोड़ा</v>
      </c>
      <c r="D2225" s="5"/>
      <c r="E2225" s="2" t="s">
        <v>1294</v>
      </c>
      <c r="F2225" s="1">
        <v>4.0</v>
      </c>
      <c r="G2225" s="3" t="s">
        <v>114</v>
      </c>
    </row>
    <row r="2226">
      <c r="A2226" s="3" t="s">
        <v>7635</v>
      </c>
      <c r="B2226" s="4" t="str">
        <f>IFERROR(__xludf.DUMMYFUNCTION("GOOGLETRANSLATE(A2226, ""en"", ""te"")"),"తీపి కారం కాఫీ మిరియాల మురుక్కు పుల్లలు")</f>
        <v>తీపి కారం కాఫీ మిరియాల మురుక్కు పుల్లలు</v>
      </c>
      <c r="C2226" s="4" t="str">
        <f>IFERROR(__xludf.DUMMYFUNCTION("GOOGLETRANSLATE(A2226, ""en"", ""hi"")"),"स्वीट करम कॉफी पेपर मुरुक्कू स्टिक्स")</f>
        <v>स्वीट करम कॉफी पेपर मुरुक्कू स्टिक्स</v>
      </c>
      <c r="D2226" s="2" t="s">
        <v>7636</v>
      </c>
      <c r="E2226" s="2" t="s">
        <v>1294</v>
      </c>
      <c r="F2226" s="1">
        <v>4.0</v>
      </c>
      <c r="G2226" s="3" t="s">
        <v>114</v>
      </c>
    </row>
    <row r="2227">
      <c r="A2227" s="3" t="s">
        <v>7637</v>
      </c>
      <c r="B2227" s="4" t="str">
        <f>IFERROR(__xludf.DUMMYFUNCTION("GOOGLETRANSLATE(A2227, ""en"", ""te"")"),"స్వీట్ కారం కాఫీ నిప్పట్టు (తట్టై)")</f>
        <v>స్వీట్ కారం కాఫీ నిప్పట్టు (తట్టై)</v>
      </c>
      <c r="C2227" s="4" t="str">
        <f>IFERROR(__xludf.DUMMYFUNCTION("GOOGLETRANSLATE(A2227, ""en"", ""hi"")"),"मीठी करम कॉफ़ी निप्पट्टू (थट्टाई)")</f>
        <v>मीठी करम कॉफ़ी निप्पट्टू (थट्टाई)</v>
      </c>
      <c r="D2227" s="2" t="s">
        <v>7638</v>
      </c>
      <c r="E2227" s="2" t="s">
        <v>1294</v>
      </c>
      <c r="F2227" s="1">
        <v>4.0</v>
      </c>
      <c r="G2227" s="3" t="s">
        <v>114</v>
      </c>
    </row>
    <row r="2228">
      <c r="A2228" s="3" t="s">
        <v>7639</v>
      </c>
      <c r="B2228" s="4" t="str">
        <f>IFERROR(__xludf.DUMMYFUNCTION("GOOGLETRANSLATE(A2228, ""en"", ""te"")"),"స్వీట్ కరం కాఫీ మద్రాస్ మిశ్రమం")</f>
        <v>స్వీట్ కరం కాఫీ మద్రాస్ మిశ్రమం</v>
      </c>
      <c r="C2228" s="4" t="str">
        <f>IFERROR(__xludf.DUMMYFUNCTION("GOOGLETRANSLATE(A2228, ""en"", ""hi"")"),"स्वीट करम कॉफी मद्रास मिक्सचर")</f>
        <v>स्वीट करम कॉफी मद्रास मिक्सचर</v>
      </c>
      <c r="D2228" s="2" t="s">
        <v>5175</v>
      </c>
      <c r="E2228" s="2" t="s">
        <v>1294</v>
      </c>
      <c r="F2228" s="1">
        <v>4.0</v>
      </c>
      <c r="G2228" s="3" t="s">
        <v>114</v>
      </c>
    </row>
    <row r="2229">
      <c r="A2229" s="3" t="s">
        <v>7934</v>
      </c>
      <c r="B2229" s="4" t="str">
        <f>IFERROR(__xludf.DUMMYFUNCTION("GOOGLETRANSLATE(A2229, ""en"", ""te"")"),"పాప్‌రింగ్స్")</f>
        <v>పాప్‌రింగ్స్</v>
      </c>
      <c r="C2229" s="4" t="str">
        <f>IFERROR(__xludf.DUMMYFUNCTION("GOOGLETRANSLATE(A2229, ""en"", ""hi"")"),"पॉपरिंग्स")</f>
        <v>पॉपरिंग्स</v>
      </c>
      <c r="D2229" s="5"/>
      <c r="E2229" s="2" t="s">
        <v>1294</v>
      </c>
      <c r="F2229" s="1">
        <v>4.0</v>
      </c>
      <c r="G2229" s="3" t="s">
        <v>10</v>
      </c>
    </row>
    <row r="2230">
      <c r="A2230" s="3" t="s">
        <v>7932</v>
      </c>
      <c r="B2230" s="4" t="str">
        <f>IFERROR(__xludf.DUMMYFUNCTION("GOOGLETRANSLATE(A2230, ""en"", ""te"")"),"ఆనంద్ బనానా చిప్స్ (ఉప్పు వేసినవి)")</f>
        <v>ఆనంద్ బనానా చిప్స్ (ఉప్పు వేసినవి)</v>
      </c>
      <c r="C2230" s="4" t="str">
        <f>IFERROR(__xludf.DUMMYFUNCTION("GOOGLETRANSLATE(A2230, ""en"", ""hi"")"),"आनंद केले के चिप्स (नमकीन)")</f>
        <v>आनंद केले के चिप्स (नमकीन)</v>
      </c>
      <c r="D2230" s="2" t="s">
        <v>7933</v>
      </c>
      <c r="E2230" s="2" t="s">
        <v>1294</v>
      </c>
      <c r="F2230" s="1">
        <v>4.0</v>
      </c>
      <c r="G2230" s="3" t="s">
        <v>114</v>
      </c>
    </row>
    <row r="2231">
      <c r="A2231" s="3" t="s">
        <v>7935</v>
      </c>
      <c r="B2231" s="4" t="str">
        <f>IFERROR(__xludf.DUMMYFUNCTION("GOOGLETRANSLATE(A2231, ""en"", ""te"")"),"ఆనంద్ బనానా చిప్స్ (చిల్లీ)")</f>
        <v>ఆనంద్ బనానా చిప్స్ (చిల్లీ)</v>
      </c>
      <c r="C2231" s="4" t="str">
        <f>IFERROR(__xludf.DUMMYFUNCTION("GOOGLETRANSLATE(A2231, ""en"", ""hi"")"),"आनंद बनाना चिप्स (चिली)")</f>
        <v>आनंद बनाना चिप्स (चिली)</v>
      </c>
      <c r="D2231" s="2" t="s">
        <v>7659</v>
      </c>
      <c r="E2231" s="2" t="s">
        <v>1294</v>
      </c>
      <c r="F2231" s="1">
        <v>4.0</v>
      </c>
      <c r="G2231" s="3" t="s">
        <v>114</v>
      </c>
    </row>
    <row r="2232">
      <c r="A2232" s="3" t="s">
        <v>7936</v>
      </c>
      <c r="B2232" s="4" t="str">
        <f>IFERROR(__xludf.DUMMYFUNCTION("GOOGLETRANSLATE(A2232, ""en"", ""te"")"),"బేబీ మురుకు స్పైసీ")</f>
        <v>బేబీ మురుకు స్పైసీ</v>
      </c>
      <c r="C2232" s="4" t="str">
        <f>IFERROR(__xludf.DUMMYFUNCTION("GOOGLETRANSLATE(A2232, ""en"", ""hi"")"),"बेबी मुरुक्कू स्पाइसी")</f>
        <v>बेबी मुरुक्कू स्पाइसी</v>
      </c>
      <c r="D2232" s="2" t="s">
        <v>7537</v>
      </c>
      <c r="E2232" s="2" t="s">
        <v>1294</v>
      </c>
      <c r="F2232" s="1">
        <v>4.0</v>
      </c>
      <c r="G2232" s="3" t="s">
        <v>114</v>
      </c>
    </row>
    <row r="2233">
      <c r="A2233" s="3" t="s">
        <v>7937</v>
      </c>
      <c r="B2233" s="4" t="str">
        <f>IFERROR(__xludf.DUMMYFUNCTION("GOOGLETRANSLATE(A2233, ""en"", ""te"")"),"తీపి కారం కాఫీ మిరియాల మురుకు పుల్లలు")</f>
        <v>తీపి కారం కాఫీ మిరియాల మురుకు పుల్లలు</v>
      </c>
      <c r="C2233" s="4" t="str">
        <f>IFERROR(__xludf.DUMMYFUNCTION("GOOGLETRANSLATE(A2233, ""en"", ""hi"")"),"स्वीट करम कॉफी पेपर मुरुक्कू स्टिक्स")</f>
        <v>स्वीट करम कॉफी पेपर मुरुक्कू स्टिक्स</v>
      </c>
      <c r="D2233" s="2" t="s">
        <v>7636</v>
      </c>
      <c r="E2233" s="2" t="s">
        <v>1294</v>
      </c>
      <c r="F2233" s="1">
        <v>4.0</v>
      </c>
      <c r="G2233" s="3" t="s">
        <v>10</v>
      </c>
    </row>
    <row r="2234">
      <c r="A2234" s="3" t="s">
        <v>7938</v>
      </c>
      <c r="B2234" s="4" t="str">
        <f>IFERROR(__xludf.DUMMYFUNCTION("GOOGLETRANSLATE(A2234, ""en"", ""te"")"),"తీపి కారం కాఫీ తిప్పట్టు తట్టై")</f>
        <v>తీపి కారం కాఫీ తిప్పట్టు తట్టై</v>
      </c>
      <c r="C2234" s="4" t="str">
        <f>IFERROR(__xludf.DUMMYFUNCTION("GOOGLETRANSLATE(A2234, ""en"", ""hi"")"),"मीठी करम कॉफ़ी थिपट्टू थट्टई")</f>
        <v>मीठी करम कॉफ़ी थिपट्टू थट्टई</v>
      </c>
      <c r="D2234" s="2" t="s">
        <v>7537</v>
      </c>
      <c r="E2234" s="2" t="s">
        <v>1294</v>
      </c>
      <c r="F2234" s="1">
        <v>4.0</v>
      </c>
      <c r="G2234" s="3" t="s">
        <v>10</v>
      </c>
    </row>
    <row r="2235">
      <c r="A2235" s="3" t="s">
        <v>7939</v>
      </c>
      <c r="B2235" s="4" t="str">
        <f>IFERROR(__xludf.DUMMYFUNCTION("GOOGLETRANSLATE(A2235, ""en"", ""te"")"),"లక్ష్మి ఆమ్లా")</f>
        <v>లక్ష్మి ఆమ్లా</v>
      </c>
      <c r="C2235" s="4" t="str">
        <f>IFERROR(__xludf.DUMMYFUNCTION("GOOGLETRANSLATE(A2235, ""en"", ""hi"")"),"लक्ष्मी आमला")</f>
        <v>लक्ष्मी आमला</v>
      </c>
      <c r="D2235" s="2" t="s">
        <v>7940</v>
      </c>
      <c r="E2235" s="2" t="s">
        <v>2700</v>
      </c>
      <c r="F2235" s="1">
        <v>4.0</v>
      </c>
      <c r="G2235" s="3" t="s">
        <v>7941</v>
      </c>
    </row>
    <row r="2236">
      <c r="A2236" s="3" t="s">
        <v>7942</v>
      </c>
      <c r="B2236" s="4" t="str">
        <f>IFERROR(__xludf.DUMMYFUNCTION("GOOGLETRANSLATE(A2236, ""en"", ""te"")"),"లక్ష్మి డ్రమ్ స్టిక్స్")</f>
        <v>లక్ష్మి డ్రమ్ స్టిక్స్</v>
      </c>
      <c r="C2236" s="4" t="str">
        <f>IFERROR(__xludf.DUMMYFUNCTION("GOOGLETRANSLATE(A2236, ""en"", ""hi"")"),"लक्ष्मी ड्रमस्टिक्स")</f>
        <v>लक्ष्मी ड्रमस्टिक्स</v>
      </c>
      <c r="D2236" s="5"/>
      <c r="E2236" s="2" t="s">
        <v>2700</v>
      </c>
      <c r="F2236" s="1">
        <v>4.0</v>
      </c>
      <c r="G2236" s="3" t="s">
        <v>7941</v>
      </c>
    </row>
    <row r="2237">
      <c r="A2237" s="3" t="s">
        <v>7943</v>
      </c>
      <c r="B2237" s="4" t="str">
        <f>IFERROR(__xludf.DUMMYFUNCTION("GOOGLETRANSLATE(A2237, ""en"", ""te"")"),"లక్ష్మి పచ్చి బఠానీలు")</f>
        <v>లక్ష్మి పచ్చి బఠానీలు</v>
      </c>
      <c r="C2237" s="4" t="str">
        <f>IFERROR(__xludf.DUMMYFUNCTION("GOOGLETRANSLATE(A2237, ""en"", ""hi"")"),"लक्ष्मी हरी मटर")</f>
        <v>लक्ष्मी हरी मटर</v>
      </c>
      <c r="D2237" s="5"/>
      <c r="E2237" s="2" t="s">
        <v>2700</v>
      </c>
      <c r="F2237" s="1">
        <v>4.0</v>
      </c>
      <c r="G2237" s="3" t="s">
        <v>7941</v>
      </c>
    </row>
    <row r="2238">
      <c r="A2238" s="3" t="s">
        <v>7944</v>
      </c>
      <c r="B2238" s="4" t="str">
        <f>IFERROR(__xludf.DUMMYFUNCTION("GOOGLETRANSLATE(A2238, ""en"", ""te"")"),"లక్ష్మి కరేలా")</f>
        <v>లక్ష్మి కరేలా</v>
      </c>
      <c r="C2238" s="4" t="str">
        <f>IFERROR(__xludf.DUMMYFUNCTION("GOOGLETRANSLATE(A2238, ""en"", ""hi"")"),"लक्ष्मी करेला")</f>
        <v>लक्ष्मी करेला</v>
      </c>
      <c r="D2238" s="5"/>
      <c r="E2238" s="2" t="s">
        <v>996</v>
      </c>
      <c r="F2238" s="1">
        <v>4.0</v>
      </c>
      <c r="G2238" s="3" t="s">
        <v>7941</v>
      </c>
    </row>
    <row r="2239">
      <c r="A2239" s="3" t="s">
        <v>7945</v>
      </c>
      <c r="B2239" s="4" t="str">
        <f>IFERROR(__xludf.DUMMYFUNCTION("GOOGLETRANSLATE(A2239, ""en"", ""te"")"),"లక్ష్మి టిండోరా")</f>
        <v>లక్ష్మి టిండోరా</v>
      </c>
      <c r="C2239" s="4" t="str">
        <f>IFERROR(__xludf.DUMMYFUNCTION("GOOGLETRANSLATE(A2239, ""en"", ""hi"")"),"लक्ष्मी टिंडोरा")</f>
        <v>लक्ष्मी टिंडोरा</v>
      </c>
      <c r="D2239" s="2" t="s">
        <v>7946</v>
      </c>
      <c r="E2239" s="2" t="s">
        <v>7005</v>
      </c>
      <c r="F2239" s="1">
        <v>4.0</v>
      </c>
      <c r="G2239" s="3" t="s">
        <v>7941</v>
      </c>
    </row>
    <row r="2240">
      <c r="A2240" s="3" t="s">
        <v>7947</v>
      </c>
      <c r="B2240" s="4" t="str">
        <f>IFERROR(__xludf.DUMMYFUNCTION("GOOGLETRANSLATE(A2240, ""en"", ""te"")"),"వాదిలాల్ ఆమ్లా")</f>
        <v>వాదిలాల్ ఆమ్లా</v>
      </c>
      <c r="C2240" s="4" t="str">
        <f>IFERROR(__xludf.DUMMYFUNCTION("GOOGLETRANSLATE(A2240, ""en"", ""hi"")"),"वडीलाल अमला")</f>
        <v>वडीलाल अमला</v>
      </c>
      <c r="D2240" s="2" t="s">
        <v>7940</v>
      </c>
      <c r="E2240" s="2" t="s">
        <v>996</v>
      </c>
      <c r="F2240" s="1">
        <v>4.0</v>
      </c>
      <c r="G2240" s="3" t="s">
        <v>7941</v>
      </c>
    </row>
    <row r="2241">
      <c r="A2241" s="3" t="s">
        <v>7948</v>
      </c>
      <c r="B2241" s="4" t="str">
        <f>IFERROR(__xludf.DUMMYFUNCTION("GOOGLETRANSLATE(A2241, ""en"", ""te"")"),"వాదిలాల్ ఫాన్సీ")</f>
        <v>వాదిలాల్ ఫాన్సీ</v>
      </c>
      <c r="C2241" s="4" t="str">
        <f>IFERROR(__xludf.DUMMYFUNCTION("GOOGLETRANSLATE(A2241, ""en"", ""hi"")"),"वडीलाल फांसी")</f>
        <v>वडीलाल फांसी</v>
      </c>
      <c r="D2241" s="5"/>
      <c r="E2241" s="2" t="s">
        <v>351</v>
      </c>
      <c r="F2241" s="1">
        <v>4.0</v>
      </c>
      <c r="G2241" s="3" t="s">
        <v>7941</v>
      </c>
    </row>
    <row r="2242">
      <c r="A2242" s="3" t="s">
        <v>7949</v>
      </c>
      <c r="B2242" s="4" t="str">
        <f>IFERROR(__xludf.DUMMYFUNCTION("GOOGLETRANSLATE(A2242, ""en"", ""te"")"),"వాదిలాల్ గ్రీన్ చనా")</f>
        <v>వాదిలాల్ గ్రీన్ చనా</v>
      </c>
      <c r="C2242" s="4" t="str">
        <f>IFERROR(__xludf.DUMMYFUNCTION("GOOGLETRANSLATE(A2242, ""en"", ""hi"")"),"वडीलाल हरा चना")</f>
        <v>वडीलाल हरा चना</v>
      </c>
      <c r="D2242" s="2" t="s">
        <v>1036</v>
      </c>
      <c r="E2242" s="2" t="s">
        <v>940</v>
      </c>
      <c r="F2242" s="1">
        <v>4.0</v>
      </c>
      <c r="G2242" s="3" t="s">
        <v>7941</v>
      </c>
    </row>
    <row r="2243">
      <c r="A2243" s="3" t="s">
        <v>7950</v>
      </c>
      <c r="B2243" s="4" t="str">
        <f>IFERROR(__xludf.DUMMYFUNCTION("GOOGLETRANSLATE(A2243, ""en"", ""te"")"),"వడిలాల్ గ్రీన్ పీస్")</f>
        <v>వడిలాల్ గ్రీన్ పీస్</v>
      </c>
      <c r="C2243" s="4" t="str">
        <f>IFERROR(__xludf.DUMMYFUNCTION("GOOGLETRANSLATE(A2243, ""en"", ""hi"")"),"वडीलाल हरी मटर")</f>
        <v>वडीलाल हरी मटर</v>
      </c>
      <c r="D2243" s="5"/>
      <c r="E2243" s="2" t="s">
        <v>351</v>
      </c>
      <c r="F2243" s="1">
        <v>4.0</v>
      </c>
      <c r="G2243" s="3" t="s">
        <v>7941</v>
      </c>
    </row>
    <row r="2244">
      <c r="A2244" s="3" t="s">
        <v>7951</v>
      </c>
      <c r="B2244" s="4" t="str">
        <f>IFERROR(__xludf.DUMMYFUNCTION("GOOGLETRANSLATE(A2244, ""en"", ""te"")"),"వాదిలాల్ లెమన్‌గ్రాస్")</f>
        <v>వాదిలాల్ లెమన్‌గ్రాస్</v>
      </c>
      <c r="C2244" s="4" t="str">
        <f>IFERROR(__xludf.DUMMYFUNCTION("GOOGLETRANSLATE(A2244, ""en"", ""hi"")"),"वडीलाल लेमनग्रास")</f>
        <v>वडीलाल लेमनग्रास</v>
      </c>
      <c r="D2244" s="5"/>
      <c r="E2244" s="2" t="s">
        <v>442</v>
      </c>
      <c r="F2244" s="1">
        <v>4.0</v>
      </c>
      <c r="G2244" s="3" t="s">
        <v>7941</v>
      </c>
    </row>
    <row r="2245">
      <c r="A2245" s="3" t="s">
        <v>7952</v>
      </c>
      <c r="B2245" s="4" t="str">
        <f>IFERROR(__xludf.DUMMYFUNCTION("GOOGLETRANSLATE(A2245, ""en"", ""te"")"),"వాదిలాల్ సుర్తి పాప్డి లిల్వా")</f>
        <v>వాదిలాల్ సుర్తి పాప్డి లిల్వా</v>
      </c>
      <c r="C2245" s="4" t="str">
        <f>IFERROR(__xludf.DUMMYFUNCTION("GOOGLETRANSLATE(A2245, ""en"", ""hi"")"),"वडीलाल सुरती पापड़ी लिलवा")</f>
        <v>वडीलाल सुरती पापड़ी लिलवा</v>
      </c>
      <c r="D2245" s="2" t="s">
        <v>3435</v>
      </c>
      <c r="E2245" s="2" t="s">
        <v>1038</v>
      </c>
      <c r="F2245" s="1">
        <v>4.0</v>
      </c>
      <c r="G2245" s="3" t="s">
        <v>7941</v>
      </c>
    </row>
    <row r="2246">
      <c r="A2246" s="3" t="s">
        <v>7953</v>
      </c>
      <c r="B2246" s="4" t="str">
        <f>IFERROR(__xludf.DUMMYFUNCTION("GOOGLETRANSLATE(A2246, ""en"", ""te"")"),"వాదిలాల్ అర్వాల్")</f>
        <v>వాదిలాల్ అర్వాల్</v>
      </c>
      <c r="C2246" s="4" t="str">
        <f>IFERROR(__xludf.DUMMYFUNCTION("GOOGLETRANSLATE(A2246, ""en"", ""hi"")"),"वडीलाल अरवाल")</f>
        <v>वडीलाल अरवाल</v>
      </c>
      <c r="D2246" s="5"/>
      <c r="E2246" s="2" t="s">
        <v>1038</v>
      </c>
      <c r="F2246" s="1">
        <v>4.0</v>
      </c>
      <c r="G2246" s="3" t="s">
        <v>7941</v>
      </c>
    </row>
    <row r="2247">
      <c r="A2247" s="3" t="s">
        <v>7954</v>
      </c>
      <c r="B2247" s="4" t="str">
        <f>IFERROR(__xludf.DUMMYFUNCTION("GOOGLETRANSLATE(A2247, ""en"", ""te"")"),"వడిలాల్ బఠానీలు &amp; క్యారెట్లు")</f>
        <v>వడిలాల్ బఠానీలు &amp; క్యారెట్లు</v>
      </c>
      <c r="C2247" s="4" t="str">
        <f>IFERROR(__xludf.DUMMYFUNCTION("GOOGLETRANSLATE(A2247, ""en"", ""hi"")"),"वडीलाल मटर और गाजर")</f>
        <v>वडीलाल मटर और गाजर</v>
      </c>
      <c r="D2247" s="2" t="s">
        <v>7955</v>
      </c>
      <c r="E2247" s="2" t="s">
        <v>351</v>
      </c>
      <c r="F2247" s="1">
        <v>4.0</v>
      </c>
      <c r="G2247" s="3" t="s">
        <v>7941</v>
      </c>
    </row>
    <row r="2248">
      <c r="A2248" s="3" t="s">
        <v>7956</v>
      </c>
      <c r="B2248" s="4" t="str">
        <f>IFERROR(__xludf.DUMMYFUNCTION("GOOGLETRANSLATE(A2248, ""en"", ""te"")"),"వడిలాల్ రెడ్ బేబీ ఆనియన్స్")</f>
        <v>వడిలాల్ రెడ్ బేబీ ఆనియన్స్</v>
      </c>
      <c r="C2248" s="4" t="str">
        <f>IFERROR(__xludf.DUMMYFUNCTION("GOOGLETRANSLATE(A2248, ""en"", ""hi"")"),"वडीलाल लाल बेबी प्याज")</f>
        <v>वडीलाल लाल बेबी प्याज</v>
      </c>
      <c r="D2248" s="2" t="s">
        <v>3445</v>
      </c>
      <c r="E2248" s="2" t="s">
        <v>7005</v>
      </c>
      <c r="F2248" s="1">
        <v>4.0</v>
      </c>
      <c r="G2248" s="3" t="s">
        <v>7941</v>
      </c>
    </row>
    <row r="2249">
      <c r="A2249" s="3" t="s">
        <v>7957</v>
      </c>
      <c r="B2249" s="4" t="str">
        <f>IFERROR(__xludf.DUMMYFUNCTION("GOOGLETRANSLATE(A2249, ""en"", ""te"")"),"వడిలాల్ సాంబార్ మిక్స్")</f>
        <v>వడిలాల్ సాంబార్ మిక్స్</v>
      </c>
      <c r="C2249" s="4" t="str">
        <f>IFERROR(__xludf.DUMMYFUNCTION("GOOGLETRANSLATE(A2249, ""en"", ""hi"")"),"वडीलाल सांभर मिक्स")</f>
        <v>वडीलाल सांभर मिक्स</v>
      </c>
      <c r="D2249" s="2" t="s">
        <v>2520</v>
      </c>
      <c r="E2249" s="2" t="s">
        <v>442</v>
      </c>
      <c r="F2249" s="1">
        <v>4.0</v>
      </c>
      <c r="G2249" s="3" t="s">
        <v>7941</v>
      </c>
    </row>
    <row r="2250">
      <c r="A2250" s="3" t="s">
        <v>7958</v>
      </c>
      <c r="B2250" s="4" t="str">
        <f>IFERROR(__xludf.DUMMYFUNCTION("GOOGLETRANSLATE(A2250, ""en"", ""te"")"),"వడిలాల్ స్వీట్ కార్న్")</f>
        <v>వడిలాల్ స్వీట్ కార్న్</v>
      </c>
      <c r="C2250" s="4" t="str">
        <f>IFERROR(__xludf.DUMMYFUNCTION("GOOGLETRANSLATE(A2250, ""en"", ""hi"")"),"वडीलाल स्वीट कॉर्न")</f>
        <v>वडीलाल स्वीट कॉर्न</v>
      </c>
      <c r="D2250" s="5"/>
      <c r="E2250" s="2" t="s">
        <v>351</v>
      </c>
      <c r="F2250" s="1">
        <v>4.0</v>
      </c>
      <c r="G2250" s="3" t="s">
        <v>7941</v>
      </c>
    </row>
    <row r="2251">
      <c r="A2251" s="3" t="s">
        <v>7959</v>
      </c>
      <c r="B2251" s="4" t="str">
        <f>IFERROR(__xludf.DUMMYFUNCTION("GOOGLETRANSLATE(A2251, ""en"", ""te"")"),"ఆనంద్ అవియల్ మిక్స్")</f>
        <v>ఆనంద్ అవియల్ మిక్స్</v>
      </c>
      <c r="C2251" s="4" t="str">
        <f>IFERROR(__xludf.DUMMYFUNCTION("GOOGLETRANSLATE(A2251, ""en"", ""hi"")"),"आनंद अवियाल मिक्स")</f>
        <v>आनंद अवियाल मिक्स</v>
      </c>
      <c r="D2251" s="2" t="s">
        <v>7960</v>
      </c>
      <c r="E2251" s="2" t="s">
        <v>442</v>
      </c>
      <c r="F2251" s="1">
        <v>4.0</v>
      </c>
      <c r="G2251" s="3" t="s">
        <v>7941</v>
      </c>
    </row>
    <row r="2252">
      <c r="A2252" s="3" t="s">
        <v>7961</v>
      </c>
      <c r="B2252" s="4" t="str">
        <f>IFERROR(__xludf.DUMMYFUNCTION("GOOGLETRANSLATE(A2252, ""en"", ""te"")"),"ఆనంద్ పచ్చి పనసకాయ కోత")</f>
        <v>ఆనంద్ పచ్చి పనసకాయ కోత</v>
      </c>
      <c r="C2252" s="4" t="str">
        <f>IFERROR(__xludf.DUMMYFUNCTION("GOOGLETRANSLATE(A2252, ""en"", ""hi"")"),"आनंद ग्रीन कटहल कटा हुआ")</f>
        <v>आनंद ग्रीन कटहल कटा हुआ</v>
      </c>
      <c r="D2252" s="5"/>
      <c r="E2252" s="2" t="s">
        <v>7005</v>
      </c>
      <c r="F2252" s="1">
        <v>4.0</v>
      </c>
      <c r="G2252" s="3" t="s">
        <v>7941</v>
      </c>
    </row>
    <row r="2253">
      <c r="A2253" s="3" t="s">
        <v>7962</v>
      </c>
      <c r="B2253" s="4" t="str">
        <f>IFERROR(__xludf.DUMMYFUNCTION("GOOGLETRANSLATE(A2253, ""en"", ""te"")"),"ఆనంద్ సాంబార్ మిక్స్")</f>
        <v>ఆనంద్ సాంబార్ మిక్స్</v>
      </c>
      <c r="C2253" s="4" t="str">
        <f>IFERROR(__xludf.DUMMYFUNCTION("GOOGLETRANSLATE(A2253, ""en"", ""hi"")"),"आनंद सांभर मिक्स")</f>
        <v>आनंद सांभर मिक्स</v>
      </c>
      <c r="D2253" s="2" t="s">
        <v>2520</v>
      </c>
      <c r="E2253" s="2" t="s">
        <v>442</v>
      </c>
      <c r="F2253" s="1">
        <v>4.0</v>
      </c>
      <c r="G2253" s="3" t="s">
        <v>7941</v>
      </c>
    </row>
    <row r="2254">
      <c r="A2254" s="3" t="s">
        <v>7963</v>
      </c>
      <c r="B2254" s="4" t="str">
        <f>IFERROR(__xludf.DUMMYFUNCTION("GOOGLETRANSLATE(A2254, ""en"", ""te"")"),"శ్వేత చింత చి")</f>
        <v>శ్వేత చింత చి</v>
      </c>
      <c r="C2254" s="4" t="str">
        <f>IFERROR(__xludf.DUMMYFUNCTION("GOOGLETRANSLATE(A2254, ""en"", ""hi"")"),"श्वेता चिंथा ची")</f>
        <v>श्वेता चिंथा ची</v>
      </c>
      <c r="D2254" s="5"/>
      <c r="E2254" s="2" t="s">
        <v>2700</v>
      </c>
      <c r="F2254" s="1">
        <v>4.0</v>
      </c>
      <c r="G2254" s="3" t="s">
        <v>7941</v>
      </c>
    </row>
    <row r="2255">
      <c r="A2255" s="3" t="s">
        <v>7964</v>
      </c>
      <c r="B2255" s="4" t="str">
        <f>IFERROR(__xludf.DUMMYFUNCTION("GOOGLETRANSLATE(A2255, ""en"", ""te"")"),"శ్వేత మునగాకు")</f>
        <v>శ్వేత మునగాకు</v>
      </c>
      <c r="C2255" s="4" t="str">
        <f>IFERROR(__xludf.DUMMYFUNCTION("GOOGLETRANSLATE(A2255, ""en"", ""hi"")"),"श्वेता मोरिंगा के पत्ते")</f>
        <v>श्वेता मोरिंगा के पत्ते</v>
      </c>
      <c r="D2255" s="5"/>
      <c r="E2255" s="2" t="s">
        <v>1038</v>
      </c>
      <c r="F2255" s="1">
        <v>4.0</v>
      </c>
      <c r="G2255" s="3" t="s">
        <v>7941</v>
      </c>
    </row>
    <row r="2256">
      <c r="A2256" s="3" t="s">
        <v>7965</v>
      </c>
      <c r="B2256" s="4" t="str">
        <f>IFERROR(__xludf.DUMMYFUNCTION("GOOGLETRANSLATE(A2256, ""en"", ""te"")"),"శ్వేత పొన్న గంటి")</f>
        <v>శ్వేత పొన్న గంటి</v>
      </c>
      <c r="C2256" s="4" t="str">
        <f>IFERROR(__xludf.DUMMYFUNCTION("GOOGLETRANSLATE(A2256, ""en"", ""hi"")"),"श्वेता पोन्ना गंटी")</f>
        <v>श्वेता पोन्ना गंटी</v>
      </c>
      <c r="D2256" s="5"/>
      <c r="E2256" s="2" t="s">
        <v>442</v>
      </c>
      <c r="F2256" s="1">
        <v>4.0</v>
      </c>
      <c r="G2256" s="3" t="s">
        <v>7941</v>
      </c>
    </row>
    <row r="2257">
      <c r="A2257" s="3" t="s">
        <v>7966</v>
      </c>
      <c r="B2257" s="4" t="str">
        <f>IFERROR(__xludf.DUMMYFUNCTION("GOOGLETRANSLATE(A2257, ""en"", ""te"")"),"లక్ష్మి మిక్స్డ్ వెజిటబుల్స్")</f>
        <v>లక్ష్మి మిక్స్డ్ వెజిటబుల్స్</v>
      </c>
      <c r="C2257" s="4" t="str">
        <f>IFERROR(__xludf.DUMMYFUNCTION("GOOGLETRANSLATE(A2257, ""en"", ""hi"")"),"लक्ष्मी मिक्स्ड वेजिटेबल्स")</f>
        <v>लक्ष्मी मिक्स्ड वेजिटेबल्स</v>
      </c>
      <c r="D2257" s="5"/>
      <c r="E2257" s="2" t="s">
        <v>351</v>
      </c>
      <c r="F2257" s="1">
        <v>4.0</v>
      </c>
      <c r="G2257" s="3" t="s">
        <v>7941</v>
      </c>
    </row>
    <row r="2258">
      <c r="A2258" s="3" t="s">
        <v>7967</v>
      </c>
      <c r="B2258" s="4" t="str">
        <f>IFERROR(__xludf.DUMMYFUNCTION("GOOGLETRANSLATE(A2258, ""en"", ""te"")"),"శ్వేత భిండి కోతలు")</f>
        <v>శ్వేత భిండి కోతలు</v>
      </c>
      <c r="C2258" s="4" t="str">
        <f>IFERROR(__xludf.DUMMYFUNCTION("GOOGLETRANSLATE(A2258, ""en"", ""hi"")"),"श्वेता भिंडी कट्स")</f>
        <v>श्वेता भिंडी कट्स</v>
      </c>
      <c r="D2258" s="2" t="s">
        <v>4932</v>
      </c>
      <c r="E2258" s="2" t="s">
        <v>1294</v>
      </c>
      <c r="F2258" s="1">
        <v>4.0</v>
      </c>
      <c r="G2258" s="3" t="s">
        <v>7941</v>
      </c>
    </row>
    <row r="2259">
      <c r="A2259" s="3" t="s">
        <v>7968</v>
      </c>
      <c r="B2259" s="4" t="str">
        <f>IFERROR(__xludf.DUMMYFUNCTION("GOOGLETRANSLATE(A2259, ""en"", ""te"")"),"వాదిలాల్ భిండి కోతలు")</f>
        <v>వాదిలాల్ భిండి కోతలు</v>
      </c>
      <c r="C2259" s="4" t="str">
        <f>IFERROR(__xludf.DUMMYFUNCTION("GOOGLETRANSLATE(A2259, ""en"", ""hi"")"),"वडीलाल भिंडी कट्स")</f>
        <v>वडीलाल भिंडी कट्स</v>
      </c>
      <c r="D2259" s="2" t="s">
        <v>4932</v>
      </c>
      <c r="E2259" s="2" t="s">
        <v>1294</v>
      </c>
      <c r="F2259" s="1">
        <v>4.0</v>
      </c>
      <c r="G2259" s="3" t="s">
        <v>7941</v>
      </c>
    </row>
    <row r="2260">
      <c r="A2260" s="3" t="s">
        <v>7966</v>
      </c>
      <c r="B2260" s="4" t="str">
        <f>IFERROR(__xludf.DUMMYFUNCTION("GOOGLETRANSLATE(A2260, ""en"", ""te"")"),"లక్ష్మి మిక్స్డ్ వెజిటబుల్స్")</f>
        <v>లక్ష్మి మిక్స్డ్ వెజిటబుల్స్</v>
      </c>
      <c r="C2260" s="4" t="str">
        <f>IFERROR(__xludf.DUMMYFUNCTION("GOOGLETRANSLATE(A2260, ""en"", ""hi"")"),"लक्ष्मी मिक्स्ड वेजिटेबल्स")</f>
        <v>लक्ष्मी मिक्स्ड वेजिटेबल्स</v>
      </c>
      <c r="D2260" s="5"/>
      <c r="E2260" s="2" t="s">
        <v>351</v>
      </c>
      <c r="F2260" s="1">
        <v>4.0</v>
      </c>
      <c r="G2260" s="3" t="s">
        <v>7969</v>
      </c>
    </row>
    <row r="2261">
      <c r="A2261" s="3" t="s">
        <v>7945</v>
      </c>
      <c r="B2261" s="4" t="str">
        <f>IFERROR(__xludf.DUMMYFUNCTION("GOOGLETRANSLATE(A2261, ""en"", ""te"")"),"లక్ష్మి టిండోరా")</f>
        <v>లక్ష్మి టిండోరా</v>
      </c>
      <c r="C2261" s="4" t="str">
        <f>IFERROR(__xludf.DUMMYFUNCTION("GOOGLETRANSLATE(A2261, ""en"", ""hi"")"),"लक्ष्मी टिंडोरा")</f>
        <v>लक्ष्मी टिंडोरा</v>
      </c>
      <c r="D2261" s="2" t="s">
        <v>7946</v>
      </c>
      <c r="E2261" s="2" t="s">
        <v>7005</v>
      </c>
      <c r="F2261" s="1">
        <v>4.0</v>
      </c>
      <c r="G2261" s="3" t="s">
        <v>7969</v>
      </c>
    </row>
    <row r="2262">
      <c r="A2262" s="3" t="s">
        <v>7970</v>
      </c>
      <c r="B2262" s="4" t="str">
        <f>IFERROR(__xludf.DUMMYFUNCTION("GOOGLETRANSLATE(A2262, ""en"", ""te"")"),"లక్ష్మి వాల్ లిల్వా")</f>
        <v>లక్ష్మి వాల్ లిల్వా</v>
      </c>
      <c r="C2262" s="4" t="str">
        <f>IFERROR(__xludf.DUMMYFUNCTION("GOOGLETRANSLATE(A2262, ""en"", ""hi"")"),"लक्ष्मी वाल लिल्वा")</f>
        <v>लक्ष्मी वाल लिल्वा</v>
      </c>
      <c r="D2262" s="5"/>
      <c r="E2262" s="2" t="s">
        <v>1038</v>
      </c>
      <c r="F2262" s="1">
        <v>4.0</v>
      </c>
      <c r="G2262" s="3" t="s">
        <v>7971</v>
      </c>
    </row>
    <row r="2263">
      <c r="A2263" s="3" t="s">
        <v>7972</v>
      </c>
      <c r="B2263" s="4" t="str">
        <f>IFERROR(__xludf.DUMMYFUNCTION("GOOGLETRANSLATE(A2263, ""en"", ""te"")"),"వాదిలాల్ చిమ్మట")</f>
        <v>వాదిలాల్ చిమ్మట</v>
      </c>
      <c r="C2263" s="4" t="str">
        <f>IFERROR(__xludf.DUMMYFUNCTION("GOOGLETRANSLATE(A2263, ""en"", ""hi"")"),"वडीलाल मोठ")</f>
        <v>वडीलाल मोठ</v>
      </c>
      <c r="D2263" s="5"/>
      <c r="E2263" s="2" t="s">
        <v>1038</v>
      </c>
      <c r="F2263" s="1">
        <v>4.0</v>
      </c>
      <c r="G2263" s="3" t="s">
        <v>7969</v>
      </c>
    </row>
    <row r="2264">
      <c r="A2264" s="3" t="s">
        <v>7973</v>
      </c>
      <c r="B2264" s="4" t="str">
        <f>IFERROR(__xludf.DUMMYFUNCTION("GOOGLETRANSLATE(A2264, ""en"", ""te"")"),"వాదిలాల్ పాలక్")</f>
        <v>వాదిలాల్ పాలక్</v>
      </c>
      <c r="C2264" s="4" t="str">
        <f>IFERROR(__xludf.DUMMYFUNCTION("GOOGLETRANSLATE(A2264, ""en"", ""hi"")"),"वडीलाल पालक")</f>
        <v>वडीलाल पालक</v>
      </c>
      <c r="D2264" s="5"/>
      <c r="E2264" s="2" t="s">
        <v>940</v>
      </c>
      <c r="F2264" s="1">
        <v>4.0</v>
      </c>
      <c r="G2264" s="3" t="s">
        <v>7969</v>
      </c>
    </row>
    <row r="2265">
      <c r="A2265" s="3" t="s">
        <v>7974</v>
      </c>
      <c r="B2265" s="4" t="str">
        <f>IFERROR(__xludf.DUMMYFUNCTION("GOOGLETRANSLATE(A2265, ""en"", ""te"")"),"శ్వేత టెండర్ జాక్")</f>
        <v>శ్వేత టెండర్ జాక్</v>
      </c>
      <c r="C2265" s="4" t="str">
        <f>IFERROR(__xludf.DUMMYFUNCTION("GOOGLETRANSLATE(A2265, ""en"", ""hi"")"),"श्वेता टेंडर जैक")</f>
        <v>श्वेता टेंडर जैक</v>
      </c>
      <c r="D2265" s="5"/>
      <c r="E2265" s="2" t="s">
        <v>9</v>
      </c>
      <c r="F2265" s="1">
        <v>4.0</v>
      </c>
      <c r="G2265" s="3" t="s">
        <v>7969</v>
      </c>
    </row>
    <row r="2266">
      <c r="A2266" s="3" t="s">
        <v>7975</v>
      </c>
      <c r="B2266" s="4" t="str">
        <f>IFERROR(__xludf.DUMMYFUNCTION("GOOGLETRANSLATE(A2266, ""en"", ""te"")"),"శ్వేత తాటి ముంజెల్")</f>
        <v>శ్వేత తాటి ముంజెల్</v>
      </c>
      <c r="C2266" s="4" t="str">
        <f>IFERROR(__xludf.DUMMYFUNCTION("GOOGLETRANSLATE(A2266, ""en"", ""hi"")"),"श्वेता थाटी मुंजेल")</f>
        <v>श्वेता थाटी मुंजेल</v>
      </c>
      <c r="D2266" s="2" t="s">
        <v>3435</v>
      </c>
      <c r="E2266" s="2" t="s">
        <v>1038</v>
      </c>
      <c r="F2266" s="1">
        <v>4.0</v>
      </c>
      <c r="G2266" s="3" t="s">
        <v>7969</v>
      </c>
    </row>
    <row r="2267">
      <c r="A2267" s="3" t="s">
        <v>7976</v>
      </c>
      <c r="B2267" s="4" t="str">
        <f>IFERROR(__xludf.DUMMYFUNCTION("GOOGLETRANSLATE(A2267, ""en"", ""te"")"),"శ్వేత చింత చిగురు")</f>
        <v>శ్వేత చింత చిగురు</v>
      </c>
      <c r="C2267" s="4" t="str">
        <f>IFERROR(__xludf.DUMMYFUNCTION("GOOGLETRANSLATE(A2267, ""en"", ""hi"")"),"श्वेता चिंथा चिगुरु")</f>
        <v>श्वेता चिंथा चिगुरु</v>
      </c>
      <c r="D2267" s="2" t="s">
        <v>7847</v>
      </c>
      <c r="E2267" s="2" t="s">
        <v>2700</v>
      </c>
      <c r="F2267" s="1">
        <v>4.0</v>
      </c>
      <c r="G2267" s="3" t="s">
        <v>7969</v>
      </c>
    </row>
    <row r="2268">
      <c r="A2268" s="3" t="s">
        <v>7977</v>
      </c>
      <c r="B2268" s="4" t="str">
        <f>IFERROR(__xludf.DUMMYFUNCTION("GOOGLETRANSLATE(A2268, ""en"", ""te"")"),"శ్వేత చుక్క కురా")</f>
        <v>శ్వేత చుక్క కురా</v>
      </c>
      <c r="C2268" s="4" t="str">
        <f>IFERROR(__xludf.DUMMYFUNCTION("GOOGLETRANSLATE(A2268, ""en"", ""hi"")"),"श्वेता चुक्का कुरा")</f>
        <v>श्वेता चुक्का कुरा</v>
      </c>
      <c r="D2268" s="2" t="s">
        <v>3379</v>
      </c>
      <c r="E2268" s="2" t="s">
        <v>1038</v>
      </c>
      <c r="F2268" s="1">
        <v>4.0</v>
      </c>
      <c r="G2268" s="3" t="s">
        <v>7969</v>
      </c>
    </row>
    <row r="2269">
      <c r="A2269" s="3" t="s">
        <v>7964</v>
      </c>
      <c r="B2269" s="4" t="str">
        <f>IFERROR(__xludf.DUMMYFUNCTION("GOOGLETRANSLATE(A2269, ""en"", ""te"")"),"శ్వేత మునగాకు")</f>
        <v>శ్వేత మునగాకు</v>
      </c>
      <c r="C2269" s="4" t="str">
        <f>IFERROR(__xludf.DUMMYFUNCTION("GOOGLETRANSLATE(A2269, ""en"", ""hi"")"),"श्वेता मोरिंगा के पत्ते")</f>
        <v>श्वेता मोरिंगा के पत्ते</v>
      </c>
      <c r="D2269" s="5"/>
      <c r="E2269" s="2" t="s">
        <v>1038</v>
      </c>
      <c r="F2269" s="1">
        <v>4.0</v>
      </c>
      <c r="G2269" s="3" t="s">
        <v>7969</v>
      </c>
    </row>
    <row r="2270">
      <c r="A2270" s="3" t="s">
        <v>7978</v>
      </c>
      <c r="B2270" s="4" t="str">
        <f>IFERROR(__xludf.DUMMYFUNCTION("GOOGLETRANSLATE(A2270, ""en"", ""te"")"),"శ్వేత అన్నగంటి కుర")</f>
        <v>శ్వేత అన్నగంటి కుర</v>
      </c>
      <c r="C2270" s="4" t="str">
        <f>IFERROR(__xludf.DUMMYFUNCTION("GOOGLETRANSLATE(A2270, ""en"", ""hi"")"),"श्वेता अन्नागंती कुरा")</f>
        <v>श्वेता अन्नागंती कुरा</v>
      </c>
      <c r="D2270" s="2" t="s">
        <v>7979</v>
      </c>
      <c r="E2270" s="2" t="s">
        <v>2369</v>
      </c>
      <c r="F2270" s="1">
        <v>4.0</v>
      </c>
      <c r="G2270" s="3" t="s">
        <v>7969</v>
      </c>
    </row>
    <row r="2271">
      <c r="A2271" s="3" t="s">
        <v>7980</v>
      </c>
      <c r="B2271" s="4" t="str">
        <f>IFERROR(__xludf.DUMMYFUNCTION("GOOGLETRANSLATE(A2271, ""en"", ""te"")"),"శ్వేత పచ్చి మామిడి ముక్కలు")</f>
        <v>శ్వేత పచ్చి మామిడి ముక్కలు</v>
      </c>
      <c r="C2271" s="4" t="str">
        <f>IFERROR(__xludf.DUMMYFUNCTION("GOOGLETRANSLATE(A2271, ""en"", ""hi"")"),"श्वेता कच्चे आम के टुकड़े")</f>
        <v>श्वेता कच्चे आम के टुकड़े</v>
      </c>
      <c r="D2271" s="2" t="s">
        <v>7004</v>
      </c>
      <c r="E2271" s="2" t="s">
        <v>2700</v>
      </c>
      <c r="F2271" s="1">
        <v>4.0</v>
      </c>
      <c r="G2271" s="3" t="s">
        <v>7969</v>
      </c>
    </row>
    <row r="2272">
      <c r="A2272" s="3" t="s">
        <v>7981</v>
      </c>
      <c r="B2272" s="4" t="str">
        <f>IFERROR(__xludf.DUMMYFUNCTION("GOOGLETRANSLATE(A2272, ""en"", ""te"")"),"లక్ష్మి భిండి")</f>
        <v>లక్ష్మి భిండి</v>
      </c>
      <c r="C2272" s="4" t="str">
        <f>IFERROR(__xludf.DUMMYFUNCTION("GOOGLETRANSLATE(A2272, ""en"", ""hi"")"),"लक्ष्मी भिंडी")</f>
        <v>लक्ष्मी भिंडी</v>
      </c>
      <c r="D2272" s="5"/>
      <c r="E2272" s="2" t="s">
        <v>351</v>
      </c>
      <c r="F2272" s="1">
        <v>4.0</v>
      </c>
      <c r="G2272" s="3" t="s">
        <v>7969</v>
      </c>
    </row>
    <row r="2273">
      <c r="A2273" s="3" t="s">
        <v>7968</v>
      </c>
      <c r="B2273" s="4" t="str">
        <f>IFERROR(__xludf.DUMMYFUNCTION("GOOGLETRANSLATE(A2273, ""en"", ""te"")"),"వాదిలాల్ భిండి కోతలు")</f>
        <v>వాదిలాల్ భిండి కోతలు</v>
      </c>
      <c r="C2273" s="4" t="str">
        <f>IFERROR(__xludf.DUMMYFUNCTION("GOOGLETRANSLATE(A2273, ""en"", ""hi"")"),"वडीलाल भिंडी कट्स")</f>
        <v>वडीलाल भिंडी कट्स</v>
      </c>
      <c r="D2273" s="2" t="s">
        <v>4932</v>
      </c>
      <c r="E2273" s="2" t="s">
        <v>1294</v>
      </c>
      <c r="F2273" s="1">
        <v>4.0</v>
      </c>
      <c r="G2273" s="3" t="s">
        <v>7969</v>
      </c>
    </row>
    <row r="2274">
      <c r="A2274" s="3" t="s">
        <v>7950</v>
      </c>
      <c r="B2274" s="4" t="str">
        <f>IFERROR(__xludf.DUMMYFUNCTION("GOOGLETRANSLATE(A2274, ""en"", ""te"")"),"వడిలాల్ గ్రీన్ పీస్")</f>
        <v>వడిలాల్ గ్రీన్ పీస్</v>
      </c>
      <c r="C2274" s="4" t="str">
        <f>IFERROR(__xludf.DUMMYFUNCTION("GOOGLETRANSLATE(A2274, ""en"", ""hi"")"),"वडीलाल हरी मटर")</f>
        <v>वडीलाल हरी मटर</v>
      </c>
      <c r="D2274" s="5"/>
      <c r="E2274" s="2" t="s">
        <v>351</v>
      </c>
      <c r="F2274" s="1">
        <v>4.0</v>
      </c>
      <c r="G2274" s="3" t="s">
        <v>7969</v>
      </c>
    </row>
    <row r="2275">
      <c r="A2275" s="3" t="s">
        <v>7982</v>
      </c>
      <c r="B2275" s="4" t="str">
        <f>IFERROR(__xludf.DUMMYFUNCTION("GOOGLETRANSLATE(A2275, ""en"", ""te"")"),"వాదిలాల్ టిండోరా")</f>
        <v>వాదిలాల్ టిండోరా</v>
      </c>
      <c r="C2275" s="4" t="str">
        <f>IFERROR(__xludf.DUMMYFUNCTION("GOOGLETRANSLATE(A2275, ""en"", ""hi"")"),"वडीलाल टिंडोरा")</f>
        <v>वडीलाल टिंडोरा</v>
      </c>
      <c r="D2275" s="2" t="s">
        <v>7946</v>
      </c>
      <c r="E2275" s="2" t="s">
        <v>351</v>
      </c>
      <c r="F2275" s="1">
        <v>4.0</v>
      </c>
      <c r="G2275" s="3" t="s">
        <v>7969</v>
      </c>
    </row>
    <row r="2276">
      <c r="A2276" s="3" t="s">
        <v>7983</v>
      </c>
      <c r="B2276" s="4" t="str">
        <f>IFERROR(__xludf.DUMMYFUNCTION("GOOGLETRANSLATE(A2276, ""en"", ""te"")"),"లక్ష్మి కొబ్బరి")</f>
        <v>లక్ష్మి కొబ్బరి</v>
      </c>
      <c r="C2276" s="4" t="str">
        <f>IFERROR(__xludf.DUMMYFUNCTION("GOOGLETRANSLATE(A2276, ""en"", ""hi"")"),"लक्ष्मी नारियल")</f>
        <v>लक्ष्मी नारियल</v>
      </c>
      <c r="D2276" s="2" t="s">
        <v>53</v>
      </c>
      <c r="E2276" s="2" t="s">
        <v>2700</v>
      </c>
      <c r="F2276" s="1">
        <v>4.0</v>
      </c>
      <c r="G2276" s="3" t="s">
        <v>7969</v>
      </c>
    </row>
    <row r="2277">
      <c r="A2277" s="3" t="s">
        <v>7984</v>
      </c>
      <c r="B2277" s="4" t="str">
        <f>IFERROR(__xludf.DUMMYFUNCTION("GOOGLETRANSLATE(A2277, ""en"", ""te"")"),"మినిట్ ఖానా వ్రాప్")</f>
        <v>మినిట్ ఖానా వ్రాప్</v>
      </c>
      <c r="C2277" s="4" t="str">
        <f>IFERROR(__xludf.DUMMYFUNCTION("GOOGLETRANSLATE(A2277, ""en"", ""hi"")"),"मिनट खाना रैप")</f>
        <v>मिनट खाना रैप</v>
      </c>
      <c r="D2277" s="5"/>
      <c r="E2277" s="2" t="s">
        <v>1294</v>
      </c>
      <c r="F2277" s="1">
        <v>4.0</v>
      </c>
      <c r="G2277" s="3" t="s">
        <v>7969</v>
      </c>
    </row>
    <row r="2278">
      <c r="A2278" s="3" t="s">
        <v>7985</v>
      </c>
      <c r="B2278" s="4" t="str">
        <f>IFERROR(__xludf.DUMMYFUNCTION("GOOGLETRANSLATE(A2278, ""en"", ""te"")"),"మినిట్ ఖానా క్లాసిక్ మిక్స్ వెజ్ వ్రాప్")</f>
        <v>మినిట్ ఖానా క్లాసిక్ మిక్స్ వెజ్ వ్రాప్</v>
      </c>
      <c r="C2278" s="4" t="str">
        <f>IFERROR(__xludf.DUMMYFUNCTION("GOOGLETRANSLATE(A2278, ""en"", ""hi"")"),"मिनट खाना क्लासिक मिक्स वेज रैप")</f>
        <v>मिनट खाना क्लासिक मिक्स वेज रैप</v>
      </c>
      <c r="D2278" s="2" t="s">
        <v>6469</v>
      </c>
      <c r="E2278" s="2" t="s">
        <v>940</v>
      </c>
      <c r="F2278" s="1">
        <v>4.0</v>
      </c>
      <c r="G2278" s="3" t="s">
        <v>7969</v>
      </c>
    </row>
    <row r="2279">
      <c r="A2279" s="3" t="s">
        <v>7986</v>
      </c>
      <c r="B2279" s="4" t="str">
        <f>IFERROR(__xludf.DUMMYFUNCTION("GOOGLETRANSLATE(A2279, ""en"", ""te"")"),"మినిట్ ఖానా షమీ కబాబ్ వ్రాప్")</f>
        <v>మినిట్ ఖానా షమీ కబాబ్ వ్రాప్</v>
      </c>
      <c r="C2279" s="4" t="str">
        <f>IFERROR(__xludf.DUMMYFUNCTION("GOOGLETRANSLATE(A2279, ""en"", ""hi"")"),"मिनट खाना शमी कबाब रैप")</f>
        <v>मिनट खाना शमी कबाब रैप</v>
      </c>
      <c r="D2279" s="5"/>
      <c r="E2279" s="2" t="s">
        <v>940</v>
      </c>
      <c r="F2279" s="1">
        <v>4.0</v>
      </c>
      <c r="G2279" s="3" t="s">
        <v>7969</v>
      </c>
    </row>
    <row r="2280">
      <c r="A2280" s="3" t="s">
        <v>7987</v>
      </c>
      <c r="B2280" s="4" t="str">
        <f>IFERROR(__xludf.DUMMYFUNCTION("GOOGLETRANSLATE(A2280, ""en"", ""te"")"),"లక్ష్మి తురిమిన కొబ్బరి")</f>
        <v>లక్ష్మి తురిమిన కొబ్బరి</v>
      </c>
      <c r="C2280" s="4" t="str">
        <f>IFERROR(__xludf.DUMMYFUNCTION("GOOGLETRANSLATE(A2280, ""en"", ""hi"")"),"लक्ष्मी कसा हुआ नारियल")</f>
        <v>लक्ष्मी कसा हुआ नारियल</v>
      </c>
      <c r="D2280" s="2" t="s">
        <v>53</v>
      </c>
      <c r="E2280" s="2" t="s">
        <v>2700</v>
      </c>
      <c r="F2280" s="1">
        <v>4.0</v>
      </c>
      <c r="G2280" s="3" t="s">
        <v>7969</v>
      </c>
    </row>
    <row r="2281">
      <c r="A2281" s="3" t="s">
        <v>7970</v>
      </c>
      <c r="B2281" s="4" t="str">
        <f>IFERROR(__xludf.DUMMYFUNCTION("GOOGLETRANSLATE(A2281, ""en"", ""te"")"),"లక్ష్మి వాల్ లిల్వా")</f>
        <v>లక్ష్మి వాల్ లిల్వా</v>
      </c>
      <c r="C2281" s="4" t="str">
        <f>IFERROR(__xludf.DUMMYFUNCTION("GOOGLETRANSLATE(A2281, ""en"", ""hi"")"),"लक्ष्मी वाल लिल्वा")</f>
        <v>लक्ष्मी वाल लिल्वा</v>
      </c>
      <c r="D2281" s="5"/>
      <c r="E2281" s="2" t="s">
        <v>1038</v>
      </c>
      <c r="F2281" s="1">
        <v>4.0</v>
      </c>
      <c r="G2281" s="3" t="s">
        <v>7969</v>
      </c>
    </row>
    <row r="2282">
      <c r="A2282" s="3" t="s">
        <v>7988</v>
      </c>
      <c r="B2282" s="4" t="str">
        <f>IFERROR(__xludf.DUMMYFUNCTION("GOOGLETRANSLATE(A2282, ""en"", ""te"")"),"హల్దీరామ్ యొక్క గువార్ కట్")</f>
        <v>హల్దీరామ్ యొక్క గువార్ కట్</v>
      </c>
      <c r="C2282" s="4" t="str">
        <f>IFERROR(__xludf.DUMMYFUNCTION("GOOGLETRANSLATE(A2282, ""en"", ""hi"")"),"हल्दिराम का गुवार कट")</f>
        <v>हल्दिराम का गुवार कट</v>
      </c>
      <c r="D2282" s="5"/>
      <c r="E2282" s="2" t="s">
        <v>1294</v>
      </c>
      <c r="F2282" s="1">
        <v>4.0</v>
      </c>
      <c r="G2282" s="3" t="s">
        <v>7969</v>
      </c>
    </row>
    <row r="2283">
      <c r="A2283" s="3" t="s">
        <v>7989</v>
      </c>
      <c r="B2283" s="4" t="str">
        <f>IFERROR(__xludf.DUMMYFUNCTION("GOOGLETRANSLATE(A2283, ""en"", ""te"")"),"హల్దీరామ్ యొక్క సరగ్వా")</f>
        <v>హల్దీరామ్ యొక్క సరగ్వా</v>
      </c>
      <c r="C2283" s="4" t="str">
        <f>IFERROR(__xludf.DUMMYFUNCTION("GOOGLETRANSLATE(A2283, ""en"", ""hi"")"),"हल्दीराम का सरगवा")</f>
        <v>हल्दीराम का सरगवा</v>
      </c>
      <c r="D2283" s="5"/>
      <c r="E2283" s="2" t="s">
        <v>3438</v>
      </c>
      <c r="F2283" s="1">
        <v>4.0</v>
      </c>
      <c r="G2283" s="3" t="s">
        <v>7969</v>
      </c>
    </row>
    <row r="2284">
      <c r="A2284" s="3" t="s">
        <v>7990</v>
      </c>
      <c r="B2284" s="4" t="str">
        <f>IFERROR(__xludf.DUMMYFUNCTION("GOOGLETRANSLATE(A2284, ""en"", ""te"")"),"లక్ష్మి వాల్ పాప్డి")</f>
        <v>లక్ష్మి వాల్ పాప్డి</v>
      </c>
      <c r="C2284" s="4" t="str">
        <f>IFERROR(__xludf.DUMMYFUNCTION("GOOGLETRANSLATE(A2284, ""en"", ""hi"")"),"लक्ष्मी वाल पापड़ी")</f>
        <v>लक्ष्मी वाल पापड़ी</v>
      </c>
      <c r="D2284" s="5"/>
      <c r="E2284" s="2" t="s">
        <v>2700</v>
      </c>
      <c r="F2284" s="1">
        <v>4.0</v>
      </c>
      <c r="G2284" s="3" t="s">
        <v>7969</v>
      </c>
    </row>
    <row r="2285">
      <c r="A2285" s="3" t="s">
        <v>341</v>
      </c>
      <c r="B2285" s="4" t="str">
        <f>IFERROR(__xludf.DUMMYFUNCTION("GOOGLETRANSLATE(A2285, ""en"", ""te"")"),"అల్ఫోన్సో మామిడి గుజ్జు")</f>
        <v>అల్ఫోన్సో మామిడి గుజ్జు</v>
      </c>
      <c r="C2285" s="4" t="str">
        <f>IFERROR(__xludf.DUMMYFUNCTION("GOOGLETRANSLATE(A2285, ""en"", ""hi"")"),"अल्फोंसो आम का गूदा")</f>
        <v>अल्फोंसो आम का गूदा</v>
      </c>
      <c r="D2285" s="2" t="s">
        <v>7991</v>
      </c>
      <c r="E2285" s="2" t="s">
        <v>7005</v>
      </c>
      <c r="F2285" s="1">
        <v>4.0</v>
      </c>
      <c r="G2285" s="3" t="s">
        <v>7969</v>
      </c>
    </row>
    <row r="2286">
      <c r="A2286" s="3" t="s">
        <v>7992</v>
      </c>
      <c r="B2286" s="4" t="str">
        <f>IFERROR(__xludf.DUMMYFUNCTION("GOOGLETRANSLATE(A2286, ""en"", ""te"")"),"అల్ఫోన్సో మామిడి ముక్కలు")</f>
        <v>అల్ఫోన్సో మామిడి ముక్కలు</v>
      </c>
      <c r="C2286" s="4" t="str">
        <f>IFERROR(__xludf.DUMMYFUNCTION("GOOGLETRANSLATE(A2286, ""en"", ""hi"")"),"अल्फोंसो आम के टुकड़े")</f>
        <v>अल्फोंसो आम के टुकड़े</v>
      </c>
      <c r="D2286" s="2" t="s">
        <v>7004</v>
      </c>
      <c r="E2286" s="2" t="s">
        <v>7005</v>
      </c>
      <c r="F2286" s="1">
        <v>4.0</v>
      </c>
      <c r="G2286" s="3" t="s">
        <v>7969</v>
      </c>
    </row>
    <row r="2287">
      <c r="A2287" s="3" t="s">
        <v>7993</v>
      </c>
      <c r="B2287" s="4" t="str">
        <f>IFERROR(__xludf.DUMMYFUNCTION("GOOGLETRANSLATE(A2287, ""en"", ""te"")"),"వాదిలాల్ వెజ్ స్ప్రింగ్ రోల్")</f>
        <v>వాదిలాల్ వెజ్ స్ప్రింగ్ రోల్</v>
      </c>
      <c r="C2287" s="4" t="str">
        <f>IFERROR(__xludf.DUMMYFUNCTION("GOOGLETRANSLATE(A2287, ""en"", ""hi"")"),"वडीलाल वेज स्प्रिंग रोल")</f>
        <v>वडीलाल वेज स्प्रिंग रोल</v>
      </c>
      <c r="D2287" s="5"/>
      <c r="E2287" s="2" t="s">
        <v>1294</v>
      </c>
      <c r="F2287" s="1">
        <v>4.0</v>
      </c>
      <c r="G2287" s="3" t="s">
        <v>7969</v>
      </c>
    </row>
    <row r="2288">
      <c r="A2288" s="3" t="s">
        <v>7994</v>
      </c>
      <c r="B2288" s="4" t="str">
        <f>IFERROR(__xludf.DUMMYFUNCTION("GOOGLETRANSLATE(A2288, ""en"", ""te"")"),"డీప్ కటి రోల్ తవా పనీర్")</f>
        <v>డీప్ కటి రోల్ తవా పనీర్</v>
      </c>
      <c r="C2288" s="4" t="str">
        <f>IFERROR(__xludf.DUMMYFUNCTION("GOOGLETRANSLATE(A2288, ""en"", ""hi"")"),"डीप कटी रोल तवा पनीर")</f>
        <v>डीप कटी रोल तवा पनीर</v>
      </c>
      <c r="D2288" s="2" t="s">
        <v>1961</v>
      </c>
      <c r="E2288" s="2" t="s">
        <v>940</v>
      </c>
      <c r="F2288" s="1">
        <v>4.0</v>
      </c>
      <c r="G2288" s="3" t="s">
        <v>7969</v>
      </c>
    </row>
    <row r="2289">
      <c r="A2289" s="3" t="s">
        <v>7995</v>
      </c>
      <c r="B2289" s="4" t="str">
        <f>IFERROR(__xludf.DUMMYFUNCTION("GOOGLETRANSLATE(A2289, ""en"", ""te"")"),"డీప్ కటి రోల్ పనీర్ టిక్కా")</f>
        <v>డీప్ కటి రోల్ పనీర్ టిక్కా</v>
      </c>
      <c r="C2289" s="4" t="str">
        <f>IFERROR(__xludf.DUMMYFUNCTION("GOOGLETRANSLATE(A2289, ""en"", ""hi"")"),"डीप कटी रोल पनीर टिक्का")</f>
        <v>डीप कटी रोल पनीर टिक्का</v>
      </c>
      <c r="D2289" s="2" t="s">
        <v>1961</v>
      </c>
      <c r="E2289" s="2" t="s">
        <v>1294</v>
      </c>
      <c r="F2289" s="1">
        <v>4.0</v>
      </c>
      <c r="G2289" s="3" t="s">
        <v>7969</v>
      </c>
    </row>
    <row r="2290">
      <c r="A2290" s="3" t="s">
        <v>7996</v>
      </c>
      <c r="B2290" s="4" t="str">
        <f>IFERROR(__xludf.DUMMYFUNCTION("GOOGLETRANSLATE(A2290, ""en"", ""te"")"),"నిమిషాల ఖానా ర్యాప్‌లు")</f>
        <v>నిమిషాల ఖానా ర్యాప్‌లు</v>
      </c>
      <c r="C2290" s="4" t="str">
        <f>IFERROR(__xludf.DUMMYFUNCTION("GOOGLETRANSLATE(A2290, ""en"", ""hi"")"),"मिनट खाना रैप्स")</f>
        <v>मिनट खाना रैप्स</v>
      </c>
      <c r="D2290" s="5"/>
      <c r="E2290" s="2" t="s">
        <v>1294</v>
      </c>
      <c r="F2290" s="1">
        <v>4.0</v>
      </c>
      <c r="G2290" s="3" t="s">
        <v>7969</v>
      </c>
    </row>
    <row r="2291">
      <c r="A2291" s="3" t="s">
        <v>7997</v>
      </c>
      <c r="B2291" s="4" t="str">
        <f>IFERROR(__xludf.DUMMYFUNCTION("GOOGLETRANSLATE(A2291, ""en"", ""te"")"),"మినిట్ ఖానా క్లాసిక్ మిక్స్ వెజ్")</f>
        <v>మినిట్ ఖానా క్లాసిక్ మిక్స్ వెజ్</v>
      </c>
      <c r="C2291" s="4" t="str">
        <f>IFERROR(__xludf.DUMMYFUNCTION("GOOGLETRANSLATE(A2291, ""en"", ""hi"")"),"मिनट खाना क्लासिक मिक्स वेज")</f>
        <v>मिनट खाना क्लासिक मिक्स वेज</v>
      </c>
      <c r="D2291" s="5"/>
      <c r="E2291" s="2" t="s">
        <v>940</v>
      </c>
      <c r="F2291" s="1">
        <v>4.0</v>
      </c>
      <c r="G2291" s="3" t="s">
        <v>7969</v>
      </c>
    </row>
    <row r="2292">
      <c r="A2292" s="3" t="s">
        <v>7998</v>
      </c>
      <c r="B2292" s="4" t="str">
        <f>IFERROR(__xludf.DUMMYFUNCTION("GOOGLETRANSLATE(A2292, ""en"", ""te"")"),"మినిట్ ఖానా మసాలా సోయా చాప్")</f>
        <v>మినిట్ ఖానా మసాలా సోయా చాప్</v>
      </c>
      <c r="C2292" s="4" t="str">
        <f>IFERROR(__xludf.DUMMYFUNCTION("GOOGLETRANSLATE(A2292, ""en"", ""hi"")"),"मिनट खाना मसाला सोया चॉप")</f>
        <v>मिनट खाना मसाला सोया चॉप</v>
      </c>
      <c r="D2292" s="5"/>
      <c r="E2292" s="2" t="s">
        <v>351</v>
      </c>
      <c r="F2292" s="1">
        <v>4.0</v>
      </c>
      <c r="G2292" s="3" t="s">
        <v>7969</v>
      </c>
    </row>
    <row r="2293">
      <c r="A2293" s="3" t="s">
        <v>7999</v>
      </c>
      <c r="B2293" s="4" t="str">
        <f>IFERROR(__xludf.DUMMYFUNCTION("GOOGLETRANSLATE(A2293, ""en"", ""te"")"),"మినిట్ ఖానా పనీర్ టిక్కా")</f>
        <v>మినిట్ ఖానా పనీర్ టిక్కా</v>
      </c>
      <c r="C2293" s="4" t="str">
        <f>IFERROR(__xludf.DUMMYFUNCTION("GOOGLETRANSLATE(A2293, ""en"", ""hi"")"),"मिनट खाना पनीर टिक्का")</f>
        <v>मिनट खाना पनीर टिक्का</v>
      </c>
      <c r="D2293" s="5"/>
      <c r="E2293" s="2" t="s">
        <v>351</v>
      </c>
      <c r="F2293" s="1">
        <v>4.0</v>
      </c>
      <c r="G2293" s="3" t="s">
        <v>7969</v>
      </c>
    </row>
    <row r="2294">
      <c r="A2294" s="3" t="s">
        <v>8000</v>
      </c>
      <c r="B2294" s="4" t="str">
        <f>IFERROR(__xludf.DUMMYFUNCTION("GOOGLETRANSLATE(A2294, ""en"", ""te"")"),"మినిట్ ఖానా పంజాబీ చోలే")</f>
        <v>మినిట్ ఖానా పంజాబీ చోలే</v>
      </c>
      <c r="C2294" s="4" t="str">
        <f>IFERROR(__xludf.DUMMYFUNCTION("GOOGLETRANSLATE(A2294, ""en"", ""hi"")"),"मिनट खाना पंजाबी छोले")</f>
        <v>मिनट खाना पंजाबी छोले</v>
      </c>
      <c r="D2294" s="2" t="s">
        <v>3379</v>
      </c>
      <c r="E2294" s="2" t="s">
        <v>1038</v>
      </c>
      <c r="F2294" s="1">
        <v>4.0</v>
      </c>
      <c r="G2294" s="3" t="s">
        <v>7969</v>
      </c>
    </row>
    <row r="2295">
      <c r="A2295" s="3" t="s">
        <v>8001</v>
      </c>
      <c r="B2295" s="4" t="str">
        <f>IFERROR(__xludf.DUMMYFUNCTION("GOOGLETRANSLATE(A2295, ""en"", ""te"")"),"మినిట్ ఖానా షమీ కబాబ్")</f>
        <v>మినిట్ ఖానా షమీ కబాబ్</v>
      </c>
      <c r="C2295" s="4" t="str">
        <f>IFERROR(__xludf.DUMMYFUNCTION("GOOGLETRANSLATE(A2295, ""en"", ""hi"")"),"मिनट खाना शमी कबाब")</f>
        <v>मिनट खाना शमी कबाब</v>
      </c>
      <c r="D2295" s="2" t="s">
        <v>8002</v>
      </c>
      <c r="E2295" s="2" t="s">
        <v>1294</v>
      </c>
      <c r="F2295" s="1">
        <v>4.0</v>
      </c>
      <c r="G2295" s="3" t="s">
        <v>7969</v>
      </c>
    </row>
    <row r="2296">
      <c r="A2296" s="3" t="s">
        <v>8003</v>
      </c>
      <c r="B2296" s="4" t="str">
        <f>IFERROR(__xludf.DUMMYFUNCTION("GOOGLETRANSLATE(A2296, ""en"", ""te"")"),"అశోక చత్పత ఆలూ కతి రోల్")</f>
        <v>అశోక చత్పత ఆలూ కతి రోల్</v>
      </c>
      <c r="C2296" s="4" t="str">
        <f>IFERROR(__xludf.DUMMYFUNCTION("GOOGLETRANSLATE(A2296, ""en"", ""hi"")"),"अशोक चटपटा आलू काठी रोल")</f>
        <v>अशोक चटपटा आलू काठी रोल</v>
      </c>
      <c r="D2296" s="2" t="s">
        <v>7527</v>
      </c>
      <c r="E2296" s="2" t="s">
        <v>1294</v>
      </c>
      <c r="F2296" s="1">
        <v>4.0</v>
      </c>
      <c r="G2296" s="3" t="s">
        <v>7969</v>
      </c>
    </row>
    <row r="2297">
      <c r="A2297" s="3" t="s">
        <v>8004</v>
      </c>
      <c r="B2297" s="4" t="str">
        <f>IFERROR(__xludf.DUMMYFUNCTION("GOOGLETRANSLATE(A2297, ""en"", ""te"")"),"అశోక హాట్ అండ్ సోర్ కతి రోల్")</f>
        <v>అశోక హాట్ అండ్ సోర్ కతి రోల్</v>
      </c>
      <c r="C2297" s="4" t="str">
        <f>IFERROR(__xludf.DUMMYFUNCTION("GOOGLETRANSLATE(A2297, ""en"", ""hi"")"),"अशोका हॉट एंड सॉर काठी रोल")</f>
        <v>अशोका हॉट एंड सॉर काठी रोल</v>
      </c>
      <c r="D2297" s="5"/>
      <c r="E2297" s="2" t="s">
        <v>1294</v>
      </c>
      <c r="F2297" s="1">
        <v>4.0</v>
      </c>
      <c r="G2297" s="3" t="s">
        <v>7969</v>
      </c>
    </row>
    <row r="2298">
      <c r="A2298" s="3" t="s">
        <v>8005</v>
      </c>
      <c r="B2298" s="4" t="str">
        <f>IFERROR(__xludf.DUMMYFUNCTION("GOOGLETRANSLATE(A2298, ""en"", ""te"")"),"వాడిలాల్ పనీర్ టిక్కా జంబో పఫ్")</f>
        <v>వాడిలాల్ పనీర్ టిక్కా జంబో పఫ్</v>
      </c>
      <c r="C2298" s="4" t="str">
        <f>IFERROR(__xludf.DUMMYFUNCTION("GOOGLETRANSLATE(A2298, ""en"", ""hi"")"),"वाडीलाल पनीर टिक्का जंबो पफ")</f>
        <v>वाडीलाल पनीर टिक्का जंबो पफ</v>
      </c>
      <c r="D2298" s="2" t="s">
        <v>8006</v>
      </c>
      <c r="E2298" s="2" t="s">
        <v>1294</v>
      </c>
      <c r="F2298" s="1">
        <v>4.0</v>
      </c>
      <c r="G2298" s="3" t="s">
        <v>7969</v>
      </c>
    </row>
    <row r="2299">
      <c r="A2299" s="3" t="s">
        <v>8007</v>
      </c>
      <c r="B2299" s="4" t="str">
        <f>IFERROR(__xludf.DUMMYFUNCTION("GOOGLETRANSLATE(A2299, ""en"", ""te"")"),"లక్ష్మి కొబ్బరి ముక్కలు")</f>
        <v>లక్ష్మి కొబ్బరి ముక్కలు</v>
      </c>
      <c r="C2299" s="4" t="str">
        <f>IFERROR(__xludf.DUMMYFUNCTION("GOOGLETRANSLATE(A2299, ""en"", ""hi"")"),"लक्ष्मी नारियल के टुकड़े")</f>
        <v>लक्ष्मी नारियल के टुकड़े</v>
      </c>
      <c r="D2299" s="2" t="s">
        <v>53</v>
      </c>
      <c r="E2299" s="2" t="s">
        <v>2700</v>
      </c>
      <c r="F2299" s="1">
        <v>4.0</v>
      </c>
      <c r="G2299" s="3" t="s">
        <v>7969</v>
      </c>
    </row>
    <row r="2300">
      <c r="A2300" s="3" t="s">
        <v>8008</v>
      </c>
      <c r="B2300" s="4" t="str">
        <f>IFERROR(__xludf.DUMMYFUNCTION("GOOGLETRANSLATE(A2300, ""en"", ""te"")"),"లక్ష్మి తురిమిన కొబ్బరి")</f>
        <v>లక్ష్మి తురిమిన కొబ్బరి</v>
      </c>
      <c r="C2300" s="4" t="str">
        <f>IFERROR(__xludf.DUMMYFUNCTION("GOOGLETRANSLATE(A2300, ""en"", ""hi"")"),"लक्ष्मी कसा हुआ नारियल")</f>
        <v>लक्ष्मी कसा हुआ नारियल</v>
      </c>
      <c r="D2300" s="2" t="s">
        <v>53</v>
      </c>
      <c r="E2300" s="2" t="s">
        <v>2700</v>
      </c>
      <c r="F2300" s="1">
        <v>4.0</v>
      </c>
      <c r="G2300" s="3" t="s">
        <v>7969</v>
      </c>
    </row>
    <row r="2301">
      <c r="A2301" s="3" t="s">
        <v>8009</v>
      </c>
      <c r="B2301" s="4" t="str">
        <f>IFERROR(__xludf.DUMMYFUNCTION("GOOGLETRANSLATE(A2301, ""en"", ""te"")"),"డీప్ ప్రీమియం తురిమిన కొబ్బరి")</f>
        <v>డీప్ ప్రీమియం తురిమిన కొబ్బరి</v>
      </c>
      <c r="C2301" s="4" t="str">
        <f>IFERROR(__xludf.DUMMYFUNCTION("GOOGLETRANSLATE(A2301, ""en"", ""hi"")"),"डीप प्रीमियम कटा हुआ नारियल")</f>
        <v>डीप प्रीमियम कटा हुआ नारियल</v>
      </c>
      <c r="D2301" s="2" t="s">
        <v>53</v>
      </c>
      <c r="E2301" s="2" t="s">
        <v>2700</v>
      </c>
      <c r="F2301" s="1">
        <v>4.0</v>
      </c>
      <c r="G2301" s="3" t="s">
        <v>7969</v>
      </c>
    </row>
    <row r="2302">
      <c r="A2302" s="3" t="s">
        <v>8010</v>
      </c>
      <c r="B2302" s="4" t="str">
        <f>IFERROR(__xludf.DUMMYFUNCTION("GOOGLETRANSLATE(A2302, ""en"", ""te"")"),"హిమాలయన్ మలై సోయా చాప్")</f>
        <v>హిమాలయన్ మలై సోయా చాప్</v>
      </c>
      <c r="C2302" s="4" t="str">
        <f>IFERROR(__xludf.DUMMYFUNCTION("GOOGLETRANSLATE(A2302, ""en"", ""hi"")"),"हिमालयन मलाई सोया चाप")</f>
        <v>हिमालयन मलाई सोया चाप</v>
      </c>
      <c r="D2302" s="5"/>
      <c r="E2302" s="2" t="s">
        <v>351</v>
      </c>
      <c r="F2302" s="1">
        <v>4.0</v>
      </c>
      <c r="G2302" s="3" t="s">
        <v>7969</v>
      </c>
    </row>
    <row r="2303">
      <c r="A2303" s="3" t="s">
        <v>8011</v>
      </c>
      <c r="B2303" s="4" t="str">
        <f>IFERROR(__xludf.DUMMYFUNCTION("GOOGLETRANSLATE(A2303, ""en"", ""te"")"),"అశోక మసాలా వెజిటబుల్ బర్గర్ ప్యాటీస్")</f>
        <v>అశోక మసాలా వెజిటబుల్ బర్గర్ ప్యాటీస్</v>
      </c>
      <c r="C2303" s="4" t="str">
        <f>IFERROR(__xludf.DUMMYFUNCTION("GOOGLETRANSLATE(A2303, ""en"", ""hi"")"),"अशोक मसाला सब्जी बर्गर पैटिस")</f>
        <v>अशोक मसाला सब्जी बर्गर पैटिस</v>
      </c>
      <c r="D2303" s="5"/>
      <c r="E2303" s="2" t="s">
        <v>351</v>
      </c>
      <c r="F2303" s="1">
        <v>4.0</v>
      </c>
      <c r="G2303" s="3" t="s">
        <v>7969</v>
      </c>
    </row>
    <row r="2304">
      <c r="A2304" s="3" t="s">
        <v>8012</v>
      </c>
      <c r="B2304" s="4" t="str">
        <f>IFERROR(__xludf.DUMMYFUNCTION("GOOGLETRANSLATE(A2304, ""en"", ""te"")"),"తాజాగా స్తంభింపజేసిన తురిమిన కొబ్బరి")</f>
        <v>తాజాగా స్తంభింపజేసిన తురిమిన కొబ్బరి</v>
      </c>
      <c r="C2304" s="4" t="str">
        <f>IFERROR(__xludf.DUMMYFUNCTION("GOOGLETRANSLATE(A2304, ""en"", ""hi"")"),"ताज़ा जमा हुआ कसा हुआ नारियल")</f>
        <v>ताज़ा जमा हुआ कसा हुआ नारियल</v>
      </c>
      <c r="D2304" s="2" t="s">
        <v>53</v>
      </c>
      <c r="E2304" s="2" t="s">
        <v>2700</v>
      </c>
      <c r="F2304" s="1">
        <v>4.0</v>
      </c>
      <c r="G2304" s="3" t="s">
        <v>7969</v>
      </c>
    </row>
    <row r="2305">
      <c r="A2305" s="3" t="s">
        <v>8013</v>
      </c>
      <c r="B2305" s="4" t="str">
        <f>IFERROR(__xludf.DUMMYFUNCTION("GOOGLETRANSLATE(A2305, ""en"", ""te"")"),"డైలీ డిలైట్ తురిమిన కొబ్బరి")</f>
        <v>డైలీ డిలైట్ తురిమిన కొబ్బరి</v>
      </c>
      <c r="C2305" s="4" t="str">
        <f>IFERROR(__xludf.DUMMYFUNCTION("GOOGLETRANSLATE(A2305, ""en"", ""hi"")"),"डेली डिलाइट कसा हुआ नारियल")</f>
        <v>डेली डिलाइट कसा हुआ नारियल</v>
      </c>
      <c r="D2305" s="2" t="s">
        <v>53</v>
      </c>
      <c r="E2305" s="2" t="s">
        <v>2700</v>
      </c>
      <c r="F2305" s="1">
        <v>4.0</v>
      </c>
      <c r="G2305" s="3" t="s">
        <v>7969</v>
      </c>
    </row>
    <row r="2306">
      <c r="A2306" s="3" t="s">
        <v>8014</v>
      </c>
      <c r="B2306" s="4" t="str">
        <f>IFERROR(__xludf.DUMMYFUNCTION("GOOGLETRANSLATE(A2306, ""en"", ""te"")"),"తెలుగు మిర్చి బజ్జి")</f>
        <v>తెలుగు మిర్చి బజ్జి</v>
      </c>
      <c r="C2306" s="4" t="str">
        <f>IFERROR(__xludf.DUMMYFUNCTION("GOOGLETRANSLATE(A2306, ""en"", ""hi"")"),"तेलुगु मिर्ची बज्जी")</f>
        <v>तेलुगु मिर्ची बज्जी</v>
      </c>
      <c r="D2306" s="5"/>
      <c r="E2306" s="2" t="s">
        <v>1294</v>
      </c>
      <c r="F2306" s="1">
        <v>4.0</v>
      </c>
      <c r="G2306" s="3" t="s">
        <v>8015</v>
      </c>
    </row>
    <row r="2307">
      <c r="A2307" s="3" t="s">
        <v>8016</v>
      </c>
      <c r="B2307" s="4" t="str">
        <f>IFERROR(__xludf.DUMMYFUNCTION("GOOGLETRANSLATE(A2307, ""en"", ""te"")"),"హలీమ్")</f>
        <v>హలీమ్</v>
      </c>
      <c r="C2307" s="4" t="str">
        <f>IFERROR(__xludf.DUMMYFUNCTION("GOOGLETRANSLATE(A2307, ""en"", ""hi"")"),"हलीम")</f>
        <v>हलीम</v>
      </c>
      <c r="D2307" s="2" t="s">
        <v>1379</v>
      </c>
      <c r="E2307" s="2" t="s">
        <v>940</v>
      </c>
      <c r="F2307" s="1">
        <v>4.0</v>
      </c>
      <c r="G2307" s="3" t="s">
        <v>8015</v>
      </c>
    </row>
    <row r="2308">
      <c r="A2308" s="3" t="s">
        <v>8017</v>
      </c>
      <c r="B2308" s="4" t="str">
        <f>IFERROR(__xludf.DUMMYFUNCTION("GOOGLETRANSLATE(A2308, ""en"", ""te"")"),"వడిలాల్ కొబ్బరి చట్నీ")</f>
        <v>వడిలాల్ కొబ్బరి చట్నీ</v>
      </c>
      <c r="C2308" s="4" t="str">
        <f>IFERROR(__xludf.DUMMYFUNCTION("GOOGLETRANSLATE(A2308, ""en"", ""hi"")"),"वडीलाल नारियल चटनी")</f>
        <v>वडीलाल नारियल चटनी</v>
      </c>
      <c r="D2308" s="2" t="s">
        <v>6566</v>
      </c>
      <c r="E2308" s="2" t="s">
        <v>996</v>
      </c>
      <c r="F2308" s="1">
        <v>4.0</v>
      </c>
      <c r="G2308" s="3" t="s">
        <v>8015</v>
      </c>
    </row>
    <row r="2309">
      <c r="A2309" s="3" t="s">
        <v>8018</v>
      </c>
      <c r="B2309" s="4" t="str">
        <f>IFERROR(__xludf.DUMMYFUNCTION("GOOGLETRANSLATE(A2309, ""en"", ""te"")"),"వడిలాల్ పుదీనా చట్నీ")</f>
        <v>వడిలాల్ పుదీనా చట్నీ</v>
      </c>
      <c r="C2309" s="4" t="str">
        <f>IFERROR(__xludf.DUMMYFUNCTION("GOOGLETRANSLATE(A2309, ""en"", ""hi"")"),"वडीलाल पुदीना चटनी")</f>
        <v>वडीलाल पुदीना चटनी</v>
      </c>
      <c r="D2309" s="5"/>
      <c r="E2309" s="2" t="s">
        <v>996</v>
      </c>
      <c r="F2309" s="1">
        <v>4.0</v>
      </c>
      <c r="G2309" s="3" t="s">
        <v>8015</v>
      </c>
    </row>
    <row r="2310">
      <c r="A2310" s="3" t="s">
        <v>8019</v>
      </c>
      <c r="B2310" s="4" t="str">
        <f>IFERROR(__xludf.DUMMYFUNCTION("GOOGLETRANSLATE(A2310, ""en"", ""te"")"),"వడిలాల్ గ్రీన్ కొత్తిమీర చట్నీ")</f>
        <v>వడిలాల్ గ్రీన్ కొత్తిమీర చట్నీ</v>
      </c>
      <c r="C2310" s="4" t="str">
        <f>IFERROR(__xludf.DUMMYFUNCTION("GOOGLETRANSLATE(A2310, ""en"", ""hi"")"),"वाडीलाल हरे धनिये की चटनी")</f>
        <v>वाडीलाल हरे धनिये की चटनी</v>
      </c>
      <c r="D2310" s="2" t="s">
        <v>1609</v>
      </c>
      <c r="E2310" s="2" t="s">
        <v>946</v>
      </c>
      <c r="F2310" s="1">
        <v>4.0</v>
      </c>
      <c r="G2310" s="3" t="s">
        <v>8015</v>
      </c>
    </row>
    <row r="2311">
      <c r="A2311" s="3" t="s">
        <v>8020</v>
      </c>
      <c r="B2311" s="4" t="str">
        <f>IFERROR(__xludf.DUMMYFUNCTION("GOOGLETRANSLATE(A2311, ""en"", ""te"")"),"వడిలాల్ పానీ పూరీ కాన్సంట్రేట్")</f>
        <v>వడిలాల్ పానీ పూరీ కాన్సంట్రేట్</v>
      </c>
      <c r="C2311" s="4" t="str">
        <f>IFERROR(__xludf.DUMMYFUNCTION("GOOGLETRANSLATE(A2311, ""en"", ""hi"")"),"वडीलाल पानी पूरी कॉन्सेंट्रेट")</f>
        <v>वडीलाल पानी पूरी कॉन्सेंट्रेट</v>
      </c>
      <c r="D2311" s="2" t="s">
        <v>8021</v>
      </c>
      <c r="E2311" s="2" t="s">
        <v>996</v>
      </c>
      <c r="F2311" s="1">
        <v>4.0</v>
      </c>
      <c r="G2311" s="3" t="s">
        <v>8015</v>
      </c>
    </row>
    <row r="2312">
      <c r="A2312" s="3" t="s">
        <v>8022</v>
      </c>
      <c r="B2312" s="4" t="str">
        <f>IFERROR(__xludf.DUMMYFUNCTION("GOOGLETRANSLATE(A2312, ""en"", ""te"")"),"వెజ్ స్ప్రింగ్ రోల్")</f>
        <v>వెజ్ స్ప్రింగ్ రోల్</v>
      </c>
      <c r="C2312" s="4" t="str">
        <f>IFERROR(__xludf.DUMMYFUNCTION("GOOGLETRANSLATE(A2312, ""en"", ""hi"")"),"वेज स्प्रिंग रोल")</f>
        <v>वेज स्प्रिंग रोल</v>
      </c>
      <c r="D2312" s="2" t="s">
        <v>8023</v>
      </c>
      <c r="E2312" s="2" t="s">
        <v>1294</v>
      </c>
      <c r="F2312" s="1">
        <v>4.0</v>
      </c>
      <c r="G2312" s="3" t="s">
        <v>8024</v>
      </c>
    </row>
    <row r="2313">
      <c r="A2313" s="3" t="s">
        <v>8025</v>
      </c>
      <c r="B2313" s="4" t="str">
        <f>IFERROR(__xludf.DUMMYFUNCTION("GOOGLETRANSLATE(A2313, ""en"", ""te"")"),"హిమాలయన్ హరియాలి సోయా చాప్")</f>
        <v>హిమాలయన్ హరియాలి సోయా చాప్</v>
      </c>
      <c r="C2313" s="4" t="str">
        <f>IFERROR(__xludf.DUMMYFUNCTION("GOOGLETRANSLATE(A2313, ""en"", ""hi"")"),"हिमालयन हरियाली सोया चाप")</f>
        <v>हिमालयन हरियाली सोया चाप</v>
      </c>
      <c r="D2313" s="2" t="s">
        <v>8026</v>
      </c>
      <c r="E2313" s="2" t="s">
        <v>940</v>
      </c>
      <c r="F2313" s="1">
        <v>4.0</v>
      </c>
      <c r="G2313" s="3" t="s">
        <v>8015</v>
      </c>
    </row>
    <row r="2314">
      <c r="A2314" s="3" t="s">
        <v>8010</v>
      </c>
      <c r="B2314" s="4" t="str">
        <f>IFERROR(__xludf.DUMMYFUNCTION("GOOGLETRANSLATE(A2314, ""en"", ""te"")"),"హిమాలయన్ మలై సోయా చాప్")</f>
        <v>హిమాలయన్ మలై సోయా చాప్</v>
      </c>
      <c r="C2314" s="4" t="str">
        <f>IFERROR(__xludf.DUMMYFUNCTION("GOOGLETRANSLATE(A2314, ""en"", ""hi"")"),"हिमालयन मलाई सोया चाप")</f>
        <v>हिमालयन मलाई सोया चाप</v>
      </c>
      <c r="D2314" s="5"/>
      <c r="E2314" s="2" t="s">
        <v>351</v>
      </c>
      <c r="F2314" s="1">
        <v>4.0</v>
      </c>
      <c r="G2314" s="3" t="s">
        <v>8015</v>
      </c>
    </row>
    <row r="2315">
      <c r="A2315" s="3" t="s">
        <v>8027</v>
      </c>
      <c r="B2315" s="4" t="str">
        <f>IFERROR(__xludf.DUMMYFUNCTION("GOOGLETRANSLATE(A2315, ""en"", ""te"")"),"హిమాలయన్ తందూరి సోయా చాప్")</f>
        <v>హిమాలయన్ తందూరి సోయా చాప్</v>
      </c>
      <c r="C2315" s="4" t="str">
        <f>IFERROR(__xludf.DUMMYFUNCTION("GOOGLETRANSLATE(A2315, ""en"", ""hi"")"),"हिमालयन तंदूरी सोया चाप")</f>
        <v>हिमालयन तंदूरी सोया चाप</v>
      </c>
      <c r="D2315" s="2" t="s">
        <v>8028</v>
      </c>
      <c r="E2315" s="2" t="s">
        <v>940</v>
      </c>
      <c r="F2315" s="1">
        <v>4.0</v>
      </c>
      <c r="G2315" s="3" t="s">
        <v>8015</v>
      </c>
    </row>
    <row r="2316">
      <c r="A2316" s="3" t="s">
        <v>6842</v>
      </c>
      <c r="B2316" s="4" t="str">
        <f>IFERROR(__xludf.DUMMYFUNCTION("GOOGLETRANSLATE(A2316, ""en"", ""te"")"),"డీప్ చట్నీ మింట్")</f>
        <v>డీప్ చట్నీ మింట్</v>
      </c>
      <c r="C2316" s="4" t="str">
        <f>IFERROR(__xludf.DUMMYFUNCTION("GOOGLETRANSLATE(A2316, ""en"", ""hi"")"),"डीप चटनी मिंट")</f>
        <v>डीप चटनी मिंट</v>
      </c>
      <c r="D2316" s="5"/>
      <c r="E2316" s="2" t="s">
        <v>996</v>
      </c>
      <c r="F2316" s="1">
        <v>4.0</v>
      </c>
      <c r="G2316" s="3" t="s">
        <v>8015</v>
      </c>
    </row>
    <row r="2317">
      <c r="A2317" s="3" t="s">
        <v>8029</v>
      </c>
      <c r="B2317" s="4" t="str">
        <f>IFERROR(__xludf.DUMMYFUNCTION("GOOGLETRANSLATE(A2317, ""en"", ""te"")"),"మినిట్ ఖానా క్లాసిక్ మిక్స్")</f>
        <v>మినిట్ ఖానా క్లాసిక్ మిక్స్</v>
      </c>
      <c r="C2317" s="4" t="str">
        <f>IFERROR(__xludf.DUMMYFUNCTION("GOOGLETRANSLATE(A2317, ""en"", ""hi"")"),"मिनट खाना क्लासिक मिक्स")</f>
        <v>मिनट खाना क्लासिक मिक्स</v>
      </c>
      <c r="D2317" s="2" t="s">
        <v>7028</v>
      </c>
      <c r="E2317" s="2" t="s">
        <v>1294</v>
      </c>
      <c r="F2317" s="1">
        <v>4.0</v>
      </c>
      <c r="G2317" s="3" t="s">
        <v>8024</v>
      </c>
    </row>
    <row r="2318">
      <c r="A2318" s="3" t="s">
        <v>7998</v>
      </c>
      <c r="B2318" s="4" t="str">
        <f>IFERROR(__xludf.DUMMYFUNCTION("GOOGLETRANSLATE(A2318, ""en"", ""te"")"),"మినిట్ ఖానా మసాలా సోయా చాప్")</f>
        <v>మినిట్ ఖానా మసాలా సోయా చాప్</v>
      </c>
      <c r="C2318" s="4" t="str">
        <f>IFERROR(__xludf.DUMMYFUNCTION("GOOGLETRANSLATE(A2318, ""en"", ""hi"")"),"मिनट खाना मसाला सोया चॉप")</f>
        <v>मिनट खाना मसाला सोया चॉप</v>
      </c>
      <c r="D2318" s="5"/>
      <c r="E2318" s="2" t="s">
        <v>351</v>
      </c>
      <c r="F2318" s="1">
        <v>4.0</v>
      </c>
      <c r="G2318" s="3" t="s">
        <v>8024</v>
      </c>
    </row>
    <row r="2319">
      <c r="A2319" s="3" t="s">
        <v>8030</v>
      </c>
      <c r="B2319" s="4" t="str">
        <f>IFERROR(__xludf.DUMMYFUNCTION("GOOGLETRANSLATE(A2319, ""en"", ""te"")"),"బికాజీ బర్గర్ ప్యాటీ")</f>
        <v>బికాజీ బర్గర్ ప్యాటీ</v>
      </c>
      <c r="C2319" s="4" t="str">
        <f>IFERROR(__xludf.DUMMYFUNCTION("GOOGLETRANSLATE(A2319, ""en"", ""hi"")"),"बिकाजी बर्गर पैटी")</f>
        <v>बिकाजी बर्गर पैटी</v>
      </c>
      <c r="D2319" s="5"/>
      <c r="E2319" s="2" t="s">
        <v>4100</v>
      </c>
      <c r="F2319" s="1">
        <v>4.0</v>
      </c>
      <c r="G2319" s="3" t="s">
        <v>8015</v>
      </c>
    </row>
    <row r="2320">
      <c r="A2320" s="3" t="s">
        <v>8031</v>
      </c>
      <c r="B2320" s="4" t="str">
        <f>IFERROR(__xludf.DUMMYFUNCTION("GOOGLETRANSLATE(A2320, ""en"", ""te"")"),"అశోక మసాలా వెజిటబుల్ బర్గర్ ప్యాటీలు")</f>
        <v>అశోక మసాలా వెజిటబుల్ బర్గర్ ప్యాటీలు</v>
      </c>
      <c r="C2320" s="4" t="str">
        <f>IFERROR(__xludf.DUMMYFUNCTION("GOOGLETRANSLATE(A2320, ""en"", ""hi"")"),"अशोका मसाला वेजिटेबल बर्गर पैटीज़")</f>
        <v>अशोका मसाला वेजिटेबल बर्गर पैटीज़</v>
      </c>
      <c r="D2320" s="5"/>
      <c r="E2320" s="2" t="s">
        <v>4100</v>
      </c>
      <c r="F2320" s="1">
        <v>4.0</v>
      </c>
      <c r="G2320" s="3" t="s">
        <v>8015</v>
      </c>
    </row>
    <row r="2321">
      <c r="A2321" s="3" t="s">
        <v>8032</v>
      </c>
      <c r="B2321" s="4" t="str">
        <f>IFERROR(__xludf.DUMMYFUNCTION("GOOGLETRANSLATE(A2321, ""en"", ""te"")"),"దీప సాంబార్")</f>
        <v>దీప సాంబార్</v>
      </c>
      <c r="C2321" s="4" t="str">
        <f>IFERROR(__xludf.DUMMYFUNCTION("GOOGLETRANSLATE(A2321, ""en"", ""hi"")"),"दीप सांभर")</f>
        <v>दीप सांभर</v>
      </c>
      <c r="D2321" s="5"/>
      <c r="E2321" s="2" t="s">
        <v>940</v>
      </c>
      <c r="F2321" s="1">
        <v>4.0</v>
      </c>
      <c r="G2321" s="3" t="s">
        <v>8015</v>
      </c>
    </row>
    <row r="2322">
      <c r="A2322" s="3" t="s">
        <v>8033</v>
      </c>
      <c r="B2322" s="4" t="str">
        <f>IFERROR(__xludf.DUMMYFUNCTION("GOOGLETRANSLATE(A2322, ""en"", ""te"")"),"డీప్ వెజ్జీ మసాలా బర్గర్")</f>
        <v>డీప్ వెజ్జీ మసాలా బర్గర్</v>
      </c>
      <c r="C2322" s="4" t="str">
        <f>IFERROR(__xludf.DUMMYFUNCTION("GOOGLETRANSLATE(A2322, ""en"", ""hi"")"),"डीप वेजी मसाला बर्गर")</f>
        <v>डीप वेजी मसाला बर्गर</v>
      </c>
      <c r="D2322" s="5"/>
      <c r="E2322" s="2" t="s">
        <v>4100</v>
      </c>
      <c r="F2322" s="1">
        <v>4.0</v>
      </c>
      <c r="G2322" s="3" t="s">
        <v>8015</v>
      </c>
    </row>
    <row r="2323">
      <c r="A2323" s="3" t="s">
        <v>8034</v>
      </c>
      <c r="B2323" s="4" t="str">
        <f>IFERROR(__xludf.DUMMYFUNCTION("GOOGLETRANSLATE(A2323, ""en"", ""te"")"),"ఆలూ కతి రోల్")</f>
        <v>ఆలూ కతి రోల్</v>
      </c>
      <c r="C2323" s="4" t="str">
        <f>IFERROR(__xludf.DUMMYFUNCTION("GOOGLETRANSLATE(A2323, ""en"", ""hi"")"),"आलू काठी रोल")</f>
        <v>आलू काठी रोल</v>
      </c>
      <c r="D2323" s="2" t="s">
        <v>8035</v>
      </c>
      <c r="E2323" s="2" t="s">
        <v>1294</v>
      </c>
      <c r="F2323" s="1">
        <v>4.0</v>
      </c>
      <c r="G2323" s="3" t="s">
        <v>8024</v>
      </c>
    </row>
    <row r="2324">
      <c r="A2324" s="3" t="s">
        <v>8036</v>
      </c>
      <c r="B2324" s="4" t="str">
        <f>IFERROR(__xludf.DUMMYFUNCTION("GOOGLETRANSLATE(A2324, ""en"", ""te"")"),"పనీర్ కతి రోల్")</f>
        <v>పనీర్ కతి రోల్</v>
      </c>
      <c r="C2324" s="4" t="str">
        <f>IFERROR(__xludf.DUMMYFUNCTION("GOOGLETRANSLATE(A2324, ""en"", ""hi"")"),"पनीर काठी रोल")</f>
        <v>पनीर काठी रोल</v>
      </c>
      <c r="D2324" s="2" t="s">
        <v>1961</v>
      </c>
      <c r="E2324" s="2" t="s">
        <v>1294</v>
      </c>
      <c r="F2324" s="1">
        <v>4.0</v>
      </c>
      <c r="G2324" s="3" t="s">
        <v>8024</v>
      </c>
    </row>
    <row r="2325">
      <c r="A2325" s="3" t="s">
        <v>7987</v>
      </c>
      <c r="B2325" s="4" t="str">
        <f>IFERROR(__xludf.DUMMYFUNCTION("GOOGLETRANSLATE(A2325, ""en"", ""te"")"),"లక్ష్మి తురిమిన కొబ్బరి")</f>
        <v>లక్ష్మి తురిమిన కొబ్బరి</v>
      </c>
      <c r="C2325" s="4" t="str">
        <f>IFERROR(__xludf.DUMMYFUNCTION("GOOGLETRANSLATE(A2325, ""en"", ""hi"")"),"लक्ष्मी कसा हुआ नारियल")</f>
        <v>लक्ष्मी कसा हुआ नारियल</v>
      </c>
      <c r="D2325" s="2" t="s">
        <v>53</v>
      </c>
      <c r="E2325" s="2" t="s">
        <v>2700</v>
      </c>
      <c r="F2325" s="1">
        <v>4.0</v>
      </c>
      <c r="G2325" s="3" t="s">
        <v>8024</v>
      </c>
    </row>
    <row r="2326">
      <c r="A2326" s="3" t="s">
        <v>8037</v>
      </c>
      <c r="B2326" s="4" t="str">
        <f>IFERROR(__xludf.DUMMYFUNCTION("GOOGLETRANSLATE(A2326, ""en"", ""te"")"),"డైలీ డిలైట్ ఫ్రెష్ ఫ్రోజెన్ తురిమిన కొబ్బరి")</f>
        <v>డైలీ డిలైట్ ఫ్రెష్ ఫ్రోజెన్ తురిమిన కొబ్బరి</v>
      </c>
      <c r="C2326" s="4" t="str">
        <f>IFERROR(__xludf.DUMMYFUNCTION("GOOGLETRANSLATE(A2326, ""en"", ""hi"")"),"डेली डिलाइट फ्रेश फ्रोजन ग्रेटेड कोकोनट")</f>
        <v>डेली डिलाइट फ्रेश फ्रोजन ग्रेटेड कोकोनट</v>
      </c>
      <c r="D2326" s="2" t="s">
        <v>53</v>
      </c>
      <c r="E2326" s="2" t="s">
        <v>2700</v>
      </c>
      <c r="F2326" s="1">
        <v>4.0</v>
      </c>
      <c r="G2326" s="3" t="s">
        <v>8015</v>
      </c>
    </row>
    <row r="2327">
      <c r="A2327" s="3" t="s">
        <v>8017</v>
      </c>
      <c r="B2327" s="4" t="str">
        <f>IFERROR(__xludf.DUMMYFUNCTION("GOOGLETRANSLATE(A2327, ""en"", ""te"")"),"వడిలాల్ కొబ్బరి చట్నీ")</f>
        <v>వడిలాల్ కొబ్బరి చట్నీ</v>
      </c>
      <c r="C2327" s="4" t="str">
        <f>IFERROR(__xludf.DUMMYFUNCTION("GOOGLETRANSLATE(A2327, ""en"", ""hi"")"),"वडीलाल नारियल चटनी")</f>
        <v>वडीलाल नारियल चटनी</v>
      </c>
      <c r="D2327" s="2" t="s">
        <v>6566</v>
      </c>
      <c r="E2327" s="2" t="s">
        <v>996</v>
      </c>
      <c r="F2327" s="1">
        <v>4.0</v>
      </c>
      <c r="G2327" s="3" t="s">
        <v>8038</v>
      </c>
    </row>
    <row r="2328">
      <c r="A2328" s="3" t="s">
        <v>8018</v>
      </c>
      <c r="B2328" s="4" t="str">
        <f>IFERROR(__xludf.DUMMYFUNCTION("GOOGLETRANSLATE(A2328, ""en"", ""te"")"),"వడిలాల్ పుదీనా చట్నీ")</f>
        <v>వడిలాల్ పుదీనా చట్నీ</v>
      </c>
      <c r="C2328" s="4" t="str">
        <f>IFERROR(__xludf.DUMMYFUNCTION("GOOGLETRANSLATE(A2328, ""en"", ""hi"")"),"वडीलाल पुदीना चटनी")</f>
        <v>वडीलाल पुदीना चटनी</v>
      </c>
      <c r="D2328" s="5"/>
      <c r="E2328" s="2" t="s">
        <v>996</v>
      </c>
      <c r="F2328" s="1">
        <v>4.0</v>
      </c>
      <c r="G2328" s="3" t="s">
        <v>8038</v>
      </c>
    </row>
    <row r="2329">
      <c r="A2329" s="3" t="s">
        <v>8019</v>
      </c>
      <c r="B2329" s="4" t="str">
        <f>IFERROR(__xludf.DUMMYFUNCTION("GOOGLETRANSLATE(A2329, ""en"", ""te"")"),"వడిలాల్ గ్రీన్ కొత్తిమీర చట్నీ")</f>
        <v>వడిలాల్ గ్రీన్ కొత్తిమీర చట్నీ</v>
      </c>
      <c r="C2329" s="4" t="str">
        <f>IFERROR(__xludf.DUMMYFUNCTION("GOOGLETRANSLATE(A2329, ""en"", ""hi"")"),"वाडीलाल हरे धनिये की चटनी")</f>
        <v>वाडीलाल हरे धनिये की चटनी</v>
      </c>
      <c r="D2329" s="2" t="s">
        <v>1609</v>
      </c>
      <c r="E2329" s="2" t="s">
        <v>946</v>
      </c>
      <c r="F2329" s="1">
        <v>4.0</v>
      </c>
      <c r="G2329" s="3" t="s">
        <v>8038</v>
      </c>
    </row>
    <row r="2330">
      <c r="A2330" s="3" t="s">
        <v>8020</v>
      </c>
      <c r="B2330" s="4" t="str">
        <f>IFERROR(__xludf.DUMMYFUNCTION("GOOGLETRANSLATE(A2330, ""en"", ""te"")"),"వడిలాల్ పానీ పూరీ కాన్సంట్రేట్")</f>
        <v>వడిలాల్ పానీ పూరీ కాన్సంట్రేట్</v>
      </c>
      <c r="C2330" s="4" t="str">
        <f>IFERROR(__xludf.DUMMYFUNCTION("GOOGLETRANSLATE(A2330, ""en"", ""hi"")"),"वडीलाल पानी पूरी कॉन्सेंट्रेट")</f>
        <v>वडीलाल पानी पूरी कॉन्सेंट्रेट</v>
      </c>
      <c r="D2330" s="2" t="s">
        <v>8021</v>
      </c>
      <c r="E2330" s="2" t="s">
        <v>996</v>
      </c>
      <c r="F2330" s="1">
        <v>4.0</v>
      </c>
      <c r="G2330" s="3" t="s">
        <v>8038</v>
      </c>
    </row>
    <row r="2331">
      <c r="A2331" s="3" t="s">
        <v>8039</v>
      </c>
      <c r="B2331" s="4" t="str">
        <f>IFERROR(__xludf.DUMMYFUNCTION("GOOGLETRANSLATE(A2331, ""en"", ""te"")"),"వాదిలాల్ చట్నీ")</f>
        <v>వాదిలాల్ చట్నీ</v>
      </c>
      <c r="C2331" s="4" t="str">
        <f>IFERROR(__xludf.DUMMYFUNCTION("GOOGLETRANSLATE(A2331, ""en"", ""hi"")"),"वडीलाल चटनी")</f>
        <v>वडीलाल चटनी</v>
      </c>
      <c r="D2331" s="2" t="s">
        <v>6306</v>
      </c>
      <c r="E2331" s="2" t="s">
        <v>996</v>
      </c>
      <c r="F2331" s="1">
        <v>4.0</v>
      </c>
      <c r="G2331" s="3" t="s">
        <v>8038</v>
      </c>
    </row>
    <row r="2332">
      <c r="A2332" s="3" t="s">
        <v>2603</v>
      </c>
      <c r="B2332" s="4" t="str">
        <f>IFERROR(__xludf.DUMMYFUNCTION("GOOGLETRANSLATE(A2332, ""en"", ""te"")"),"డీప్ మింట్ చట్నీ")</f>
        <v>డీప్ మింట్ చట్నీ</v>
      </c>
      <c r="C2332" s="4" t="str">
        <f>IFERROR(__xludf.DUMMYFUNCTION("GOOGLETRANSLATE(A2332, ""en"", ""hi"")"),"डीप मिंट चटनी")</f>
        <v>डीप मिंट चटनी</v>
      </c>
      <c r="D2332" s="5"/>
      <c r="E2332" s="2" t="s">
        <v>946</v>
      </c>
      <c r="F2332" s="1">
        <v>4.0</v>
      </c>
      <c r="G2332" s="3" t="s">
        <v>8038</v>
      </c>
    </row>
    <row r="2333">
      <c r="A2333" s="3" t="s">
        <v>2382</v>
      </c>
      <c r="B2333" s="4" t="str">
        <f>IFERROR(__xludf.DUMMYFUNCTION("GOOGLETRANSLATE(A2333, ""en"", ""te"")"),"డీప్ కోకోనట్ చట్నీ")</f>
        <v>డీప్ కోకోనట్ చట్నీ</v>
      </c>
      <c r="C2333" s="4" t="str">
        <f>IFERROR(__xludf.DUMMYFUNCTION("GOOGLETRANSLATE(A2333, ""en"", ""hi"")"),"गाढ़ी नारियल चटनी")</f>
        <v>गाढ़ी नारियल चटनी</v>
      </c>
      <c r="D2333" s="2" t="s">
        <v>6566</v>
      </c>
      <c r="E2333" s="2" t="s">
        <v>996</v>
      </c>
      <c r="F2333" s="1">
        <v>4.0</v>
      </c>
      <c r="G2333" s="3" t="s">
        <v>8038</v>
      </c>
    </row>
    <row r="2334">
      <c r="A2334" s="3" t="s">
        <v>2388</v>
      </c>
      <c r="B2334" s="4" t="str">
        <f>IFERROR(__xludf.DUMMYFUNCTION("GOOGLETRANSLATE(A2334, ""en"", ""te"")"),"డీప్ కొత్తిమీర చట్నీ")</f>
        <v>డీప్ కొత్తిమీర చట్నీ</v>
      </c>
      <c r="C2334" s="4" t="str">
        <f>IFERROR(__xludf.DUMMYFUNCTION("GOOGLETRANSLATE(A2334, ""en"", ""hi"")"),"गाढ़ी धनिया चटनी")</f>
        <v>गाढ़ी धनिया चटनी</v>
      </c>
      <c r="D2334" s="2" t="s">
        <v>2644</v>
      </c>
      <c r="E2334" s="2" t="s">
        <v>946</v>
      </c>
      <c r="F2334" s="1">
        <v>4.0</v>
      </c>
      <c r="G2334" s="3" t="s">
        <v>8038</v>
      </c>
    </row>
    <row r="2335">
      <c r="A2335" s="3" t="s">
        <v>6729</v>
      </c>
      <c r="B2335" s="4" t="str">
        <f>IFERROR(__xludf.DUMMYFUNCTION("GOOGLETRANSLATE(A2335, ""en"", ""te"")"),"డీప్ చట్నీ")</f>
        <v>డీప్ చట్నీ</v>
      </c>
      <c r="C2335" s="4" t="str">
        <f>IFERROR(__xludf.DUMMYFUNCTION("GOOGLETRANSLATE(A2335, ""en"", ""hi"")"),"डीप चटनी")</f>
        <v>डीप चटनी</v>
      </c>
      <c r="D2335" s="2" t="s">
        <v>6306</v>
      </c>
      <c r="E2335" s="2" t="s">
        <v>996</v>
      </c>
      <c r="F2335" s="1">
        <v>4.0</v>
      </c>
      <c r="G2335" s="3" t="s">
        <v>8038</v>
      </c>
    </row>
    <row r="2336">
      <c r="A2336" s="3" t="s">
        <v>8040</v>
      </c>
      <c r="B2336" s="4" t="str">
        <f>IFERROR(__xludf.DUMMYFUNCTION("GOOGLETRANSLATE(A2336, ""en"", ""te"")"),"హల్దీరామ్ ఆర్గానిక్ పంజాబీ సమోసా")</f>
        <v>హల్దీరామ్ ఆర్గానిక్ పంజాబీ సమోసా</v>
      </c>
      <c r="C2336" s="4" t="str">
        <f>IFERROR(__xludf.DUMMYFUNCTION("GOOGLETRANSLATE(A2336, ""en"", ""hi"")"),"हल्दीराम ऑर्गेनिक पंजाबी समोसा")</f>
        <v>हल्दीराम ऑर्गेनिक पंजाबी समोसा</v>
      </c>
      <c r="D2336" s="2" t="s">
        <v>7879</v>
      </c>
      <c r="E2336" s="2" t="s">
        <v>1294</v>
      </c>
      <c r="F2336" s="1">
        <v>4.0</v>
      </c>
      <c r="G2336" s="3" t="s">
        <v>8038</v>
      </c>
    </row>
    <row r="2337">
      <c r="A2337" s="3" t="s">
        <v>8041</v>
      </c>
      <c r="B2337" s="4" t="str">
        <f>IFERROR(__xludf.DUMMYFUNCTION("GOOGLETRANSLATE(A2337, ""en"", ""te"")"),"హల్దీరామ్ క్లాసిక్ చీజ్ పిజ్జా పాకెట్స్")</f>
        <v>హల్దీరామ్ క్లాసిక్ చీజ్ పిజ్జా పాకెట్స్</v>
      </c>
      <c r="C2337" s="4" t="str">
        <f>IFERROR(__xludf.DUMMYFUNCTION("GOOGLETRANSLATE(A2337, ""en"", ""hi"")"),"हल्दीराम क्लासिक चीज़ पिज़्ज़ा पॉकेट्स")</f>
        <v>हल्दीराम क्लासिक चीज़ पिज़्ज़ा पॉकेट्स</v>
      </c>
      <c r="D2337" s="5"/>
      <c r="E2337" s="2" t="s">
        <v>1294</v>
      </c>
      <c r="F2337" s="1">
        <v>4.0</v>
      </c>
      <c r="G2337" s="3" t="s">
        <v>8038</v>
      </c>
    </row>
    <row r="2338">
      <c r="A2338" s="3" t="s">
        <v>8042</v>
      </c>
      <c r="B2338" s="4" t="str">
        <f>IFERROR(__xludf.DUMMYFUNCTION("GOOGLETRANSLATE(A2338, ""en"", ""te"")"),"హల్దీరామ్ మజేదార్ ఆలూ స్పెషల్ పాకెట్స్")</f>
        <v>హల్దీరామ్ మజేదార్ ఆలూ స్పెషల్ పాకెట్స్</v>
      </c>
      <c r="C2338" s="4" t="str">
        <f>IFERROR(__xludf.DUMMYFUNCTION("GOOGLETRANSLATE(A2338, ""en"", ""hi"")"),"हल्दीराम मजेदार आलू स्पेशल पॉकेट्स")</f>
        <v>हल्दीराम मजेदार आलू स्पेशल पॉकेट्स</v>
      </c>
      <c r="D2338" s="5"/>
      <c r="E2338" s="2" t="s">
        <v>1294</v>
      </c>
      <c r="F2338" s="1">
        <v>4.0</v>
      </c>
      <c r="G2338" s="3" t="s">
        <v>8038</v>
      </c>
    </row>
    <row r="2339">
      <c r="A2339" s="3" t="s">
        <v>8043</v>
      </c>
      <c r="B2339" s="4" t="str">
        <f>IFERROR(__xludf.DUMMYFUNCTION("GOOGLETRANSLATE(A2339, ""en"", ""te"")"),"దీప్ సుయా చాప్")</f>
        <v>దీప్ సుయా చాప్</v>
      </c>
      <c r="C2339" s="4" t="str">
        <f>IFERROR(__xludf.DUMMYFUNCTION("GOOGLETRANSLATE(A2339, ""en"", ""hi"")"),"दीप सुया चाप")</f>
        <v>दीप सुया चाप</v>
      </c>
      <c r="D2339" s="2" t="s">
        <v>7879</v>
      </c>
      <c r="E2339" s="2" t="s">
        <v>940</v>
      </c>
      <c r="F2339" s="1">
        <v>4.0</v>
      </c>
      <c r="G2339" s="3" t="s">
        <v>8015</v>
      </c>
    </row>
    <row r="2340">
      <c r="A2340" s="3" t="s">
        <v>8044</v>
      </c>
      <c r="B2340" s="4" t="str">
        <f>IFERROR(__xludf.DUMMYFUNCTION("GOOGLETRANSLATE(A2340, ""en"", ""te"")"),"హల్దీరామ్ కాక్‌టెయిల్ సమోసా")</f>
        <v>హల్దీరామ్ కాక్‌టెయిల్ సమోసా</v>
      </c>
      <c r="C2340" s="4" t="str">
        <f>IFERROR(__xludf.DUMMYFUNCTION("GOOGLETRANSLATE(A2340, ""en"", ""hi"")"),"हल्दीराम कॉकटेल समोसा")</f>
        <v>हल्दीराम कॉकटेल समोसा</v>
      </c>
      <c r="D2340" s="2" t="s">
        <v>8045</v>
      </c>
      <c r="E2340" s="2" t="s">
        <v>1294</v>
      </c>
      <c r="F2340" s="1">
        <v>4.0</v>
      </c>
      <c r="G2340" s="3" t="s">
        <v>8015</v>
      </c>
    </row>
    <row r="2341">
      <c r="A2341" s="3" t="s">
        <v>8046</v>
      </c>
      <c r="B2341" s="4" t="str">
        <f>IFERROR(__xludf.DUMMYFUNCTION("GOOGLETRANSLATE(A2341, ""en"", ""te"")"),"హల్దీరామ్ జంబో పంజాబీ సమోసా")</f>
        <v>హల్దీరామ్ జంబో పంజాబీ సమోసా</v>
      </c>
      <c r="C2341" s="4" t="str">
        <f>IFERROR(__xludf.DUMMYFUNCTION("GOOGLETRANSLATE(A2341, ""en"", ""hi"")"),"हल्दीराम जंबो पंजाबी समोसा")</f>
        <v>हल्दीराम जंबो पंजाबी समोसा</v>
      </c>
      <c r="D2341" s="2" t="s">
        <v>7879</v>
      </c>
      <c r="E2341" s="2" t="s">
        <v>1294</v>
      </c>
      <c r="F2341" s="1">
        <v>4.0</v>
      </c>
      <c r="G2341" s="3" t="s">
        <v>8015</v>
      </c>
    </row>
    <row r="2342">
      <c r="A2342" s="3" t="s">
        <v>8047</v>
      </c>
      <c r="B2342" s="4" t="str">
        <f>IFERROR(__xludf.DUMMYFUNCTION("GOOGLETRANSLATE(A2342, ""en"", ""te"")"),"హల్దీరామ్ పురాణి డిల్లీ స్పెషల్ సమోసా")</f>
        <v>హల్దీరామ్ పురాణి డిల్లీ స్పెషల్ సమోసా</v>
      </c>
      <c r="C2342" s="4" t="str">
        <f>IFERROR(__xludf.DUMMYFUNCTION("GOOGLETRANSLATE(A2342, ""en"", ""hi"")"),"हल्दीराम पुरानी दिल्ली स्पेशल समोसा")</f>
        <v>हल्दीराम पुरानी दिल्ली स्पेशल समोसा</v>
      </c>
      <c r="D2342" s="2" t="s">
        <v>7879</v>
      </c>
      <c r="E2342" s="2" t="s">
        <v>1294</v>
      </c>
      <c r="F2342" s="1">
        <v>4.0</v>
      </c>
      <c r="G2342" s="3" t="s">
        <v>8015</v>
      </c>
    </row>
    <row r="2343">
      <c r="A2343" s="3" t="s">
        <v>8048</v>
      </c>
      <c r="B2343" s="4" t="str">
        <f>IFERROR(__xludf.DUMMYFUNCTION("GOOGLETRANSLATE(A2343, ""en"", ""te"")"),"హల్దీరామ్ పంజాబీ సమోసా")</f>
        <v>హల్దీరామ్ పంజాబీ సమోసా</v>
      </c>
      <c r="C2343" s="4" t="str">
        <f>IFERROR(__xludf.DUMMYFUNCTION("GOOGLETRANSLATE(A2343, ""en"", ""hi"")"),"हल्दीराम पंजाबी समोसा")</f>
        <v>हल्दीराम पंजाबी समोसा</v>
      </c>
      <c r="D2343" s="2" t="s">
        <v>7879</v>
      </c>
      <c r="E2343" s="2" t="s">
        <v>1294</v>
      </c>
      <c r="F2343" s="1">
        <v>4.0</v>
      </c>
      <c r="G2343" s="3" t="s">
        <v>8015</v>
      </c>
    </row>
    <row r="2344">
      <c r="A2344" s="3" t="s">
        <v>8013</v>
      </c>
      <c r="B2344" s="4" t="str">
        <f>IFERROR(__xludf.DUMMYFUNCTION("GOOGLETRANSLATE(A2344, ""en"", ""te"")"),"డైలీ డిలైట్ తురిమిన కొబ్బరి")</f>
        <v>డైలీ డిలైట్ తురిమిన కొబ్బరి</v>
      </c>
      <c r="C2344" s="4" t="str">
        <f>IFERROR(__xludf.DUMMYFUNCTION("GOOGLETRANSLATE(A2344, ""en"", ""hi"")"),"डेली डिलाइट कसा हुआ नारियल")</f>
        <v>डेली डिलाइट कसा हुआ नारियल</v>
      </c>
      <c r="D2344" s="2" t="s">
        <v>53</v>
      </c>
      <c r="E2344" s="2" t="s">
        <v>2700</v>
      </c>
      <c r="F2344" s="1">
        <v>4.0</v>
      </c>
      <c r="G2344" s="3" t="s">
        <v>8015</v>
      </c>
    </row>
    <row r="2345">
      <c r="A2345" s="3" t="s">
        <v>8049</v>
      </c>
      <c r="B2345" s="4" t="str">
        <f>IFERROR(__xludf.DUMMYFUNCTION("GOOGLETRANSLATE(A2345, ""en"", ""te"")"),"హల్దీరామ్ సమోసా")</f>
        <v>హల్దీరామ్ సమోసా</v>
      </c>
      <c r="C2345" s="4" t="str">
        <f>IFERROR(__xludf.DUMMYFUNCTION("GOOGLETRANSLATE(A2345, ""en"", ""hi"")"),"हल्दीराम समोसा")</f>
        <v>हल्दीराम समोसा</v>
      </c>
      <c r="D2345" s="2" t="s">
        <v>7871</v>
      </c>
      <c r="E2345" s="2" t="s">
        <v>1294</v>
      </c>
      <c r="F2345" s="1">
        <v>4.0</v>
      </c>
      <c r="G2345" s="3" t="s">
        <v>8038</v>
      </c>
    </row>
    <row r="2346">
      <c r="A2346" s="3" t="s">
        <v>8050</v>
      </c>
      <c r="B2346" s="4" t="str">
        <f>IFERROR(__xludf.DUMMYFUNCTION("GOOGLETRANSLATE(A2346, ""en"", ""te"")"),"హల్దీరామ్ జలపెనో &amp; చీజ్ సమోసా")</f>
        <v>హల్దీరామ్ జలపెనో &amp; చీజ్ సమోసా</v>
      </c>
      <c r="C2346" s="4" t="str">
        <f>IFERROR(__xludf.DUMMYFUNCTION("GOOGLETRANSLATE(A2346, ""en"", ""hi"")"),"हल्दीराम जलपीनो और चीज़ समोसा")</f>
        <v>हल्दीराम जलपीनो और चीज़ समोसा</v>
      </c>
      <c r="D2346" s="2" t="s">
        <v>4932</v>
      </c>
      <c r="E2346" s="2" t="s">
        <v>1294</v>
      </c>
      <c r="F2346" s="1">
        <v>4.0</v>
      </c>
      <c r="G2346" s="3" t="s">
        <v>8038</v>
      </c>
    </row>
    <row r="2347">
      <c r="A2347" s="3" t="s">
        <v>8051</v>
      </c>
      <c r="B2347" s="4" t="str">
        <f>IFERROR(__xludf.DUMMYFUNCTION("GOOGLETRANSLATE(A2347, ""en"", ""te"")"),"లక్ష్మి సమోసా")</f>
        <v>లక్ష్మి సమోసా</v>
      </c>
      <c r="C2347" s="4" t="str">
        <f>IFERROR(__xludf.DUMMYFUNCTION("GOOGLETRANSLATE(A2347, ""en"", ""hi"")"),"लक्ष्मी समोसा")</f>
        <v>लक्ष्मी समोसा</v>
      </c>
      <c r="D2347" s="2" t="s">
        <v>8052</v>
      </c>
      <c r="E2347" s="2" t="s">
        <v>1294</v>
      </c>
      <c r="F2347" s="1">
        <v>4.0</v>
      </c>
      <c r="G2347" s="3" t="s">
        <v>8038</v>
      </c>
    </row>
    <row r="2348">
      <c r="A2348" s="3" t="s">
        <v>8053</v>
      </c>
      <c r="B2348" s="4" t="str">
        <f>IFERROR(__xludf.DUMMYFUNCTION("GOOGLETRANSLATE(A2348, ""en"", ""te"")"),"మంత్ర ఆర్గానిక్ పంజాబీ సమోసా")</f>
        <v>మంత్ర ఆర్గానిక్ పంజాబీ సమోసా</v>
      </c>
      <c r="C2348" s="4" t="str">
        <f>IFERROR(__xludf.DUMMYFUNCTION("GOOGLETRANSLATE(A2348, ""en"", ""hi"")"),"मंत्रा ऑर्गेनिक पंजाबी समोसा")</f>
        <v>मंत्रा ऑर्गेनिक पंजाबी समोसा</v>
      </c>
      <c r="D2348" s="2" t="s">
        <v>7879</v>
      </c>
      <c r="E2348" s="2" t="s">
        <v>1294</v>
      </c>
      <c r="F2348" s="1">
        <v>4.0</v>
      </c>
      <c r="G2348" s="3" t="s">
        <v>8054</v>
      </c>
    </row>
    <row r="2349">
      <c r="A2349" s="3" t="s">
        <v>8055</v>
      </c>
      <c r="B2349" s="4" t="str">
        <f>IFERROR(__xludf.DUMMYFUNCTION("GOOGLETRANSLATE(A2349, ""en"", ""te"")"),"డీప్ స్పైసీ వెజ్జీ బర్గర్స్")</f>
        <v>డీప్ స్పైసీ వెజ్జీ బర్గర్స్</v>
      </c>
      <c r="C2349" s="4" t="str">
        <f>IFERROR(__xludf.DUMMYFUNCTION("GOOGLETRANSLATE(A2349, ""en"", ""hi"")"),"डीप स्पाइसी वेजी बर्गर")</f>
        <v>डीप स्पाइसी वेजी बर्गर</v>
      </c>
      <c r="D2349" s="5"/>
      <c r="E2349" s="2" t="s">
        <v>351</v>
      </c>
      <c r="F2349" s="1">
        <v>4.0</v>
      </c>
      <c r="G2349" s="3" t="s">
        <v>8054</v>
      </c>
    </row>
    <row r="2350">
      <c r="A2350" s="3" t="s">
        <v>8056</v>
      </c>
      <c r="B2350" s="4" t="str">
        <f>IFERROR(__xludf.DUMMYFUNCTION("GOOGLETRANSLATE(A2350, ""en"", ""te"")"),"మినిట్ ఖానా క్లాసిక్ చీజ్ పిజ్జా పాకెట్స్")</f>
        <v>మినిట్ ఖానా క్లాసిక్ చీజ్ పిజ్జా పాకెట్స్</v>
      </c>
      <c r="C2350" s="4" t="str">
        <f>IFERROR(__xludf.DUMMYFUNCTION("GOOGLETRANSLATE(A2350, ""en"", ""hi"")"),"मिनट खाना क्लासिक चीज़ पिज़्ज़ा पॉकेट्स")</f>
        <v>मिनट खाना क्लासिक चीज़ पिज़्ज़ा पॉकेट्स</v>
      </c>
      <c r="D2350" s="5"/>
      <c r="E2350" s="2" t="s">
        <v>351</v>
      </c>
      <c r="F2350" s="1">
        <v>4.0</v>
      </c>
      <c r="G2350" s="3" t="s">
        <v>8054</v>
      </c>
    </row>
    <row r="2351">
      <c r="A2351" s="3" t="s">
        <v>8057</v>
      </c>
      <c r="B2351" s="4" t="str">
        <f>IFERROR(__xludf.DUMMYFUNCTION("GOOGLETRANSLATE(A2351, ""en"", ""te"")"),"నిమిషం ఖానా మజేదార్ ఆలూ ప్రత్యేక పాకెట్స్")</f>
        <v>నిమిషం ఖానా మజేదార్ ఆలూ ప్రత్యేక పాకెట్స్</v>
      </c>
      <c r="C2351" s="4" t="str">
        <f>IFERROR(__xludf.DUMMYFUNCTION("GOOGLETRANSLATE(A2351, ""en"", ""hi"")"),"मिनट खाना मजादार आलू स्पेशल पॉकेट")</f>
        <v>मिनट खाना मजादार आलू स्पेशल पॉकेट</v>
      </c>
      <c r="D2351" s="2" t="s">
        <v>7879</v>
      </c>
      <c r="E2351" s="2" t="s">
        <v>351</v>
      </c>
      <c r="F2351" s="1">
        <v>4.0</v>
      </c>
      <c r="G2351" s="3" t="s">
        <v>8054</v>
      </c>
    </row>
    <row r="2352">
      <c r="A2352" s="3" t="s">
        <v>8058</v>
      </c>
      <c r="B2352" s="4" t="str">
        <f>IFERROR(__xludf.DUMMYFUNCTION("GOOGLETRANSLATE(A2352, ""en"", ""te"")"),"మినిట్ ఖానా స్పినాచ్ కార్న్ &amp; చీజ్ పాకెట్స్")</f>
        <v>మినిట్ ఖానా స్పినాచ్ కార్న్ &amp; చీజ్ పాకెట్స్</v>
      </c>
      <c r="C2352" s="4" t="str">
        <f>IFERROR(__xludf.DUMMYFUNCTION("GOOGLETRANSLATE(A2352, ""en"", ""hi"")"),"मिनट खाना पालक, मक्का और पनीर पॉकेट्स")</f>
        <v>मिनट खाना पालक, मक्का और पनीर पॉकेट्स</v>
      </c>
      <c r="D2352" s="5"/>
      <c r="E2352" s="2" t="s">
        <v>1294</v>
      </c>
      <c r="F2352" s="1">
        <v>4.0</v>
      </c>
      <c r="G2352" s="3" t="s">
        <v>8054</v>
      </c>
    </row>
    <row r="2353">
      <c r="A2353" s="3" t="s">
        <v>8059</v>
      </c>
      <c r="B2353" s="4" t="str">
        <f>IFERROR(__xludf.DUMMYFUNCTION("GOOGLETRANSLATE(A2353, ""en"", ""te"")"),"హిమాలయన్ డిలైట్ చీజ్ లవర్స్ పిజ్జా")</f>
        <v>హిమాలయన్ డిలైట్ చీజ్ లవర్స్ పిజ్జా</v>
      </c>
      <c r="C2353" s="4" t="str">
        <f>IFERROR(__xludf.DUMMYFUNCTION("GOOGLETRANSLATE(A2353, ""en"", ""hi"")"),"हिमालयन डिलाइट चीज़ लवर्स पिज़्ज़ा")</f>
        <v>हिमालयन डिलाइट चीज़ लवर्स पिज़्ज़ा</v>
      </c>
      <c r="D2353" s="2" t="s">
        <v>7979</v>
      </c>
      <c r="E2353" s="2" t="s">
        <v>351</v>
      </c>
      <c r="F2353" s="1">
        <v>4.0</v>
      </c>
      <c r="G2353" s="3" t="s">
        <v>8054</v>
      </c>
    </row>
    <row r="2354">
      <c r="A2354" s="3" t="s">
        <v>8060</v>
      </c>
      <c r="B2354" s="4" t="str">
        <f>IFERROR(__xludf.DUMMYFUNCTION("GOOGLETRANSLATE(A2354, ""en"", ""te"")"),"డీప్ సమోసాలు బంగాళాదుంప &amp; బఠానీ")</f>
        <v>డీప్ సమోసాలు బంగాళాదుంప &amp; బఠానీ</v>
      </c>
      <c r="C2354" s="4" t="str">
        <f>IFERROR(__xludf.DUMMYFUNCTION("GOOGLETRANSLATE(A2354, ""en"", ""hi"")"),"आलू और मटर के साथ डीप समोसे")</f>
        <v>आलू और मटर के साथ डीप समोसे</v>
      </c>
      <c r="D2354" s="2" t="s">
        <v>4932</v>
      </c>
      <c r="E2354" s="2" t="s">
        <v>1294</v>
      </c>
      <c r="F2354" s="1">
        <v>4.0</v>
      </c>
      <c r="G2354" s="3" t="s">
        <v>8054</v>
      </c>
    </row>
    <row r="2355">
      <c r="A2355" s="3" t="s">
        <v>8061</v>
      </c>
      <c r="B2355" s="4" t="str">
        <f>IFERROR(__xludf.DUMMYFUNCTION("GOOGLETRANSLATE(A2355, ""en"", ""te"")"),"డీప్ సమోసాలు జలపెనో చీజ్")</f>
        <v>డీప్ సమోసాలు జలపెనో చీజ్</v>
      </c>
      <c r="C2355" s="4" t="str">
        <f>IFERROR(__xludf.DUMMYFUNCTION("GOOGLETRANSLATE(A2355, ""en"", ""hi"")"),"डीप समोसे, जलेपीनो चीज़")</f>
        <v>डीप समोसे, जलेपीनो चीज़</v>
      </c>
      <c r="D2355" s="2" t="s">
        <v>4932</v>
      </c>
      <c r="E2355" s="2" t="s">
        <v>1294</v>
      </c>
      <c r="F2355" s="1">
        <v>4.0</v>
      </c>
      <c r="G2355" s="3" t="s">
        <v>8054</v>
      </c>
    </row>
    <row r="2356">
      <c r="A2356" s="3" t="s">
        <v>8062</v>
      </c>
      <c r="B2356" s="4" t="str">
        <f>IFERROR(__xludf.DUMMYFUNCTION("GOOGLETRANSLATE(A2356, ""en"", ""te"")"),"నిమిషం ఖానా తందూరి పనీర్ సమోసా")</f>
        <v>నిమిషం ఖానా తందూరి పనీర్ సమోసా</v>
      </c>
      <c r="C2356" s="4" t="str">
        <f>IFERROR(__xludf.DUMMYFUNCTION("GOOGLETRANSLATE(A2356, ""en"", ""hi"")"),"मिनट खाना तंदूरी पनीर समोसा")</f>
        <v>मिनट खाना तंदूरी पनीर समोसा</v>
      </c>
      <c r="D2356" s="2" t="s">
        <v>7879</v>
      </c>
      <c r="E2356" s="2" t="s">
        <v>1294</v>
      </c>
      <c r="F2356" s="1">
        <v>4.0</v>
      </c>
      <c r="G2356" s="3" t="s">
        <v>8054</v>
      </c>
    </row>
    <row r="2357">
      <c r="A2357" s="3" t="s">
        <v>8063</v>
      </c>
      <c r="B2357" s="4" t="str">
        <f>IFERROR(__xludf.DUMMYFUNCTION("GOOGLETRANSLATE(A2357, ""en"", ""te"")"),"నిమిషం ఖానా జలపెనో &amp; చీజ్ సమోసా")</f>
        <v>నిమిషం ఖానా జలపెనో &amp; చీజ్ సమోసా</v>
      </c>
      <c r="C2357" s="4" t="str">
        <f>IFERROR(__xludf.DUMMYFUNCTION("GOOGLETRANSLATE(A2357, ""en"", ""hi"")"),"मिनट खाना जलपीनो और पनीर समोसा")</f>
        <v>मिनट खाना जलपीनो और पनीर समोसा</v>
      </c>
      <c r="D2357" s="2" t="s">
        <v>7881</v>
      </c>
      <c r="E2357" s="2" t="s">
        <v>1294</v>
      </c>
      <c r="F2357" s="1">
        <v>4.0</v>
      </c>
      <c r="G2357" s="3" t="s">
        <v>8054</v>
      </c>
    </row>
    <row r="2358">
      <c r="A2358" s="3" t="s">
        <v>8064</v>
      </c>
      <c r="B2358" s="4" t="str">
        <f>IFERROR(__xludf.DUMMYFUNCTION("GOOGLETRANSLATE(A2358, ""en"", ""te"")"),"లక్ష్మి పంజాబీ సమోసా")</f>
        <v>లక్ష్మి పంజాబీ సమోసా</v>
      </c>
      <c r="C2358" s="4" t="str">
        <f>IFERROR(__xludf.DUMMYFUNCTION("GOOGLETRANSLATE(A2358, ""en"", ""hi"")"),"लक्ष्मी पंजाबी समोसा")</f>
        <v>लक्ष्मी पंजाबी समोसा</v>
      </c>
      <c r="D2358" s="2" t="s">
        <v>8065</v>
      </c>
      <c r="E2358" s="2" t="s">
        <v>1294</v>
      </c>
      <c r="F2358" s="1">
        <v>4.0</v>
      </c>
      <c r="G2358" s="3" t="s">
        <v>8054</v>
      </c>
    </row>
    <row r="2359">
      <c r="A2359" s="3" t="s">
        <v>8066</v>
      </c>
      <c r="B2359" s="4" t="str">
        <f>IFERROR(__xludf.DUMMYFUNCTION("GOOGLETRANSLATE(A2359, ""en"", ""te"")"),"అశోక జలపెనో చీజ్ సమోసా")</f>
        <v>అశోక జలపెనో చీజ్ సమోసా</v>
      </c>
      <c r="C2359" s="4" t="str">
        <f>IFERROR(__xludf.DUMMYFUNCTION("GOOGLETRANSLATE(A2359, ""en"", ""hi"")"),"अशोका जलापेनो चीज़ समोसा")</f>
        <v>अशोका जलापेनो चीज़ समोसा</v>
      </c>
      <c r="D2359" s="2" t="s">
        <v>8045</v>
      </c>
      <c r="E2359" s="2" t="s">
        <v>1294</v>
      </c>
      <c r="F2359" s="1">
        <v>4.0</v>
      </c>
      <c r="G2359" s="3" t="s">
        <v>8054</v>
      </c>
    </row>
    <row r="2360">
      <c r="A2360" s="3" t="s">
        <v>8067</v>
      </c>
      <c r="B2360" s="4" t="str">
        <f>IFERROR(__xludf.DUMMYFUNCTION("GOOGLETRANSLATE(A2360, ""en"", ""te"")"),"అశోక పాలకూర పనీర్ సమోసా")</f>
        <v>అశోక పాలకూర పనీర్ సమోసా</v>
      </c>
      <c r="C2360" s="4" t="str">
        <f>IFERROR(__xludf.DUMMYFUNCTION("GOOGLETRANSLATE(A2360, ""en"", ""hi"")"),"अशोक पालक पनीर समोसा")</f>
        <v>अशोक पालक पनीर समोसा</v>
      </c>
      <c r="D2360" s="2" t="s">
        <v>8068</v>
      </c>
      <c r="E2360" s="2" t="s">
        <v>1294</v>
      </c>
      <c r="F2360" s="1">
        <v>4.0</v>
      </c>
      <c r="G2360" s="3" t="s">
        <v>8054</v>
      </c>
    </row>
    <row r="2361">
      <c r="A2361" s="3" t="s">
        <v>8069</v>
      </c>
      <c r="B2361" s="4" t="str">
        <f>IFERROR(__xludf.DUMMYFUNCTION("GOOGLETRANSLATE(A2361, ""en"", ""te"")"),"మినిట్ ఖానా దాల్ మఖానీ")</f>
        <v>మినిట్ ఖానా దాల్ మఖానీ</v>
      </c>
      <c r="C2361" s="4" t="str">
        <f>IFERROR(__xludf.DUMMYFUNCTION("GOOGLETRANSLATE(A2361, ""en"", ""hi"")"),"मिनट खाना दाल मखानी")</f>
        <v>मिनट खाना दाल मखानी</v>
      </c>
      <c r="D2361" s="5"/>
      <c r="E2361" s="2" t="s">
        <v>940</v>
      </c>
      <c r="F2361" s="1">
        <v>4.0</v>
      </c>
      <c r="G2361" s="3" t="s">
        <v>8054</v>
      </c>
    </row>
    <row r="2362">
      <c r="A2362" s="3" t="s">
        <v>8070</v>
      </c>
      <c r="B2362" s="4" t="str">
        <f>IFERROR(__xludf.DUMMYFUNCTION("GOOGLETRANSLATE(A2362, ""en"", ""te"")"),"నిమిషం ఖానా హైదరాబాదీ బిర్యానీ")</f>
        <v>నిమిషం ఖానా హైదరాబాదీ బిర్యానీ</v>
      </c>
      <c r="C2362" s="4" t="str">
        <f>IFERROR(__xludf.DUMMYFUNCTION("GOOGLETRANSLATE(A2362, ""en"", ""hi"")"),"मिनट खाना हैदराबादी बिरयानी")</f>
        <v>मिनट खाना हैदराबादी बिरयानी</v>
      </c>
      <c r="D2362" s="2" t="s">
        <v>8071</v>
      </c>
      <c r="E2362" s="2" t="s">
        <v>940</v>
      </c>
      <c r="F2362" s="1">
        <v>4.0</v>
      </c>
      <c r="G2362" s="3" t="s">
        <v>8054</v>
      </c>
    </row>
    <row r="2363">
      <c r="A2363" s="3" t="s">
        <v>8072</v>
      </c>
      <c r="B2363" s="4" t="str">
        <f>IFERROR(__xludf.DUMMYFUNCTION("GOOGLETRANSLATE(A2363, ""en"", ""te"")"),"మినిట్ ఖానా భిండి మసాలా")</f>
        <v>మినిట్ ఖానా భిండి మసాలా</v>
      </c>
      <c r="C2363" s="4" t="str">
        <f>IFERROR(__xludf.DUMMYFUNCTION("GOOGLETRANSLATE(A2363, ""en"", ""hi"")"),"मिनट खाना भिंडी मसाला")</f>
        <v>मिनट खाना भिंडी मसाला</v>
      </c>
      <c r="D2363" s="2" t="s">
        <v>1070</v>
      </c>
      <c r="E2363" s="2" t="s">
        <v>940</v>
      </c>
      <c r="F2363" s="1">
        <v>4.0</v>
      </c>
      <c r="G2363" s="3" t="s">
        <v>8054</v>
      </c>
    </row>
    <row r="2364">
      <c r="A2364" s="3" t="s">
        <v>8073</v>
      </c>
      <c r="B2364" s="4" t="str">
        <f>IFERROR(__xludf.DUMMYFUNCTION("GOOGLETRANSLATE(A2364, ""en"", ""te"")"),"నిమిషం ఖానా పాలక్ పనీర్")</f>
        <v>నిమిషం ఖానా పాలక్ పనీర్</v>
      </c>
      <c r="C2364" s="4" t="str">
        <f>IFERROR(__xludf.DUMMYFUNCTION("GOOGLETRANSLATE(A2364, ""en"", ""hi"")"),"मिनट खाना पालक पनीर")</f>
        <v>मिनट खाना पालक पनीर</v>
      </c>
      <c r="D2364" s="2" t="s">
        <v>8074</v>
      </c>
      <c r="E2364" s="2" t="s">
        <v>940</v>
      </c>
      <c r="F2364" s="1">
        <v>4.0</v>
      </c>
      <c r="G2364" s="3" t="s">
        <v>8054</v>
      </c>
    </row>
    <row r="2365">
      <c r="A2365" s="3" t="s">
        <v>8075</v>
      </c>
      <c r="B2365" s="4" t="str">
        <f>IFERROR(__xludf.DUMMYFUNCTION("GOOGLETRANSLATE(A2365, ""en"", ""te"")"),"మినిట్ ఖానా పనీర్ బటర్ మసాలా")</f>
        <v>మినిట్ ఖానా పనీర్ బటర్ మసాలా</v>
      </c>
      <c r="C2365" s="4" t="str">
        <f>IFERROR(__xludf.DUMMYFUNCTION("GOOGLETRANSLATE(A2365, ""en"", ""hi"")"),"मिनट खाना पनीर बटर मसाला")</f>
        <v>मिनट खाना पनीर बटर मसाला</v>
      </c>
      <c r="D2365" s="2" t="s">
        <v>1070</v>
      </c>
      <c r="E2365" s="2" t="s">
        <v>940</v>
      </c>
      <c r="F2365" s="1">
        <v>4.0</v>
      </c>
      <c r="G2365" s="3" t="s">
        <v>8054</v>
      </c>
    </row>
    <row r="2366">
      <c r="A2366" s="3" t="s">
        <v>8076</v>
      </c>
      <c r="B2366" s="4" t="str">
        <f>IFERROR(__xludf.DUMMYFUNCTION("GOOGLETRANSLATE(A2366, ""en"", ""te"")"),"నిమిషం ఖానా మటర్ పనీర్")</f>
        <v>నిమిషం ఖానా మటర్ పనీర్</v>
      </c>
      <c r="C2366" s="4" t="str">
        <f>IFERROR(__xludf.DUMMYFUNCTION("GOOGLETRANSLATE(A2366, ""en"", ""hi"")"),"मिनट खाना मटर पनीर")</f>
        <v>मिनट खाना मटर पनीर</v>
      </c>
      <c r="D2366" s="2" t="s">
        <v>8074</v>
      </c>
      <c r="E2366" s="2" t="s">
        <v>940</v>
      </c>
      <c r="F2366" s="1">
        <v>4.0</v>
      </c>
      <c r="G2366" s="3" t="s">
        <v>8054</v>
      </c>
    </row>
    <row r="2367">
      <c r="A2367" s="3" t="s">
        <v>8077</v>
      </c>
      <c r="B2367" s="4" t="str">
        <f>IFERROR(__xludf.DUMMYFUNCTION("GOOGLETRANSLATE(A2367, ""en"", ""te"")"),"నిమిషం ఖానా దాల్ తడ్కా")</f>
        <v>నిమిషం ఖానా దాల్ తడ్కా</v>
      </c>
      <c r="C2367" s="4" t="str">
        <f>IFERROR(__xludf.DUMMYFUNCTION("GOOGLETRANSLATE(A2367, ""en"", ""hi"")"),"मिनट खाना दाल तड़का")</f>
        <v>मिनट खाना दाल तड़का</v>
      </c>
      <c r="D2367" s="2" t="s">
        <v>3379</v>
      </c>
      <c r="E2367" s="2" t="s">
        <v>1038</v>
      </c>
      <c r="F2367" s="1">
        <v>4.0</v>
      </c>
      <c r="G2367" s="3" t="s">
        <v>8054</v>
      </c>
    </row>
    <row r="2368">
      <c r="A2368" s="3" t="s">
        <v>8078</v>
      </c>
      <c r="B2368" s="4" t="str">
        <f>IFERROR(__xludf.DUMMYFUNCTION("GOOGLETRANSLATE(A2368, ""en"", ""te"")"),"దీప్ డి బజ్రా రోట్లా")</f>
        <v>దీప్ డి బజ్రా రోట్లా</v>
      </c>
      <c r="C2368" s="4" t="str">
        <f>IFERROR(__xludf.DUMMYFUNCTION("GOOGLETRANSLATE(A2368, ""en"", ""hi"")"),"दीप डी बाजरा रोटला")</f>
        <v>दीप डी बाजरा रोटला</v>
      </c>
      <c r="D2368" s="2" t="s">
        <v>8079</v>
      </c>
      <c r="E2368" s="2" t="s">
        <v>2649</v>
      </c>
      <c r="F2368" s="1">
        <v>4.0</v>
      </c>
      <c r="G2368" s="3" t="s">
        <v>8054</v>
      </c>
    </row>
    <row r="2369">
      <c r="A2369" s="3" t="s">
        <v>8080</v>
      </c>
      <c r="B2369" s="4" t="str">
        <f>IFERROR(__xludf.DUMMYFUNCTION("GOOGLETRANSLATE(A2369, ""en"", ""te"")"),"మినిట్ ఖానా శాండ్‌విచ్ ధోక్లా")</f>
        <v>మినిట్ ఖానా శాండ్‌విచ్ ధోక్లా</v>
      </c>
      <c r="C2369" s="4" t="str">
        <f>IFERROR(__xludf.DUMMYFUNCTION("GOOGLETRANSLATE(A2369, ""en"", ""hi"")"),"मिनट खाना सैंडविच ढोकला")</f>
        <v>मिनट खाना सैंडविच ढोकला</v>
      </c>
      <c r="D2369" s="5"/>
      <c r="E2369" s="2" t="s">
        <v>940</v>
      </c>
      <c r="F2369" s="1">
        <v>4.0</v>
      </c>
      <c r="G2369" s="3" t="s">
        <v>8054</v>
      </c>
    </row>
    <row r="2370">
      <c r="A2370" s="3" t="s">
        <v>8081</v>
      </c>
      <c r="B2370" s="4" t="str">
        <f>IFERROR(__xludf.DUMMYFUNCTION("GOOGLETRANSLATE(A2370, ""en"", ""te"")"),"దీప్ డి మేథి గోటా")</f>
        <v>దీప్ డి మేథి గోటా</v>
      </c>
      <c r="C2370" s="4" t="str">
        <f>IFERROR(__xludf.DUMMYFUNCTION("GOOGLETRANSLATE(A2370, ""en"", ""hi"")"),"दीप डी मेथी गोटा")</f>
        <v>दीप डी मेथी गोटा</v>
      </c>
      <c r="D2370" s="2" t="s">
        <v>8082</v>
      </c>
      <c r="E2370" s="2" t="s">
        <v>2649</v>
      </c>
      <c r="F2370" s="1">
        <v>4.0</v>
      </c>
      <c r="G2370" s="3" t="s">
        <v>8054</v>
      </c>
    </row>
    <row r="2371">
      <c r="A2371" s="3" t="s">
        <v>8083</v>
      </c>
      <c r="B2371" s="4" t="str">
        <f>IFERROR(__xludf.DUMMYFUNCTION("GOOGLETRANSLATE(A2371, ""en"", ""te"")"),"డీప్ మేథి తేప్లా")</f>
        <v>డీప్ మేథి తేప్లా</v>
      </c>
      <c r="C2371" s="4" t="str">
        <f>IFERROR(__xludf.DUMMYFUNCTION("GOOGLETRANSLATE(A2371, ""en"", ""hi"")"),"दीप मेथी थेपला")</f>
        <v>दीप मेथी थेपला</v>
      </c>
      <c r="D2371" s="5"/>
      <c r="E2371" s="2" t="s">
        <v>2649</v>
      </c>
      <c r="F2371" s="1">
        <v>4.0</v>
      </c>
      <c r="G2371" s="3" t="s">
        <v>8054</v>
      </c>
    </row>
    <row r="2372">
      <c r="A2372" s="3" t="s">
        <v>8084</v>
      </c>
      <c r="B2372" s="4" t="str">
        <f>IFERROR(__xludf.DUMMYFUNCTION("GOOGLETRANSLATE(A2372, ""en"", ""te"")"),"డీప్ పరాఠా మైదానం")</f>
        <v>డీప్ పరాఠా మైదానం</v>
      </c>
      <c r="C2372" s="4" t="str">
        <f>IFERROR(__xludf.DUMMYFUNCTION("GOOGLETRANSLATE(A2372, ""en"", ""hi"")"),"डीप पराठा प्लेन")</f>
        <v>डीप पराठा प्लेन</v>
      </c>
      <c r="D2372" s="2" t="s">
        <v>8082</v>
      </c>
      <c r="E2372" s="2" t="s">
        <v>2649</v>
      </c>
      <c r="F2372" s="1">
        <v>4.0</v>
      </c>
      <c r="G2372" s="3" t="s">
        <v>8054</v>
      </c>
    </row>
    <row r="2373">
      <c r="A2373" s="3" t="s">
        <v>8085</v>
      </c>
      <c r="B2373" s="4" t="str">
        <f>IFERROR(__xludf.DUMMYFUNCTION("GOOGLETRANSLATE(A2373, ""en"", ""te"")"),"మినిట్ ఖానా చులే కుల్చా")</f>
        <v>మినిట్ ఖానా చులే కుల్చా</v>
      </c>
      <c r="C2373" s="4" t="str">
        <f>IFERROR(__xludf.DUMMYFUNCTION("GOOGLETRANSLATE(A2373, ""en"", ""hi"")"),"मिनट खाना चूले कुलचा")</f>
        <v>मिनट खाना चूले कुलचा</v>
      </c>
      <c r="D2373" s="2" t="s">
        <v>8086</v>
      </c>
      <c r="E2373" s="2" t="s">
        <v>2649</v>
      </c>
      <c r="F2373" s="1">
        <v>4.0</v>
      </c>
      <c r="G2373" s="3" t="s">
        <v>8054</v>
      </c>
    </row>
    <row r="2374">
      <c r="A2374" s="3" t="s">
        <v>8087</v>
      </c>
      <c r="B2374" s="4" t="str">
        <f>IFERROR(__xludf.DUMMYFUNCTION("GOOGLETRANSLATE(A2374, ""en"", ""te"")"),"మినిట్ ఖానా కాక్‌టెయిల్ సమోసా")</f>
        <v>మినిట్ ఖానా కాక్‌టెయిల్ సమోసా</v>
      </c>
      <c r="C2374" s="4" t="str">
        <f>IFERROR(__xludf.DUMMYFUNCTION("GOOGLETRANSLATE(A2374, ""en"", ""hi"")"),"मिनट खाना कॉकटेल समोसा")</f>
        <v>मिनट खाना कॉकटेल समोसा</v>
      </c>
      <c r="D2374" s="2" t="s">
        <v>7879</v>
      </c>
      <c r="E2374" s="2" t="s">
        <v>1294</v>
      </c>
      <c r="F2374" s="1">
        <v>4.0</v>
      </c>
      <c r="G2374" s="3" t="s">
        <v>7969</v>
      </c>
    </row>
    <row r="2375">
      <c r="A2375" s="3" t="s">
        <v>8088</v>
      </c>
      <c r="B2375" s="4" t="str">
        <f>IFERROR(__xludf.DUMMYFUNCTION("GOOGLETRANSLATE(A2375, ""en"", ""te"")"),"మినిట్ ఖానా స్పెషల్ సమోసా")</f>
        <v>మినిట్ ఖానా స్పెషల్ సమోసా</v>
      </c>
      <c r="C2375" s="4" t="str">
        <f>IFERROR(__xludf.DUMMYFUNCTION("GOOGLETRANSLATE(A2375, ""en"", ""hi"")"),"मिनट खाना स्पेशल समोसा")</f>
        <v>मिनट खाना स्पेशल समोसा</v>
      </c>
      <c r="D2375" s="2" t="s">
        <v>8089</v>
      </c>
      <c r="E2375" s="2" t="s">
        <v>1294</v>
      </c>
      <c r="F2375" s="1">
        <v>4.0</v>
      </c>
      <c r="G2375" s="3" t="s">
        <v>7969</v>
      </c>
    </row>
    <row r="2376">
      <c r="A2376" s="3" t="s">
        <v>8090</v>
      </c>
      <c r="B2376" s="4" t="str">
        <f>IFERROR(__xludf.DUMMYFUNCTION("GOOGLETRANSLATE(A2376, ""en"", ""te"")"),"డీప్ జలపెనో చీజ్ సమోసా")</f>
        <v>డీప్ జలపెనో చీజ్ సమోసా</v>
      </c>
      <c r="C2376" s="4" t="str">
        <f>IFERROR(__xludf.DUMMYFUNCTION("GOOGLETRANSLATE(A2376, ""en"", ""hi"")"),"डीप जलापेनो चीज़ समोसा")</f>
        <v>डीप जलापेनो चीज़ समोसा</v>
      </c>
      <c r="D2376" s="2" t="s">
        <v>7881</v>
      </c>
      <c r="E2376" s="2" t="s">
        <v>1294</v>
      </c>
      <c r="F2376" s="1">
        <v>4.0</v>
      </c>
      <c r="G2376" s="3" t="s">
        <v>8054</v>
      </c>
    </row>
    <row r="2377">
      <c r="A2377" s="3" t="s">
        <v>8091</v>
      </c>
      <c r="B2377" s="4" t="str">
        <f>IFERROR(__xludf.DUMMYFUNCTION("GOOGLETRANSLATE(A2377, ""en"", ""te"")"),"డీప్ స్పినాచ్ పనీర్ సమోసా")</f>
        <v>డీప్ స్పినాచ్ పనీర్ సమోసా</v>
      </c>
      <c r="C2377" s="4" t="str">
        <f>IFERROR(__xludf.DUMMYFUNCTION("GOOGLETRANSLATE(A2377, ""en"", ""hi"")"),"डीप पालक पनीर समोसा")</f>
        <v>डीप पालक पनीर समोसा</v>
      </c>
      <c r="D2377" s="2" t="s">
        <v>8092</v>
      </c>
      <c r="E2377" s="2" t="s">
        <v>1294</v>
      </c>
      <c r="F2377" s="1">
        <v>4.0</v>
      </c>
      <c r="G2377" s="3" t="s">
        <v>8054</v>
      </c>
    </row>
    <row r="2378">
      <c r="A2378" s="3" t="s">
        <v>8093</v>
      </c>
      <c r="B2378" s="4" t="str">
        <f>IFERROR(__xludf.DUMMYFUNCTION("GOOGLETRANSLATE(A2378, ""en"", ""te"")"),"డీప్ మట్'న్ కీమా సమోసా")</f>
        <v>డీప్ మట్'న్ కీమా సమోసా</v>
      </c>
      <c r="C2378" s="4" t="str">
        <f>IFERROR(__xludf.DUMMYFUNCTION("GOOGLETRANSLATE(A2378, ""en"", ""hi"")"),"डीप मटन कीमा समोसा")</f>
        <v>डीप मटन कीमा समोसा</v>
      </c>
      <c r="D2378" s="2" t="s">
        <v>7879</v>
      </c>
      <c r="E2378" s="2" t="s">
        <v>1294</v>
      </c>
      <c r="F2378" s="1">
        <v>4.0</v>
      </c>
      <c r="G2378" s="3" t="s">
        <v>8094</v>
      </c>
    </row>
    <row r="2379">
      <c r="A2379" s="3" t="s">
        <v>8095</v>
      </c>
      <c r="B2379" s="4" t="str">
        <f>IFERROR(__xludf.DUMMYFUNCTION("GOOGLETRANSLATE(A2379, ""en"", ""te"")"),"డీప్ కీమా సమోసా")</f>
        <v>డీప్ కీమా సమోసా</v>
      </c>
      <c r="C2379" s="4" t="str">
        <f>IFERROR(__xludf.DUMMYFUNCTION("GOOGLETRANSLATE(A2379, ""en"", ""hi"")"),"दीप कीमा समोसा")</f>
        <v>दीप कीमा समोसा</v>
      </c>
      <c r="D2379" s="2" t="s">
        <v>7879</v>
      </c>
      <c r="E2379" s="2" t="s">
        <v>1294</v>
      </c>
      <c r="F2379" s="1">
        <v>4.0</v>
      </c>
      <c r="G2379" s="3" t="s">
        <v>7969</v>
      </c>
    </row>
    <row r="2380">
      <c r="A2380" s="3" t="s">
        <v>8090</v>
      </c>
      <c r="B2380" s="4" t="str">
        <f>IFERROR(__xludf.DUMMYFUNCTION("GOOGLETRANSLATE(A2380, ""en"", ""te"")"),"డీప్ జలపెనో చీజ్ సమోసా")</f>
        <v>డీప్ జలపెనో చీజ్ సమోసా</v>
      </c>
      <c r="C2380" s="4" t="str">
        <f>IFERROR(__xludf.DUMMYFUNCTION("GOOGLETRANSLATE(A2380, ""en"", ""hi"")"),"डीप जलापेनो चीज़ समोसा")</f>
        <v>डीप जलापेनो चीज़ समोसा</v>
      </c>
      <c r="D2380" s="2" t="s">
        <v>7881</v>
      </c>
      <c r="E2380" s="2" t="s">
        <v>1294</v>
      </c>
      <c r="F2380" s="1">
        <v>4.0</v>
      </c>
      <c r="G2380" s="3" t="s">
        <v>7969</v>
      </c>
    </row>
    <row r="2381">
      <c r="A2381" s="3" t="s">
        <v>2787</v>
      </c>
      <c r="B2381" s="4" t="str">
        <f>IFERROR(__xludf.DUMMYFUNCTION("GOOGLETRANSLATE(A2381, ""en"", ""te"")"),"డీప్ సమోసా")</f>
        <v>డీప్ సమోసా</v>
      </c>
      <c r="C2381" s="4" t="str">
        <f>IFERROR(__xludf.DUMMYFUNCTION("GOOGLETRANSLATE(A2381, ""en"", ""hi"")"),"डीप समोसा")</f>
        <v>डीप समोसा</v>
      </c>
      <c r="D2381" s="2" t="s">
        <v>7879</v>
      </c>
      <c r="E2381" s="2" t="s">
        <v>1294</v>
      </c>
      <c r="F2381" s="1">
        <v>4.0</v>
      </c>
      <c r="G2381" s="3" t="s">
        <v>7969</v>
      </c>
    </row>
    <row r="2382">
      <c r="A2382" s="3" t="s">
        <v>8096</v>
      </c>
      <c r="B2382" s="4" t="str">
        <f>IFERROR(__xludf.DUMMYFUNCTION("GOOGLETRANSLATE(A2382, ""en"", ""te"")"),"డీప్ పిజ్జా")</f>
        <v>డీప్ పిజ్జా</v>
      </c>
      <c r="C2382" s="4" t="str">
        <f>IFERROR(__xludf.DUMMYFUNCTION("GOOGLETRANSLATE(A2382, ""en"", ""hi"")"),"डीप पिज्जा")</f>
        <v>डीप पिज्जा</v>
      </c>
      <c r="D2382" s="5"/>
      <c r="E2382" s="2" t="s">
        <v>351</v>
      </c>
      <c r="F2382" s="1">
        <v>4.0</v>
      </c>
      <c r="G2382" s="3" t="s">
        <v>8054</v>
      </c>
    </row>
    <row r="2383">
      <c r="A2383" s="3" t="s">
        <v>8069</v>
      </c>
      <c r="B2383" s="4" t="str">
        <f>IFERROR(__xludf.DUMMYFUNCTION("GOOGLETRANSLATE(A2383, ""en"", ""te"")"),"మినిట్ ఖానా దాల్ మఖానీ")</f>
        <v>మినిట్ ఖానా దాల్ మఖానీ</v>
      </c>
      <c r="C2383" s="4" t="str">
        <f>IFERROR(__xludf.DUMMYFUNCTION("GOOGLETRANSLATE(A2383, ""en"", ""hi"")"),"मिनट खाना दाल मखानी")</f>
        <v>मिनट खाना दाल मखानी</v>
      </c>
      <c r="D2383" s="5"/>
      <c r="E2383" s="2" t="s">
        <v>940</v>
      </c>
      <c r="F2383" s="1">
        <v>4.0</v>
      </c>
      <c r="G2383" s="3" t="s">
        <v>7969</v>
      </c>
    </row>
    <row r="2384">
      <c r="A2384" s="3" t="s">
        <v>8072</v>
      </c>
      <c r="B2384" s="4" t="str">
        <f>IFERROR(__xludf.DUMMYFUNCTION("GOOGLETRANSLATE(A2384, ""en"", ""te"")"),"మినిట్ ఖానా భిండి మసాలా")</f>
        <v>మినిట్ ఖానా భిండి మసాలా</v>
      </c>
      <c r="C2384" s="4" t="str">
        <f>IFERROR(__xludf.DUMMYFUNCTION("GOOGLETRANSLATE(A2384, ""en"", ""hi"")"),"मिनट खाना भिंडी मसाला")</f>
        <v>मिनट खाना भिंडी मसाला</v>
      </c>
      <c r="D2384" s="2" t="s">
        <v>1070</v>
      </c>
      <c r="E2384" s="2" t="s">
        <v>940</v>
      </c>
      <c r="F2384" s="1">
        <v>4.0</v>
      </c>
      <c r="G2384" s="3" t="s">
        <v>7969</v>
      </c>
    </row>
    <row r="2385">
      <c r="A2385" s="3" t="s">
        <v>8070</v>
      </c>
      <c r="B2385" s="4" t="str">
        <f>IFERROR(__xludf.DUMMYFUNCTION("GOOGLETRANSLATE(A2385, ""en"", ""te"")"),"నిమిషం ఖానా హైదరాబాదీ బిర్యానీ")</f>
        <v>నిమిషం ఖానా హైదరాబాదీ బిర్యానీ</v>
      </c>
      <c r="C2385" s="4" t="str">
        <f>IFERROR(__xludf.DUMMYFUNCTION("GOOGLETRANSLATE(A2385, ""en"", ""hi"")"),"मिनट खाना हैदराबादी बिरयानी")</f>
        <v>मिनट खाना हैदराबादी बिरयानी</v>
      </c>
      <c r="D2385" s="2" t="s">
        <v>8071</v>
      </c>
      <c r="E2385" s="2" t="s">
        <v>940</v>
      </c>
      <c r="F2385" s="1">
        <v>4.0</v>
      </c>
      <c r="G2385" s="3" t="s">
        <v>7969</v>
      </c>
    </row>
    <row r="2386">
      <c r="A2386" s="3" t="s">
        <v>8097</v>
      </c>
      <c r="B2386" s="4" t="str">
        <f>IFERROR(__xludf.DUMMYFUNCTION("GOOGLETRANSLATE(A2386, ""en"", ""te"")"),"మినిట్ ఖానా పనీర్ మఖానీ")</f>
        <v>మినిట్ ఖానా పనీర్ మఖానీ</v>
      </c>
      <c r="C2386" s="4" t="str">
        <f>IFERROR(__xludf.DUMMYFUNCTION("GOOGLETRANSLATE(A2386, ""en"", ""hi"")"),"मिनट खाना पनीर मखानी")</f>
        <v>मिनट खाना पनीर मखानी</v>
      </c>
      <c r="D2386" s="5"/>
      <c r="E2386" s="2" t="s">
        <v>940</v>
      </c>
      <c r="F2386" s="1">
        <v>4.0</v>
      </c>
      <c r="G2386" s="3" t="s">
        <v>7969</v>
      </c>
    </row>
    <row r="2387">
      <c r="A2387" s="3" t="s">
        <v>8098</v>
      </c>
      <c r="B2387" s="4" t="str">
        <f>IFERROR(__xludf.DUMMYFUNCTION("GOOGLETRANSLATE(A2387, ""en"", ""te"")"),"దీప్ పాలక్ కోఫ్తా")</f>
        <v>దీప్ పాలక్ కోఫ్తా</v>
      </c>
      <c r="C2387" s="4" t="str">
        <f>IFERROR(__xludf.DUMMYFUNCTION("GOOGLETRANSLATE(A2387, ""en"", ""hi"")"),"दीप पालक कोफ्ता")</f>
        <v>दीप पालक कोफ्ता</v>
      </c>
      <c r="D2387" s="5"/>
      <c r="E2387" s="2" t="s">
        <v>940</v>
      </c>
      <c r="F2387" s="1">
        <v>4.0</v>
      </c>
      <c r="G2387" s="3" t="s">
        <v>7969</v>
      </c>
    </row>
    <row r="2388">
      <c r="A2388" s="3" t="s">
        <v>8099</v>
      </c>
      <c r="B2388" s="4" t="str">
        <f>IFERROR(__xludf.DUMMYFUNCTION("GOOGLETRANSLATE(A2388, ""en"", ""te"")"),"డీప్ పనీర్ మఖానీ")</f>
        <v>డీప్ పనీర్ మఖానీ</v>
      </c>
      <c r="C2388" s="4" t="str">
        <f>IFERROR(__xludf.DUMMYFUNCTION("GOOGLETRANSLATE(A2388, ""en"", ""hi"")"),"डीप पनीर मखानी")</f>
        <v>डीप पनीर मखानी</v>
      </c>
      <c r="D2388" s="2" t="s">
        <v>1961</v>
      </c>
      <c r="E2388" s="2" t="s">
        <v>940</v>
      </c>
      <c r="F2388" s="1">
        <v>4.0</v>
      </c>
      <c r="G2388" s="3" t="s">
        <v>7969</v>
      </c>
    </row>
    <row r="2389">
      <c r="A2389" s="3" t="s">
        <v>8100</v>
      </c>
      <c r="B2389" s="4" t="str">
        <f>IFERROR(__xludf.DUMMYFUNCTION("GOOGLETRANSLATE(A2389, ""en"", ""te"")"),"డీప్ భిండి మసాలా")</f>
        <v>డీప్ భిండి మసాలా</v>
      </c>
      <c r="C2389" s="4" t="str">
        <f>IFERROR(__xludf.DUMMYFUNCTION("GOOGLETRANSLATE(A2389, ""en"", ""hi"")"),"दीप भिंडी मसाला")</f>
        <v>दीप भिंडी मसाला</v>
      </c>
      <c r="D2389" s="5"/>
      <c r="E2389" s="2" t="s">
        <v>940</v>
      </c>
      <c r="F2389" s="1">
        <v>4.0</v>
      </c>
      <c r="G2389" s="3" t="s">
        <v>7969</v>
      </c>
    </row>
    <row r="2390">
      <c r="A2390" s="3" t="s">
        <v>8101</v>
      </c>
      <c r="B2390" s="4" t="str">
        <f>IFERROR(__xludf.DUMMYFUNCTION("GOOGLETRANSLATE(A2390, ""en"", ""te"")"),"డీప్ పాలక్ పనీర్")</f>
        <v>డీప్ పాలక్ పనీర్</v>
      </c>
      <c r="C2390" s="4" t="str">
        <f>IFERROR(__xludf.DUMMYFUNCTION("GOOGLETRANSLATE(A2390, ""en"", ""hi"")"),"दीप पालक पनीर")</f>
        <v>दीप पालक पनीर</v>
      </c>
      <c r="D2390" s="2" t="s">
        <v>1961</v>
      </c>
      <c r="E2390" s="2" t="s">
        <v>940</v>
      </c>
      <c r="F2390" s="1">
        <v>4.0</v>
      </c>
      <c r="G2390" s="3" t="s">
        <v>7969</v>
      </c>
    </row>
    <row r="2391">
      <c r="A2391" s="3" t="s">
        <v>8102</v>
      </c>
      <c r="B2391" s="4" t="str">
        <f>IFERROR(__xludf.DUMMYFUNCTION("GOOGLETRANSLATE(A2391, ""en"", ""te"")"),"డీప్ పనీర్ బట్టర్ మసాలా")</f>
        <v>డీప్ పనీర్ బట్టర్ మసాలా</v>
      </c>
      <c r="C2391" s="4" t="str">
        <f>IFERROR(__xludf.DUMMYFUNCTION("GOOGLETRANSLATE(A2391, ""en"", ""hi"")"),"डीप पनीर बटर मसाला")</f>
        <v>डीप पनीर बटर मसाला</v>
      </c>
      <c r="D2391" s="5"/>
      <c r="E2391" s="2" t="s">
        <v>946</v>
      </c>
      <c r="F2391" s="1">
        <v>4.0</v>
      </c>
      <c r="G2391" s="3" t="s">
        <v>7969</v>
      </c>
    </row>
    <row r="2392">
      <c r="A2392" s="3" t="s">
        <v>8103</v>
      </c>
      <c r="B2392" s="4" t="str">
        <f>IFERROR(__xludf.DUMMYFUNCTION("GOOGLETRANSLATE(A2392, ""en"", ""te"")"),"డీప్ పనీర్ టిక్కా")</f>
        <v>డీప్ పనీర్ టిక్కా</v>
      </c>
      <c r="C2392" s="4" t="str">
        <f>IFERROR(__xludf.DUMMYFUNCTION("GOOGLETRANSLATE(A2392, ""en"", ""hi"")"),"डीप पनीर टिक्का")</f>
        <v>डीप पनीर टिक्का</v>
      </c>
      <c r="D2392" s="2" t="s">
        <v>8104</v>
      </c>
      <c r="E2392" s="2" t="s">
        <v>1294</v>
      </c>
      <c r="F2392" s="1">
        <v>4.0</v>
      </c>
      <c r="G2392" s="3" t="s">
        <v>7969</v>
      </c>
    </row>
    <row r="2393">
      <c r="A2393" s="3" t="s">
        <v>8105</v>
      </c>
      <c r="B2393" s="4" t="str">
        <f>IFERROR(__xludf.DUMMYFUNCTION("GOOGLETRANSLATE(A2393, ""en"", ""te"")"),"దీప్ పావ్ భాజీ")</f>
        <v>దీప్ పావ్ భాజీ</v>
      </c>
      <c r="C2393" s="4" t="str">
        <f>IFERROR(__xludf.DUMMYFUNCTION("GOOGLETRANSLATE(A2393, ""en"", ""hi"")"),"दीप पाव भाजी")</f>
        <v>दीप पाव भाजी</v>
      </c>
      <c r="D2393" s="2" t="s">
        <v>6866</v>
      </c>
      <c r="E2393" s="2" t="s">
        <v>351</v>
      </c>
      <c r="F2393" s="1">
        <v>4.0</v>
      </c>
      <c r="G2393" s="3" t="s">
        <v>7969</v>
      </c>
    </row>
    <row r="2394">
      <c r="A2394" s="3" t="s">
        <v>8106</v>
      </c>
      <c r="B2394" s="4" t="str">
        <f>IFERROR(__xludf.DUMMYFUNCTION("GOOGLETRANSLATE(A2394, ""en"", ""te"")"),"డీప్ రాజ్మా మసాలా")</f>
        <v>డీప్ రాజ్మా మసాలా</v>
      </c>
      <c r="C2394" s="4" t="str">
        <f>IFERROR(__xludf.DUMMYFUNCTION("GOOGLETRANSLATE(A2394, ""en"", ""hi"")"),"दीप राजमा मसाला")</f>
        <v>दीप राजमा मसाला</v>
      </c>
      <c r="D2394" s="2" t="s">
        <v>8107</v>
      </c>
      <c r="E2394" s="2" t="s">
        <v>1038</v>
      </c>
      <c r="F2394" s="1">
        <v>4.0</v>
      </c>
      <c r="G2394" s="3" t="s">
        <v>7969</v>
      </c>
    </row>
    <row r="2395">
      <c r="A2395" s="3" t="s">
        <v>8108</v>
      </c>
      <c r="B2395" s="4" t="str">
        <f>IFERROR(__xludf.DUMMYFUNCTION("GOOGLETRANSLATE(A2395, ""en"", ""te"")"),"డి మటర్ పనీర్")</f>
        <v>డి మటర్ పనీర్</v>
      </c>
      <c r="C2395" s="4" t="str">
        <f>IFERROR(__xludf.DUMMYFUNCTION("GOOGLETRANSLATE(A2395, ""en"", ""hi"")"),"डी मटर पनीर")</f>
        <v>डी मटर पनीर</v>
      </c>
      <c r="D2395" s="2" t="s">
        <v>8104</v>
      </c>
      <c r="E2395" s="2" t="s">
        <v>1038</v>
      </c>
      <c r="F2395" s="1">
        <v>4.0</v>
      </c>
      <c r="G2395" s="3" t="s">
        <v>7969</v>
      </c>
    </row>
    <row r="2396">
      <c r="A2396" s="3" t="s">
        <v>8109</v>
      </c>
      <c r="B2396" s="4" t="str">
        <f>IFERROR(__xludf.DUMMYFUNCTION("GOOGLETRANSLATE(A2396, ""en"", ""te"")"),"డి దాల్ తడ్కా")</f>
        <v>డి దాల్ తడ్కా</v>
      </c>
      <c r="C2396" s="4" t="str">
        <f>IFERROR(__xludf.DUMMYFUNCTION("GOOGLETRANSLATE(A2396, ""en"", ""hi"")"),"डी दाल तड़का")</f>
        <v>डी दाल तड़का</v>
      </c>
      <c r="D2396" s="2" t="s">
        <v>8110</v>
      </c>
      <c r="E2396" s="2" t="s">
        <v>1038</v>
      </c>
      <c r="F2396" s="1">
        <v>4.0</v>
      </c>
      <c r="G2396" s="3" t="s">
        <v>7969</v>
      </c>
    </row>
    <row r="2397">
      <c r="A2397" s="3" t="s">
        <v>8111</v>
      </c>
      <c r="B2397" s="4" t="str">
        <f>IFERROR(__xludf.DUMMYFUNCTION("GOOGLETRANSLATE(A2397, ""en"", ""te"")"),"హెచ్ కడాయి పనీర్")</f>
        <v>హెచ్ కడాయి పనీర్</v>
      </c>
      <c r="C2397" s="4" t="str">
        <f>IFERROR(__xludf.DUMMYFUNCTION("GOOGLETRANSLATE(A2397, ""en"", ""hi"")"),"एच कढ़ाई पनीर")</f>
        <v>एच कढ़ाई पनीर</v>
      </c>
      <c r="D2397" s="2" t="s">
        <v>1961</v>
      </c>
      <c r="E2397" s="2" t="s">
        <v>2369</v>
      </c>
      <c r="F2397" s="1">
        <v>4.0</v>
      </c>
      <c r="G2397" s="3" t="s">
        <v>7969</v>
      </c>
    </row>
    <row r="2398">
      <c r="A2398" s="3" t="s">
        <v>8112</v>
      </c>
      <c r="B2398" s="4" t="str">
        <f>IFERROR(__xludf.DUMMYFUNCTION("GOOGLETRANSLATE(A2398, ""en"", ""te"")"),"దీప్ పాత్ర")</f>
        <v>దీప్ పాత్ర</v>
      </c>
      <c r="C2398" s="4" t="str">
        <f>IFERROR(__xludf.DUMMYFUNCTION("GOOGLETRANSLATE(A2398, ""en"", ""hi"")"),"दीप पात्रा")</f>
        <v>दीप पात्रा</v>
      </c>
      <c r="D2398" s="2" t="s">
        <v>8113</v>
      </c>
      <c r="E2398" s="2" t="s">
        <v>2649</v>
      </c>
      <c r="F2398" s="1">
        <v>4.0</v>
      </c>
      <c r="G2398" s="3" t="s">
        <v>7969</v>
      </c>
    </row>
    <row r="2399">
      <c r="A2399" s="3" t="s">
        <v>8114</v>
      </c>
      <c r="B2399" s="4" t="str">
        <f>IFERROR(__xludf.DUMMYFUNCTION("GOOGLETRANSLATE(A2399, ""en"", ""te"")"),"దీప్ గారి గుజరాతీ")</f>
        <v>దీప్ గారి గుజరాతీ</v>
      </c>
      <c r="C2399" s="4" t="str">
        <f>IFERROR(__xludf.DUMMYFUNCTION("GOOGLETRANSLATE(A2399, ""en"", ""hi"")"),"दीप गारी गुजराती")</f>
        <v>दीप गारी गुजराती</v>
      </c>
      <c r="D2399" s="2" t="s">
        <v>8115</v>
      </c>
      <c r="E2399" s="2" t="s">
        <v>3438</v>
      </c>
      <c r="F2399" s="1">
        <v>4.0</v>
      </c>
      <c r="G2399" s="3" t="s">
        <v>7969</v>
      </c>
    </row>
    <row r="2400">
      <c r="A2400" s="3" t="s">
        <v>8116</v>
      </c>
      <c r="B2400" s="4" t="str">
        <f>IFERROR(__xludf.DUMMYFUNCTION("GOOGLETRANSLATE(A2400, ""en"", ""te"")"),"దీప్ ఉంధియు")</f>
        <v>దీప్ ఉంధియు</v>
      </c>
      <c r="C2400" s="4" t="str">
        <f>IFERROR(__xludf.DUMMYFUNCTION("GOOGLETRANSLATE(A2400, ""en"", ""hi"")"),"दीप उंधियु")</f>
        <v>दीप उंधियु</v>
      </c>
      <c r="D2400" s="2" t="s">
        <v>3484</v>
      </c>
      <c r="E2400" s="2" t="s">
        <v>940</v>
      </c>
      <c r="F2400" s="1">
        <v>4.0</v>
      </c>
      <c r="G2400" s="3" t="s">
        <v>7969</v>
      </c>
    </row>
    <row r="2401">
      <c r="A2401" s="3" t="s">
        <v>2637</v>
      </c>
      <c r="B2401" s="4" t="str">
        <f>IFERROR(__xludf.DUMMYFUNCTION("GOOGLETRANSLATE(A2401, ""en"", ""te"")"),"డీప్ పనీర్ పరాఠా")</f>
        <v>డీప్ పనీర్ పరాఠా</v>
      </c>
      <c r="C2401" s="4" t="str">
        <f>IFERROR(__xludf.DUMMYFUNCTION("GOOGLETRANSLATE(A2401, ""en"", ""hi"")"),"डीप पनीर पराठा")</f>
        <v>डीप पनीर पराठा</v>
      </c>
      <c r="D2401" s="2" t="s">
        <v>8117</v>
      </c>
      <c r="E2401" s="2" t="s">
        <v>940</v>
      </c>
      <c r="F2401" s="1">
        <v>4.0</v>
      </c>
      <c r="G2401" s="3" t="s">
        <v>7969</v>
      </c>
    </row>
    <row r="2402">
      <c r="A2402" s="3" t="s">
        <v>8118</v>
      </c>
      <c r="B2402" s="4" t="str">
        <f>IFERROR(__xludf.DUMMYFUNCTION("GOOGLETRANSLATE(A2402, ""en"", ""te"")"),"డీప్ తేప్లా")</f>
        <v>డీప్ తేప్లా</v>
      </c>
      <c r="C2402" s="4" t="str">
        <f>IFERROR(__xludf.DUMMYFUNCTION("GOOGLETRANSLATE(A2402, ""en"", ""hi"")"),"डीप थेपला")</f>
        <v>डीप थेपला</v>
      </c>
      <c r="D2402" s="5"/>
      <c r="E2402" s="2" t="s">
        <v>940</v>
      </c>
      <c r="F2402" s="1">
        <v>4.0</v>
      </c>
      <c r="G2402" s="3" t="s">
        <v>7969</v>
      </c>
    </row>
    <row r="2403">
      <c r="A2403" s="3" t="s">
        <v>8119</v>
      </c>
      <c r="B2403" s="4" t="str">
        <f>IFERROR(__xludf.DUMMYFUNCTION("GOOGLETRANSLATE(A2403, ""en"", ""te"")"),"డి బాత్రా రోట్లా")</f>
        <v>డి బాత్రా రోట్లా</v>
      </c>
      <c r="C2403" s="4" t="str">
        <f>IFERROR(__xludf.DUMMYFUNCTION("GOOGLETRANSLATE(A2403, ""en"", ""hi"")"),"डी बत्रा रोटला")</f>
        <v>डी बत्रा रोटला</v>
      </c>
      <c r="D2403" s="2" t="s">
        <v>8079</v>
      </c>
      <c r="E2403" s="2" t="s">
        <v>2649</v>
      </c>
      <c r="F2403" s="1">
        <v>4.0</v>
      </c>
      <c r="G2403" s="3" t="s">
        <v>7969</v>
      </c>
    </row>
    <row r="2404">
      <c r="A2404" s="3" t="s">
        <v>8120</v>
      </c>
      <c r="B2404" s="4" t="str">
        <f>IFERROR(__xludf.DUMMYFUNCTION("GOOGLETRANSLATE(A2404, ""en"", ""te"")"),"సుర్తి ఖమన్")</f>
        <v>సుర్తి ఖమన్</v>
      </c>
      <c r="C2404" s="4" t="str">
        <f>IFERROR(__xludf.DUMMYFUNCTION("GOOGLETRANSLATE(A2404, ""en"", ""hi"")"),"सुरती खमान")</f>
        <v>सुरती खमान</v>
      </c>
      <c r="D2404" s="2" t="s">
        <v>6727</v>
      </c>
      <c r="E2404" s="2" t="s">
        <v>940</v>
      </c>
      <c r="F2404" s="1">
        <v>4.0</v>
      </c>
      <c r="G2404" s="3" t="s">
        <v>7969</v>
      </c>
    </row>
    <row r="2405">
      <c r="A2405" s="3" t="s">
        <v>8121</v>
      </c>
      <c r="B2405" s="4" t="str">
        <f>IFERROR(__xludf.DUMMYFUNCTION("GOOGLETRANSLATE(A2405, ""en"", ""te"")"),"డీప్ ఆలూ పూరీ")</f>
        <v>డీప్ ఆలూ పూరీ</v>
      </c>
      <c r="C2405" s="4" t="str">
        <f>IFERROR(__xludf.DUMMYFUNCTION("GOOGLETRANSLATE(A2405, ""en"", ""hi"")"),"डीप आलू पूरी")</f>
        <v>डीप आलू पूरी</v>
      </c>
      <c r="D2405" s="5"/>
      <c r="E2405" s="2" t="s">
        <v>940</v>
      </c>
      <c r="F2405" s="1">
        <v>4.0</v>
      </c>
      <c r="G2405" s="3" t="s">
        <v>7969</v>
      </c>
    </row>
    <row r="2406">
      <c r="A2406" s="3" t="s">
        <v>8122</v>
      </c>
      <c r="B2406" s="4" t="str">
        <f>IFERROR(__xludf.DUMMYFUNCTION("GOOGLETRANSLATE(A2406, ""en"", ""te"")"),"డీప్ తురిచ్ మసాలా")</f>
        <v>డీప్ తురిచ్ మసాలా</v>
      </c>
      <c r="C2406" s="4" t="str">
        <f>IFERROR(__xludf.DUMMYFUNCTION("GOOGLETRANSLATE(A2406, ""en"", ""hi"")"),"डीप तुरिच मसाला")</f>
        <v>डीप तुरिच मसाला</v>
      </c>
      <c r="D2406" s="2" t="s">
        <v>1655</v>
      </c>
      <c r="E2406" s="2" t="s">
        <v>442</v>
      </c>
      <c r="F2406" s="1">
        <v>4.0</v>
      </c>
      <c r="G2406" s="3" t="s">
        <v>7969</v>
      </c>
    </row>
    <row r="2407">
      <c r="A2407" s="3" t="s">
        <v>8123</v>
      </c>
      <c r="B2407" s="4" t="str">
        <f>IFERROR(__xludf.DUMMYFUNCTION("GOOGLETRANSLATE(A2407, ""en"", ""te"")"),"డీప్ పకోరా పాలకూర")</f>
        <v>డీప్ పకోరా పాలకూర</v>
      </c>
      <c r="C2407" s="4" t="str">
        <f>IFERROR(__xludf.DUMMYFUNCTION("GOOGLETRANSLATE(A2407, ""en"", ""hi"")"),"डीप पकोड़ा पालक")</f>
        <v>डीप पकोड़ा पालक</v>
      </c>
      <c r="D2407" s="5"/>
      <c r="E2407" s="2" t="s">
        <v>940</v>
      </c>
      <c r="F2407" s="1">
        <v>4.0</v>
      </c>
      <c r="G2407" s="3" t="s">
        <v>7969</v>
      </c>
    </row>
    <row r="2408">
      <c r="A2408" s="3" t="s">
        <v>8124</v>
      </c>
      <c r="B2408" s="4" t="str">
        <f>IFERROR(__xludf.DUMMYFUNCTION("GOOGLETRANSLATE(A2408, ""en"", ""te"")"),"డీప్ రుమాలి రోటి")</f>
        <v>డీప్ రుమాలి రోటి</v>
      </c>
      <c r="C2408" s="4" t="str">
        <f>IFERROR(__xludf.DUMMYFUNCTION("GOOGLETRANSLATE(A2408, ""en"", ""hi"")"),"डीप रुमाली रोटी")</f>
        <v>डीप रुमाली रोटी</v>
      </c>
      <c r="D2408" s="2" t="s">
        <v>6123</v>
      </c>
      <c r="E2408" s="2" t="s">
        <v>2649</v>
      </c>
      <c r="F2408" s="1">
        <v>4.0</v>
      </c>
      <c r="G2408" s="3" t="s">
        <v>7969</v>
      </c>
    </row>
    <row r="2409">
      <c r="A2409" s="3" t="s">
        <v>8125</v>
      </c>
      <c r="B2409" s="4" t="str">
        <f>IFERROR(__xludf.DUMMYFUNCTION("GOOGLETRANSLATE(A2409, ""en"", ""te"")"),"డీప్ శాండ్‌విచ్ ధోక్లా")</f>
        <v>డీప్ శాండ్‌విచ్ ధోక్లా</v>
      </c>
      <c r="C2409" s="4" t="str">
        <f>IFERROR(__xludf.DUMMYFUNCTION("GOOGLETRANSLATE(A2409, ""en"", ""hi"")"),"डीप सैंडविच ढोकला")</f>
        <v>डीप सैंडविच ढोकला</v>
      </c>
      <c r="D2409" s="5"/>
      <c r="E2409" s="2" t="s">
        <v>940</v>
      </c>
      <c r="F2409" s="1">
        <v>4.0</v>
      </c>
      <c r="G2409" s="3" t="s">
        <v>7969</v>
      </c>
    </row>
    <row r="2410">
      <c r="A2410" s="3" t="s">
        <v>8126</v>
      </c>
      <c r="B2410" s="4" t="str">
        <f>IFERROR(__xludf.DUMMYFUNCTION("GOOGLETRANSLATE(A2410, ""en"", ""te"")"),"డి మేథి గోటా")</f>
        <v>డి మేథి గోటా</v>
      </c>
      <c r="C2410" s="4" t="str">
        <f>IFERROR(__xludf.DUMMYFUNCTION("GOOGLETRANSLATE(A2410, ""en"", ""hi"")"),"डी मेथी गोटा")</f>
        <v>डी मेथी गोटा</v>
      </c>
      <c r="D2410" s="5"/>
      <c r="E2410" s="2" t="s">
        <v>2700</v>
      </c>
      <c r="F2410" s="1">
        <v>4.0</v>
      </c>
      <c r="G2410" s="3" t="s">
        <v>7969</v>
      </c>
    </row>
    <row r="2411">
      <c r="A2411" s="3" t="s">
        <v>8127</v>
      </c>
      <c r="B2411" s="4" t="str">
        <f>IFERROR(__xludf.DUMMYFUNCTION("GOOGLETRANSLATE(A2411, ""en"", ""te"")"),"డి ముతియా")</f>
        <v>డి ముతియా</v>
      </c>
      <c r="C2411" s="4" t="str">
        <f>IFERROR(__xludf.DUMMYFUNCTION("GOOGLETRANSLATE(A2411, ""en"", ""hi"")"),"डी मुथिया")</f>
        <v>डी मुथिया</v>
      </c>
      <c r="D2411" s="5"/>
      <c r="E2411" s="2" t="s">
        <v>2700</v>
      </c>
      <c r="F2411" s="1">
        <v>4.0</v>
      </c>
      <c r="G2411" s="3" t="s">
        <v>7969</v>
      </c>
    </row>
    <row r="2412">
      <c r="A2412" s="3" t="s">
        <v>7465</v>
      </c>
      <c r="B2412" s="4" t="str">
        <f>IFERROR(__xludf.DUMMYFUNCTION("GOOGLETRANSLATE(A2412, ""en"", ""te"")"),"మెథి తేప్లా")</f>
        <v>మెథి తేప్లా</v>
      </c>
      <c r="C2412" s="4" t="str">
        <f>IFERROR(__xludf.DUMMYFUNCTION("GOOGLETRANSLATE(A2412, ""en"", ""hi"")"),"मेथी थेपला")</f>
        <v>मेथी थेपला</v>
      </c>
      <c r="D2412" s="5"/>
      <c r="E2412" s="2" t="s">
        <v>2649</v>
      </c>
      <c r="F2412" s="1">
        <v>4.0</v>
      </c>
      <c r="G2412" s="3" t="s">
        <v>7969</v>
      </c>
    </row>
    <row r="2413">
      <c r="A2413" s="3" t="s">
        <v>8128</v>
      </c>
      <c r="B2413" s="4" t="str">
        <f>IFERROR(__xludf.DUMMYFUNCTION("GOOGLETRANSLATE(A2413, ""en"", ""te"")"),"పరాఠా మైదానం")</f>
        <v>పరాఠా మైదానం</v>
      </c>
      <c r="C2413" s="4" t="str">
        <f>IFERROR(__xludf.DUMMYFUNCTION("GOOGLETRANSLATE(A2413, ""en"", ""hi"")"),"पराठा प्लेन")</f>
        <v>पराठा प्लेन</v>
      </c>
      <c r="D2413" s="2" t="s">
        <v>8082</v>
      </c>
      <c r="E2413" s="2" t="s">
        <v>67</v>
      </c>
      <c r="F2413" s="1">
        <v>4.0</v>
      </c>
      <c r="G2413" s="3" t="s">
        <v>7969</v>
      </c>
    </row>
    <row r="2414">
      <c r="A2414" s="3" t="s">
        <v>8129</v>
      </c>
      <c r="B2414" s="4" t="str">
        <f>IFERROR(__xludf.DUMMYFUNCTION("GOOGLETRANSLATE(A2414, ""en"", ""te"")"),"మినిట్ ఖానా చోలే కుల్చా")</f>
        <v>మినిట్ ఖానా చోలే కుల్చా</v>
      </c>
      <c r="C2414" s="4" t="str">
        <f>IFERROR(__xludf.DUMMYFUNCTION("GOOGLETRANSLATE(A2414, ""en"", ""hi"")"),"मिनट खाना छोले कुलचा")</f>
        <v>मिनट खाना छोले कुलचा</v>
      </c>
      <c r="D2414" s="5"/>
      <c r="E2414" s="2" t="s">
        <v>940</v>
      </c>
      <c r="F2414" s="1">
        <v>4.0</v>
      </c>
      <c r="G2414" s="3" t="s">
        <v>7969</v>
      </c>
    </row>
    <row r="2415">
      <c r="A2415" s="3" t="s">
        <v>8130</v>
      </c>
      <c r="B2415" s="4" t="str">
        <f>IFERROR(__xludf.DUMMYFUNCTION("GOOGLETRANSLATE(A2415, ""en"", ""te"")"),"డీప్ పంజాబీ సమోసా")</f>
        <v>డీప్ పంజాబీ సమోసా</v>
      </c>
      <c r="C2415" s="4" t="str">
        <f>IFERROR(__xludf.DUMMYFUNCTION("GOOGLETRANSLATE(A2415, ""en"", ""hi"")"),"डीप पंजाबी समोसा")</f>
        <v>डीप पंजाबी समोसा</v>
      </c>
      <c r="D2415" s="2" t="s">
        <v>7879</v>
      </c>
      <c r="E2415" s="2" t="s">
        <v>1294</v>
      </c>
      <c r="F2415" s="1">
        <v>4.0</v>
      </c>
      <c r="G2415" s="3" t="s">
        <v>7969</v>
      </c>
    </row>
    <row r="2416">
      <c r="A2416" s="3" t="s">
        <v>8131</v>
      </c>
      <c r="B2416" s="4" t="str">
        <f>IFERROR(__xludf.DUMMYFUNCTION("GOOGLETRANSLATE(A2416, ""en"", ""te"")"),"హల్దీరామ్ యొక్క నిమిషం ఖానా పంజాబీ సమోసా")</f>
        <v>హల్దీరామ్ యొక్క నిమిషం ఖానా పంజాబీ సమోసా</v>
      </c>
      <c r="C2416" s="4" t="str">
        <f>IFERROR(__xludf.DUMMYFUNCTION("GOOGLETRANSLATE(A2416, ""en"", ""hi"")"),"हल्दीराम मिनट खाना पंजाबी समोसा")</f>
        <v>हल्दीराम मिनट खाना पंजाबी समोसा</v>
      </c>
      <c r="D2416" s="2" t="s">
        <v>7879</v>
      </c>
      <c r="E2416" s="2" t="s">
        <v>1294</v>
      </c>
      <c r="F2416" s="1">
        <v>4.0</v>
      </c>
      <c r="G2416" s="3" t="s">
        <v>7969</v>
      </c>
    </row>
    <row r="2417">
      <c r="A2417" s="3" t="s">
        <v>8132</v>
      </c>
      <c r="B2417" s="4" t="str">
        <f>IFERROR(__xludf.DUMMYFUNCTION("GOOGLETRANSLATE(A2417, ""en"", ""te"")"),"దీప్ జి చనా జోర్ గరం")</f>
        <v>దీప్ జి చనా జోర్ గరం</v>
      </c>
      <c r="C2417" s="4" t="str">
        <f>IFERROR(__xludf.DUMMYFUNCTION("GOOGLETRANSLATE(A2417, ""en"", ""hi"")"),"दीप जी चना जोर गरम")</f>
        <v>दीप जी चना जोर गरम</v>
      </c>
      <c r="D2417" s="2" t="s">
        <v>7847</v>
      </c>
      <c r="E2417" s="2" t="s">
        <v>940</v>
      </c>
      <c r="F2417" s="1">
        <v>4.0</v>
      </c>
      <c r="G2417" s="3" t="s">
        <v>8133</v>
      </c>
    </row>
    <row r="2418">
      <c r="A2418" s="3" t="s">
        <v>8134</v>
      </c>
      <c r="B2418" s="4" t="str">
        <f>IFERROR(__xludf.DUMMYFUNCTION("GOOGLETRANSLATE(A2418, ""en"", ""te"")"),"భగవతి ముతియా")</f>
        <v>భగవతి ముతియా</v>
      </c>
      <c r="C2418" s="4" t="str">
        <f>IFERROR(__xludf.DUMMYFUNCTION("GOOGLETRANSLATE(A2418, ""en"", ""hi"")"),"भगवती मुठिया")</f>
        <v>भगवती मुठिया</v>
      </c>
      <c r="D2418" s="2" t="s">
        <v>7906</v>
      </c>
      <c r="E2418" s="2" t="s">
        <v>940</v>
      </c>
      <c r="F2418" s="1">
        <v>4.0</v>
      </c>
      <c r="G2418" s="3" t="s">
        <v>8133</v>
      </c>
    </row>
    <row r="2419">
      <c r="A2419" s="3" t="s">
        <v>8135</v>
      </c>
      <c r="B2419" s="4" t="str">
        <f>IFERROR(__xludf.DUMMYFUNCTION("GOOGLETRANSLATE(A2419, ""en"", ""te"")"),"హల్దీరామ్ యొక్క నిమిషం ఖానా దాల్ తడ్కా")</f>
        <v>హల్దీరామ్ యొక్క నిమిషం ఖానా దాల్ తడ్కా</v>
      </c>
      <c r="C2419" s="4" t="str">
        <f>IFERROR(__xludf.DUMMYFUNCTION("GOOGLETRANSLATE(A2419, ""en"", ""hi"")"),"हल्दीराम मिनट खाना दाल तड़का")</f>
        <v>हल्दीराम मिनट खाना दाल तड़का</v>
      </c>
      <c r="D2419" s="2" t="s">
        <v>7847</v>
      </c>
      <c r="E2419" s="2" t="s">
        <v>940</v>
      </c>
      <c r="F2419" s="1">
        <v>4.0</v>
      </c>
      <c r="G2419" s="3" t="s">
        <v>7969</v>
      </c>
    </row>
    <row r="2420">
      <c r="A2420" s="3" t="s">
        <v>8136</v>
      </c>
      <c r="B2420" s="4" t="str">
        <f>IFERROR(__xludf.DUMMYFUNCTION("GOOGLETRANSLATE(A2420, ""en"", ""te"")"),"దీప్ బైంగన్ భర్తా")</f>
        <v>దీప్ బైంగన్ భర్తా</v>
      </c>
      <c r="C2420" s="4" t="str">
        <f>IFERROR(__xludf.DUMMYFUNCTION("GOOGLETRANSLATE(A2420, ""en"", ""hi"")"),"दीप बैंगन भर्ता")</f>
        <v>दीप बैंगन भर्ता</v>
      </c>
      <c r="D2420" s="5"/>
      <c r="E2420" s="2" t="s">
        <v>940</v>
      </c>
      <c r="F2420" s="1">
        <v>4.0</v>
      </c>
      <c r="G2420" s="3" t="s">
        <v>7969</v>
      </c>
    </row>
    <row r="2421">
      <c r="A2421" s="3" t="s">
        <v>8137</v>
      </c>
      <c r="B2421" s="4" t="str">
        <f>IFERROR(__xludf.DUMMYFUNCTION("GOOGLETRANSLATE(A2421, ""en"", ""te"")"),"డీప్ పనీర్ టిక్కా మసాలా")</f>
        <v>డీప్ పనీర్ టిక్కా మసాలా</v>
      </c>
      <c r="C2421" s="4" t="str">
        <f>IFERROR(__xludf.DUMMYFUNCTION("GOOGLETRANSLATE(A2421, ""en"", ""hi"")"),"डीप पनीर टिक्का मसाला")</f>
        <v>डीप पनीर टिक्का मसाला</v>
      </c>
      <c r="D2421" s="5"/>
      <c r="E2421" s="2" t="s">
        <v>940</v>
      </c>
      <c r="F2421" s="1">
        <v>4.0</v>
      </c>
      <c r="G2421" s="3" t="s">
        <v>7969</v>
      </c>
    </row>
    <row r="2422">
      <c r="A2422" s="3" t="s">
        <v>8138</v>
      </c>
      <c r="B2422" s="4" t="str">
        <f>IFERROR(__xludf.DUMMYFUNCTION("GOOGLETRANSLATE(A2422, ""en"", ""te"")"),"డీప్ బనానా చిప్స్ (పెప్పర్)")</f>
        <v>డీప్ బనానా చిప్స్ (పెప్పర్)</v>
      </c>
      <c r="C2422" s="4" t="str">
        <f>IFERROR(__xludf.DUMMYFUNCTION("GOOGLETRANSLATE(A2422, ""en"", ""hi"")"),"डीप बनाना चिप्स (पेपर)")</f>
        <v>डीप बनाना चिप्स (पेपर)</v>
      </c>
      <c r="D2422" s="2" t="s">
        <v>4054</v>
      </c>
      <c r="E2422" s="2" t="s">
        <v>1294</v>
      </c>
      <c r="F2422" s="1">
        <v>4.0</v>
      </c>
      <c r="G2422" s="3" t="s">
        <v>7969</v>
      </c>
    </row>
    <row r="2423">
      <c r="A2423" s="3" t="s">
        <v>8139</v>
      </c>
      <c r="B2423" s="4" t="str">
        <f>IFERROR(__xludf.DUMMYFUNCTION("GOOGLETRANSLATE(A2423, ""en"", ""te"")"),"డీప్ ఆనియన్ పరాఠా")</f>
        <v>డీప్ ఆనియన్ పరాఠా</v>
      </c>
      <c r="C2423" s="4" t="str">
        <f>IFERROR(__xludf.DUMMYFUNCTION("GOOGLETRANSLATE(A2423, ""en"", ""hi"")"),"डीप अनियन पराठा")</f>
        <v>डीप अनियन पराठा</v>
      </c>
      <c r="D2423" s="2" t="s">
        <v>8140</v>
      </c>
      <c r="E2423" s="2" t="s">
        <v>940</v>
      </c>
      <c r="F2423" s="1">
        <v>4.0</v>
      </c>
      <c r="G2423" s="3" t="s">
        <v>7969</v>
      </c>
    </row>
    <row r="2424">
      <c r="A2424" s="3" t="s">
        <v>8141</v>
      </c>
      <c r="B2424" s="4" t="str">
        <f>IFERROR(__xludf.DUMMYFUNCTION("GOOGLETRANSLATE(A2424, ""en"", ""te"")"),"డీప్ మిక్స్డ్ వెజిటబుల్ పరాఠా")</f>
        <v>డీప్ మిక్స్డ్ వెజిటబుల్ పరాఠా</v>
      </c>
      <c r="C2424" s="4" t="str">
        <f>IFERROR(__xludf.DUMMYFUNCTION("GOOGLETRANSLATE(A2424, ""en"", ""hi"")"),"डीप मिक्स्ड वेजिटेबल पराठा")</f>
        <v>डीप मिक्स्ड वेजिटेबल पराठा</v>
      </c>
      <c r="D2424" s="2" t="s">
        <v>8142</v>
      </c>
      <c r="E2424" s="2" t="s">
        <v>940</v>
      </c>
      <c r="F2424" s="1">
        <v>4.0</v>
      </c>
      <c r="G2424" s="3" t="s">
        <v>7969</v>
      </c>
    </row>
    <row r="2425">
      <c r="A2425" s="3" t="s">
        <v>8143</v>
      </c>
      <c r="B2425" s="4" t="str">
        <f>IFERROR(__xludf.DUMMYFUNCTION("GOOGLETRANSLATE(A2425, ""en"", ""te"")"),"డీప్ లచ్చా పరాఠా")</f>
        <v>డీప్ లచ్చా పరాఠా</v>
      </c>
      <c r="C2425" s="4" t="str">
        <f>IFERROR(__xludf.DUMMYFUNCTION("GOOGLETRANSLATE(A2425, ""en"", ""hi"")"),"दीप लच्छा पराठा")</f>
        <v>दीप लच्छा पराठा</v>
      </c>
      <c r="D2425" s="2" t="s">
        <v>8144</v>
      </c>
      <c r="E2425" s="2" t="s">
        <v>940</v>
      </c>
      <c r="F2425" s="1">
        <v>4.0</v>
      </c>
      <c r="G2425" s="3" t="s">
        <v>7969</v>
      </c>
    </row>
    <row r="2426">
      <c r="A2426" s="3" t="s">
        <v>2305</v>
      </c>
      <c r="B2426" s="4" t="str">
        <f>IFERROR(__xludf.DUMMYFUNCTION("GOOGLETRANSLATE(A2426, ""en"", ""te"")"),"డీప్ ఆలూ పరాఠా")</f>
        <v>డీప్ ఆలూ పరాఠా</v>
      </c>
      <c r="C2426" s="4" t="str">
        <f>IFERROR(__xludf.DUMMYFUNCTION("GOOGLETRANSLATE(A2426, ""en"", ""hi"")"),"डीप आलू पराठा")</f>
        <v>डीप आलू पराठा</v>
      </c>
      <c r="D2426" s="5"/>
      <c r="E2426" s="2" t="s">
        <v>940</v>
      </c>
      <c r="F2426" s="1">
        <v>4.0</v>
      </c>
      <c r="G2426" s="3" t="s">
        <v>7969</v>
      </c>
    </row>
    <row r="2427">
      <c r="A2427" s="3" t="s">
        <v>8145</v>
      </c>
      <c r="B2427" s="4" t="str">
        <f>IFERROR(__xludf.DUMMYFUNCTION("GOOGLETRANSLATE(A2427, ""en"", ""te"")"),"డీప్ మసాలా దోస")</f>
        <v>డీప్ మసాలా దోస</v>
      </c>
      <c r="C2427" s="4" t="str">
        <f>IFERROR(__xludf.DUMMYFUNCTION("GOOGLETRANSLATE(A2427, ""en"", ""hi"")"),"डीप मसाला डोसा")</f>
        <v>डीप मसाला डोसा</v>
      </c>
      <c r="D2427" s="5"/>
      <c r="E2427" s="2" t="s">
        <v>940</v>
      </c>
      <c r="F2427" s="1">
        <v>4.0</v>
      </c>
      <c r="G2427" s="3" t="s">
        <v>7969</v>
      </c>
    </row>
    <row r="2428">
      <c r="A2428" s="3" t="s">
        <v>8146</v>
      </c>
      <c r="B2428" s="4" t="str">
        <f>IFERROR(__xludf.DUMMYFUNCTION("GOOGLETRANSLATE(A2428, ""en"", ""te"")"),"డీప్ ఆనియన్ ఉత్తప్పం")</f>
        <v>డీప్ ఆనియన్ ఉత్తప్పం</v>
      </c>
      <c r="C2428" s="4" t="str">
        <f>IFERROR(__xludf.DUMMYFUNCTION("GOOGLETRANSLATE(A2428, ""en"", ""hi"")"),"डीप अनियन उत्तपम")</f>
        <v>डीप अनियन उत्तपम</v>
      </c>
      <c r="D2428" s="2" t="s">
        <v>3445</v>
      </c>
      <c r="E2428" s="2" t="s">
        <v>940</v>
      </c>
      <c r="F2428" s="1">
        <v>4.0</v>
      </c>
      <c r="G2428" s="3" t="s">
        <v>7969</v>
      </c>
    </row>
    <row r="2429">
      <c r="A2429" s="3" t="s">
        <v>2587</v>
      </c>
      <c r="B2429" s="4" t="str">
        <f>IFERROR(__xludf.DUMMYFUNCTION("GOOGLETRANSLATE(A2429, ""en"", ""te"")"),"డీప్ మథియా")</f>
        <v>డీప్ మథియా</v>
      </c>
      <c r="C2429" s="4" t="str">
        <f>IFERROR(__xludf.DUMMYFUNCTION("GOOGLETRANSLATE(A2429, ""en"", ""hi"")"),"दीप मथिया")</f>
        <v>दीप मथिया</v>
      </c>
      <c r="D2429" s="5"/>
      <c r="E2429" s="2" t="s">
        <v>940</v>
      </c>
      <c r="F2429" s="1">
        <v>4.0</v>
      </c>
      <c r="G2429" s="3" t="s">
        <v>7969</v>
      </c>
    </row>
    <row r="2430">
      <c r="A2430" s="3" t="s">
        <v>2345</v>
      </c>
      <c r="B2430" s="4" t="str">
        <f>IFERROR(__xludf.DUMMYFUNCTION("GOOGLETRANSLATE(A2430, ""en"", ""te"")"),"దీప్ భటూరా")</f>
        <v>దీప్ భటూరా</v>
      </c>
      <c r="C2430" s="4" t="str">
        <f>IFERROR(__xludf.DUMMYFUNCTION("GOOGLETRANSLATE(A2430, ""en"", ""hi"")"),"दीप भटूरा")</f>
        <v>दीप भटूरा</v>
      </c>
      <c r="D2430" s="2" t="s">
        <v>8147</v>
      </c>
      <c r="E2430" s="2" t="s">
        <v>940</v>
      </c>
      <c r="F2430" s="1">
        <v>4.0</v>
      </c>
      <c r="G2430" s="3" t="s">
        <v>7969</v>
      </c>
    </row>
    <row r="2431">
      <c r="A2431" s="3" t="s">
        <v>3950</v>
      </c>
      <c r="B2431" s="4" t="str">
        <f>IFERROR(__xludf.DUMMYFUNCTION("GOOGLETRANSLATE(A2431, ""en"", ""te"")"),"కవాన్ చపాతీ")</f>
        <v>కవాన్ చపాతీ</v>
      </c>
      <c r="C2431" s="4" t="str">
        <f>IFERROR(__xludf.DUMMYFUNCTION("GOOGLETRANSLATE(A2431, ""en"", ""hi"")"),"कवान चपाती")</f>
        <v>कवान चपाती</v>
      </c>
      <c r="D2431" s="2" t="s">
        <v>8148</v>
      </c>
      <c r="E2431" s="2" t="s">
        <v>67</v>
      </c>
      <c r="F2431" s="1">
        <v>4.0</v>
      </c>
      <c r="G2431" s="3" t="s">
        <v>7969</v>
      </c>
    </row>
    <row r="2432">
      <c r="A2432" s="3" t="s">
        <v>8090</v>
      </c>
      <c r="B2432" s="4" t="str">
        <f>IFERROR(__xludf.DUMMYFUNCTION("GOOGLETRANSLATE(A2432, ""en"", ""te"")"),"డీప్ జలపెనో చీజ్ సమోసా")</f>
        <v>డీప్ జలపెనో చీజ్ సమోసా</v>
      </c>
      <c r="C2432" s="4" t="str">
        <f>IFERROR(__xludf.DUMMYFUNCTION("GOOGLETRANSLATE(A2432, ""en"", ""hi"")"),"डीप जलापेनो चीज़ समोसा")</f>
        <v>डीप जलापेनो चीज़ समोसा</v>
      </c>
      <c r="D2432" s="2" t="s">
        <v>7881</v>
      </c>
      <c r="E2432" s="2" t="s">
        <v>1294</v>
      </c>
      <c r="F2432" s="1">
        <v>4.0</v>
      </c>
      <c r="G2432" s="3" t="s">
        <v>8149</v>
      </c>
    </row>
    <row r="2433">
      <c r="A2433" s="3" t="s">
        <v>8150</v>
      </c>
      <c r="B2433" s="4" t="str">
        <f>IFERROR(__xludf.DUMMYFUNCTION("GOOGLETRANSLATE(A2433, ""en"", ""te"")"),"డీప్ కాక్‌టెయిల్ సమోసా")</f>
        <v>డీప్ కాక్‌టెయిల్ సమోసా</v>
      </c>
      <c r="C2433" s="4" t="str">
        <f>IFERROR(__xludf.DUMMYFUNCTION("GOOGLETRANSLATE(A2433, ""en"", ""hi"")"),"डीप कॉकटेल समोसा")</f>
        <v>डीप कॉकटेल समोसा</v>
      </c>
      <c r="D2433" s="2" t="s">
        <v>7879</v>
      </c>
      <c r="E2433" s="2" t="s">
        <v>1294</v>
      </c>
      <c r="F2433" s="1">
        <v>4.0</v>
      </c>
      <c r="G2433" s="3" t="s">
        <v>8151</v>
      </c>
    </row>
    <row r="2434">
      <c r="A2434" s="3" t="s">
        <v>8152</v>
      </c>
      <c r="B2434" s="4" t="str">
        <f>IFERROR(__xludf.DUMMYFUNCTION("GOOGLETRANSLATE(A2434, ""en"", ""te"")"),"హల్దీరామ్ మినిట్ ఖానా కాక్‌టెయిల్ సమోసా")</f>
        <v>హల్దీరామ్ మినిట్ ఖానా కాక్‌టెయిల్ సమోసా</v>
      </c>
      <c r="C2434" s="4" t="str">
        <f>IFERROR(__xludf.DUMMYFUNCTION("GOOGLETRANSLATE(A2434, ""en"", ""hi"")"),"हल्दीराम मिनट खाना कॉकटेल समोसा")</f>
        <v>हल्दीराम मिनट खाना कॉकटेल समोसा</v>
      </c>
      <c r="D2434" s="2" t="s">
        <v>7879</v>
      </c>
      <c r="E2434" s="2" t="s">
        <v>1294</v>
      </c>
      <c r="F2434" s="1">
        <v>4.0</v>
      </c>
      <c r="G2434" s="3" t="s">
        <v>8151</v>
      </c>
    </row>
    <row r="2435">
      <c r="A2435" s="3" t="s">
        <v>8153</v>
      </c>
      <c r="B2435" s="4" t="str">
        <f>IFERROR(__xludf.DUMMYFUNCTION("GOOGLETRANSLATE(A2435, ""en"", ""te"")"),"హల్దీరామ్ మినిట్ ఖానా పంజాబీ చోలే")</f>
        <v>హల్దీరామ్ మినిట్ ఖానా పంజాబీ చోలే</v>
      </c>
      <c r="C2435" s="4" t="str">
        <f>IFERROR(__xludf.DUMMYFUNCTION("GOOGLETRANSLATE(A2435, ""en"", ""hi"")"),"हल्दीराम मिनट खाना पंजाबी छोले")</f>
        <v>हल्दीराम मिनट खाना पंजाबी छोले</v>
      </c>
      <c r="D2435" s="2" t="s">
        <v>7879</v>
      </c>
      <c r="E2435" s="2" t="s">
        <v>1038</v>
      </c>
      <c r="F2435" s="1">
        <v>4.0</v>
      </c>
      <c r="G2435" s="3" t="s">
        <v>8151</v>
      </c>
    </row>
    <row r="2436">
      <c r="A2436" s="3" t="s">
        <v>8154</v>
      </c>
      <c r="B2436" s="4" t="str">
        <f>IFERROR(__xludf.DUMMYFUNCTION("GOOGLETRANSLATE(A2436, ""en"", ""te"")"),"హల్దీరామ్ మినిట్ ఖానా పంజాబీ సర్సన్ కా సాగ్")</f>
        <v>హల్దీరామ్ మినిట్ ఖానా పంజాబీ సర్సన్ కా సాగ్</v>
      </c>
      <c r="C2436" s="4" t="str">
        <f>IFERROR(__xludf.DUMMYFUNCTION("GOOGLETRANSLATE(A2436, ""en"", ""hi"")"),"हल्दीराम मिनट खाना पंजाबी सरसों का साग")</f>
        <v>हल्दीराम मिनट खाना पंजाबी सरसों का साग</v>
      </c>
      <c r="D2436" s="2" t="s">
        <v>7879</v>
      </c>
      <c r="E2436" s="2" t="s">
        <v>940</v>
      </c>
      <c r="F2436" s="1">
        <v>4.0</v>
      </c>
      <c r="G2436" s="3" t="s">
        <v>8151</v>
      </c>
    </row>
    <row r="2437">
      <c r="A2437" s="3" t="s">
        <v>8155</v>
      </c>
      <c r="B2437" s="4" t="str">
        <f>IFERROR(__xludf.DUMMYFUNCTION("GOOGLETRANSLATE(A2437, ""en"", ""te"")"),"హల్దీరామ్ మినిట్ ఖానా సంభార్")</f>
        <v>హల్దీరామ్ మినిట్ ఖానా సంభార్</v>
      </c>
      <c r="C2437" s="4" t="str">
        <f>IFERROR(__xludf.DUMMYFUNCTION("GOOGLETRANSLATE(A2437, ""en"", ""hi"")"),"हल्दीराम मिनट खाना सांभर")</f>
        <v>हल्दीराम मिनट खाना सांभर</v>
      </c>
      <c r="D2437" s="2" t="s">
        <v>7879</v>
      </c>
      <c r="E2437" s="2" t="s">
        <v>940</v>
      </c>
      <c r="F2437" s="1">
        <v>4.0</v>
      </c>
      <c r="G2437" s="3" t="s">
        <v>8151</v>
      </c>
    </row>
    <row r="2438">
      <c r="A2438" s="3" t="s">
        <v>8156</v>
      </c>
      <c r="B2438" s="4" t="str">
        <f>IFERROR(__xludf.DUMMYFUNCTION("GOOGLETRANSLATE(A2438, ""en"", ""te"")"),"లక్ష్మి షాహి మలై కోఫ్తా")</f>
        <v>లక్ష్మి షాహి మలై కోఫ్తా</v>
      </c>
      <c r="C2438" s="4" t="str">
        <f>IFERROR(__xludf.DUMMYFUNCTION("GOOGLETRANSLATE(A2438, ""en"", ""hi"")"),"लक्ष्मी शाही मलाई कोफ्ता")</f>
        <v>लक्ष्मी शाही मलाई कोफ्ता</v>
      </c>
      <c r="D2438" s="2" t="s">
        <v>7979</v>
      </c>
      <c r="E2438" s="2" t="s">
        <v>940</v>
      </c>
      <c r="F2438" s="1">
        <v>4.0</v>
      </c>
      <c r="G2438" s="3" t="s">
        <v>7969</v>
      </c>
    </row>
    <row r="2439">
      <c r="A2439" s="3" t="s">
        <v>8157</v>
      </c>
      <c r="B2439" s="4" t="str">
        <f>IFERROR(__xludf.DUMMYFUNCTION("GOOGLETRANSLATE(A2439, ""en"", ""te"")"),"లక్ష్మి మేతి మలై మాతర్")</f>
        <v>లక్ష్మి మేతి మలై మాతర్</v>
      </c>
      <c r="C2439" s="4" t="str">
        <f>IFERROR(__xludf.DUMMYFUNCTION("GOOGLETRANSLATE(A2439, ""en"", ""hi"")"),"लक्ष्मी मेथी मलाई मटर")</f>
        <v>लक्ष्मी मेथी मलाई मटर</v>
      </c>
      <c r="D2439" s="2" t="s">
        <v>8158</v>
      </c>
      <c r="E2439" s="2" t="s">
        <v>940</v>
      </c>
      <c r="F2439" s="1">
        <v>4.0</v>
      </c>
      <c r="G2439" s="3" t="s">
        <v>7969</v>
      </c>
    </row>
    <row r="2440">
      <c r="A2440" s="3" t="s">
        <v>8159</v>
      </c>
      <c r="B2440" s="4" t="str">
        <f>IFERROR(__xludf.DUMMYFUNCTION("GOOGLETRANSLATE(A2440, ""en"", ""te"")"),"లక్ష్మి షాహి పనీర్")</f>
        <v>లక్ష్మి షాహి పనీర్</v>
      </c>
      <c r="C2440" s="4" t="str">
        <f>IFERROR(__xludf.DUMMYFUNCTION("GOOGLETRANSLATE(A2440, ""en"", ""hi"")"),"लक्ष्मी शाही पनीर")</f>
        <v>लक्ष्मी शाही पनीर</v>
      </c>
      <c r="D2440" s="2" t="s">
        <v>8104</v>
      </c>
      <c r="E2440" s="2" t="s">
        <v>940</v>
      </c>
      <c r="F2440" s="1">
        <v>4.0</v>
      </c>
      <c r="G2440" s="3" t="s">
        <v>7969</v>
      </c>
    </row>
    <row r="2441">
      <c r="A2441" s="3" t="s">
        <v>8160</v>
      </c>
      <c r="B2441" s="4" t="str">
        <f>IFERROR(__xludf.DUMMYFUNCTION("GOOGLETRANSLATE(A2441, ""en"", ""te"")"),"లక్ష్మి పసుపు పప్పు తడ్కా")</f>
        <v>లక్ష్మి పసుపు పప్పు తడ్కా</v>
      </c>
      <c r="C2441" s="4" t="str">
        <f>IFERROR(__xludf.DUMMYFUNCTION("GOOGLETRANSLATE(A2441, ""en"", ""hi"")"),"लक्ष्मी येलो दाल तड़का")</f>
        <v>लक्ष्मी येलो दाल तड़का</v>
      </c>
      <c r="D2441" s="2" t="s">
        <v>3435</v>
      </c>
      <c r="E2441" s="2" t="s">
        <v>1038</v>
      </c>
      <c r="F2441" s="1">
        <v>4.0</v>
      </c>
      <c r="G2441" s="3" t="s">
        <v>7969</v>
      </c>
    </row>
    <row r="2442">
      <c r="A2442" s="3" t="s">
        <v>8161</v>
      </c>
      <c r="B2442" s="4" t="str">
        <f>IFERROR(__xludf.DUMMYFUNCTION("GOOGLETRANSLATE(A2442, ""en"", ""te"")"),"ఆశీర్వాద్ ఆలూ పరాఠా")</f>
        <v>ఆశీర్వాద్ ఆలూ పరాఠా</v>
      </c>
      <c r="C2442" s="4" t="str">
        <f>IFERROR(__xludf.DUMMYFUNCTION("GOOGLETRANSLATE(A2442, ""en"", ""hi"")"),"आशीर्वाद आलू पराठा")</f>
        <v>आशीर्वाद आलू पराठा</v>
      </c>
      <c r="D2442" s="2" t="s">
        <v>8162</v>
      </c>
      <c r="E2442" s="2" t="s">
        <v>67</v>
      </c>
      <c r="F2442" s="1">
        <v>4.0</v>
      </c>
      <c r="G2442" s="3" t="s">
        <v>7969</v>
      </c>
    </row>
    <row r="2443">
      <c r="A2443" s="3" t="s">
        <v>8163</v>
      </c>
      <c r="B2443" s="4" t="str">
        <f>IFERROR(__xludf.DUMMYFUNCTION("GOOGLETRANSLATE(A2443, ""en"", ""te"")"),"ఆశీర్వాద్ పనీర్ పరాఠా")</f>
        <v>ఆశీర్వాద్ పనీర్ పరాఠా</v>
      </c>
      <c r="C2443" s="4" t="str">
        <f>IFERROR(__xludf.DUMMYFUNCTION("GOOGLETRANSLATE(A2443, ""en"", ""hi"")"),"आशीर्वाद पनीर पराठा")</f>
        <v>आशीर्वाद पनीर पराठा</v>
      </c>
      <c r="D2443" s="2" t="s">
        <v>8164</v>
      </c>
      <c r="E2443" s="2" t="s">
        <v>4100</v>
      </c>
      <c r="F2443" s="1">
        <v>4.0</v>
      </c>
      <c r="G2443" s="3" t="s">
        <v>7969</v>
      </c>
    </row>
    <row r="2444">
      <c r="A2444" s="3" t="s">
        <v>8165</v>
      </c>
      <c r="B2444" s="4" t="str">
        <f>IFERROR(__xludf.DUMMYFUNCTION("GOOGLETRANSLATE(A2444, ""en"", ""te"")"),"డీప్ రైస్ రోటీ")</f>
        <v>డీప్ రైస్ రోటీ</v>
      </c>
      <c r="C2444" s="4" t="str">
        <f>IFERROR(__xludf.DUMMYFUNCTION("GOOGLETRANSLATE(A2444, ""en"", ""hi"")"),"डीप राइस रोटी")</f>
        <v>डीप राइस रोटी</v>
      </c>
      <c r="D2444" s="2" t="s">
        <v>38</v>
      </c>
      <c r="E2444" s="2" t="s">
        <v>9</v>
      </c>
      <c r="F2444" s="1">
        <v>4.0</v>
      </c>
      <c r="G2444" s="3" t="s">
        <v>7969</v>
      </c>
    </row>
    <row r="2445">
      <c r="A2445" s="3" t="s">
        <v>8166</v>
      </c>
      <c r="B2445" s="4" t="str">
        <f>IFERROR(__xludf.DUMMYFUNCTION("GOOGLETRANSLATE(A2445, ""en"", ""te"")"),"దీప్ ఇడ్లీ")</f>
        <v>దీప్ ఇడ్లీ</v>
      </c>
      <c r="C2445" s="4" t="str">
        <f>IFERROR(__xludf.DUMMYFUNCTION("GOOGLETRANSLATE(A2445, ""en"", ""hi"")"),"डीप इडली")</f>
        <v>डीप इडली</v>
      </c>
      <c r="D2445" s="2" t="s">
        <v>8167</v>
      </c>
      <c r="E2445" s="2" t="s">
        <v>2649</v>
      </c>
      <c r="F2445" s="1">
        <v>4.0</v>
      </c>
      <c r="G2445" s="3" t="s">
        <v>7969</v>
      </c>
    </row>
    <row r="2446">
      <c r="A2446" s="3" t="s">
        <v>8168</v>
      </c>
      <c r="B2446" s="4" t="str">
        <f>IFERROR(__xludf.DUMMYFUNCTION("GOOGLETRANSLATE(A2446, ""en"", ""te"")"),"డీప్ ఆనియన్ రవా మసాలా దోస")</f>
        <v>డీప్ ఆనియన్ రవా మసాలా దోస</v>
      </c>
      <c r="C2446" s="4" t="str">
        <f>IFERROR(__xludf.DUMMYFUNCTION("GOOGLETRANSLATE(A2446, ""en"", ""hi"")"),"डीप अनियन रवा मसाला डोसा")</f>
        <v>डीप अनियन रवा मसाला डोसा</v>
      </c>
      <c r="D2446" s="5"/>
      <c r="E2446" s="2" t="s">
        <v>940</v>
      </c>
      <c r="F2446" s="1">
        <v>4.0</v>
      </c>
      <c r="G2446" s="3" t="s">
        <v>7969</v>
      </c>
    </row>
    <row r="2447">
      <c r="A2447" s="3" t="s">
        <v>8169</v>
      </c>
      <c r="B2447" s="4" t="str">
        <f>IFERROR(__xludf.DUMMYFUNCTION("GOOGLETRANSLATE(A2447, ""en"", ""te"")"),"డీప్ పఫ్స్ పేస్ట్రీ షీట్లు")</f>
        <v>డీప్ పఫ్స్ పేస్ట్రీ షీట్లు</v>
      </c>
      <c r="C2447" s="4" t="str">
        <f>IFERROR(__xludf.DUMMYFUNCTION("GOOGLETRANSLATE(A2447, ""en"", ""hi"")"),"डीप पफ पेस्ट्री शीट")</f>
        <v>डीप पफ पेस्ट्री शीट</v>
      </c>
      <c r="D2447" s="5"/>
      <c r="E2447" s="2" t="s">
        <v>4100</v>
      </c>
      <c r="F2447" s="1">
        <v>4.0</v>
      </c>
      <c r="G2447" s="3" t="s">
        <v>7969</v>
      </c>
    </row>
    <row r="2448">
      <c r="A2448" s="3" t="s">
        <v>8093</v>
      </c>
      <c r="B2448" s="4" t="str">
        <f>IFERROR(__xludf.DUMMYFUNCTION("GOOGLETRANSLATE(A2448, ""en"", ""te"")"),"డీప్ మట్'న్ కీమా సమోసా")</f>
        <v>డీప్ మట్'న్ కీమా సమోసా</v>
      </c>
      <c r="C2448" s="4" t="str">
        <f>IFERROR(__xludf.DUMMYFUNCTION("GOOGLETRANSLATE(A2448, ""en"", ""hi"")"),"डीप मटन कीमा समोसा")</f>
        <v>डीप मटन कीमा समोसा</v>
      </c>
      <c r="D2448" s="2" t="s">
        <v>7879</v>
      </c>
      <c r="E2448" s="2" t="s">
        <v>1294</v>
      </c>
      <c r="F2448" s="1">
        <v>4.0</v>
      </c>
      <c r="G2448" s="3" t="s">
        <v>8149</v>
      </c>
    </row>
    <row r="2449">
      <c r="A2449" s="3" t="s">
        <v>8170</v>
      </c>
      <c r="B2449" s="4" t="str">
        <f>IFERROR(__xludf.DUMMYFUNCTION("GOOGLETRANSLATE(A2449, ""en"", ""te"")"),"డీప్ సమోసాలు")</f>
        <v>డీప్ సమోసాలు</v>
      </c>
      <c r="C2449" s="4" t="str">
        <f>IFERROR(__xludf.DUMMYFUNCTION("GOOGLETRANSLATE(A2449, ""en"", ""hi"")"),"डीप समोसे")</f>
        <v>डीप समोसे</v>
      </c>
      <c r="D2449" s="2" t="s">
        <v>7879</v>
      </c>
      <c r="E2449" s="2" t="s">
        <v>1294</v>
      </c>
      <c r="F2449" s="1">
        <v>4.0</v>
      </c>
      <c r="G2449" s="3" t="s">
        <v>8149</v>
      </c>
    </row>
    <row r="2450">
      <c r="A2450" s="3" t="s">
        <v>8087</v>
      </c>
      <c r="B2450" s="4" t="str">
        <f>IFERROR(__xludf.DUMMYFUNCTION("GOOGLETRANSLATE(A2450, ""en"", ""te"")"),"మినిట్ ఖానా కాక్‌టెయిల్ సమోసా")</f>
        <v>మినిట్ ఖానా కాక్‌టెయిల్ సమోసా</v>
      </c>
      <c r="C2450" s="4" t="str">
        <f>IFERROR(__xludf.DUMMYFUNCTION("GOOGLETRANSLATE(A2450, ""en"", ""hi"")"),"मिनट खाना कॉकटेल समोसा")</f>
        <v>मिनट खाना कॉकटेल समोसा</v>
      </c>
      <c r="D2450" s="2" t="s">
        <v>7879</v>
      </c>
      <c r="E2450" s="2" t="s">
        <v>1294</v>
      </c>
      <c r="F2450" s="1">
        <v>4.0</v>
      </c>
      <c r="G2450" s="3" t="s">
        <v>8149</v>
      </c>
    </row>
    <row r="2451">
      <c r="A2451" s="3" t="s">
        <v>8000</v>
      </c>
      <c r="B2451" s="4" t="str">
        <f>IFERROR(__xludf.DUMMYFUNCTION("GOOGLETRANSLATE(A2451, ""en"", ""te"")"),"మినిట్ ఖానా పంజాబీ చోలే")</f>
        <v>మినిట్ ఖానా పంజాబీ చోలే</v>
      </c>
      <c r="C2451" s="4" t="str">
        <f>IFERROR(__xludf.DUMMYFUNCTION("GOOGLETRANSLATE(A2451, ""en"", ""hi"")"),"मिनट खाना पंजाबी छोले")</f>
        <v>मिनट खाना पंजाबी छोले</v>
      </c>
      <c r="D2451" s="2" t="s">
        <v>3379</v>
      </c>
      <c r="E2451" s="2" t="s">
        <v>1038</v>
      </c>
      <c r="F2451" s="1">
        <v>4.0</v>
      </c>
      <c r="G2451" s="3" t="s">
        <v>8149</v>
      </c>
    </row>
    <row r="2452">
      <c r="A2452" s="3" t="s">
        <v>8171</v>
      </c>
      <c r="B2452" s="4" t="str">
        <f>IFERROR(__xludf.DUMMYFUNCTION("GOOGLETRANSLATE(A2452, ""en"", ""te"")"),"డీప్ మటర్ పనీర్")</f>
        <v>డీప్ మటర్ పనీర్</v>
      </c>
      <c r="C2452" s="4" t="str">
        <f>IFERROR(__xludf.DUMMYFUNCTION("GOOGLETRANSLATE(A2452, ""en"", ""hi"")"),"डीप मटर पनीर")</f>
        <v>डीप मटर पनीर</v>
      </c>
      <c r="D2452" s="2" t="s">
        <v>8104</v>
      </c>
      <c r="E2452" s="2" t="s">
        <v>940</v>
      </c>
      <c r="F2452" s="1">
        <v>4.0</v>
      </c>
      <c r="G2452" s="3" t="s">
        <v>8149</v>
      </c>
    </row>
    <row r="2453">
      <c r="A2453" s="3" t="s">
        <v>8099</v>
      </c>
      <c r="B2453" s="4" t="str">
        <f>IFERROR(__xludf.DUMMYFUNCTION("GOOGLETRANSLATE(A2453, ""en"", ""te"")"),"డీప్ పనీర్ మఖానీ")</f>
        <v>డీప్ పనీర్ మఖానీ</v>
      </c>
      <c r="C2453" s="4" t="str">
        <f>IFERROR(__xludf.DUMMYFUNCTION("GOOGLETRANSLATE(A2453, ""en"", ""hi"")"),"डीप पनीर मखानी")</f>
        <v>डीप पनीर मखानी</v>
      </c>
      <c r="D2453" s="2" t="s">
        <v>1961</v>
      </c>
      <c r="E2453" s="2" t="s">
        <v>940</v>
      </c>
      <c r="F2453" s="1">
        <v>4.0</v>
      </c>
      <c r="G2453" s="3" t="s">
        <v>8149</v>
      </c>
    </row>
    <row r="2454">
      <c r="A2454" s="3" t="s">
        <v>8172</v>
      </c>
      <c r="B2454" s="4" t="str">
        <f>IFERROR(__xludf.DUMMYFUNCTION("GOOGLETRANSLATE(A2454, ""en"", ""te"")"),"డీప్ పనీర్ మసాలా")</f>
        <v>డీప్ పనీర్ మసాలా</v>
      </c>
      <c r="C2454" s="4" t="str">
        <f>IFERROR(__xludf.DUMMYFUNCTION("GOOGLETRANSLATE(A2454, ""en"", ""hi"")"),"डीप पनीर मसाला")</f>
        <v>डीप पनीर मसाला</v>
      </c>
      <c r="D2454" s="5"/>
      <c r="E2454" s="2" t="s">
        <v>442</v>
      </c>
      <c r="F2454" s="1">
        <v>4.0</v>
      </c>
      <c r="G2454" s="3" t="s">
        <v>8149</v>
      </c>
    </row>
    <row r="2455">
      <c r="A2455" s="3" t="s">
        <v>8105</v>
      </c>
      <c r="B2455" s="4" t="str">
        <f>IFERROR(__xludf.DUMMYFUNCTION("GOOGLETRANSLATE(A2455, ""en"", ""te"")"),"దీప్ పావ్ భాజీ")</f>
        <v>దీప్ పావ్ భాజీ</v>
      </c>
      <c r="C2455" s="4" t="str">
        <f>IFERROR(__xludf.DUMMYFUNCTION("GOOGLETRANSLATE(A2455, ""en"", ""hi"")"),"दीप पाव भाजी")</f>
        <v>दीप पाव भाजी</v>
      </c>
      <c r="D2455" s="2" t="s">
        <v>6866</v>
      </c>
      <c r="E2455" s="2" t="s">
        <v>351</v>
      </c>
      <c r="F2455" s="1">
        <v>4.0</v>
      </c>
      <c r="G2455" s="3" t="s">
        <v>8149</v>
      </c>
    </row>
    <row r="2456">
      <c r="A2456" s="3" t="s">
        <v>8173</v>
      </c>
      <c r="B2456" s="4" t="str">
        <f>IFERROR(__xludf.DUMMYFUNCTION("GOOGLETRANSLATE(A2456, ""en"", ""te"")"),"డీప్ పంజాబీ చోలే")</f>
        <v>డీప్ పంజాబీ చోలే</v>
      </c>
      <c r="C2456" s="4" t="str">
        <f>IFERROR(__xludf.DUMMYFUNCTION("GOOGLETRANSLATE(A2456, ""en"", ""hi"")"),"दीप पंजाबी छोले")</f>
        <v>दीप पंजाबी छोले</v>
      </c>
      <c r="D2456" s="5"/>
      <c r="E2456" s="2" t="s">
        <v>940</v>
      </c>
      <c r="F2456" s="1">
        <v>4.0</v>
      </c>
      <c r="G2456" s="3" t="s">
        <v>8149</v>
      </c>
    </row>
    <row r="2457">
      <c r="A2457" s="3" t="s">
        <v>8174</v>
      </c>
      <c r="B2457" s="4" t="str">
        <f>IFERROR(__xludf.DUMMYFUNCTION("GOOGLETRANSLATE(A2457, ""en"", ""te"")"),"డీప్ షాహి పనీర్")</f>
        <v>డీప్ షాహి పనీర్</v>
      </c>
      <c r="C2457" s="4" t="str">
        <f>IFERROR(__xludf.DUMMYFUNCTION("GOOGLETRANSLATE(A2457, ""en"", ""hi"")"),"दीप शाही पनीर")</f>
        <v>दीप शाही पनीर</v>
      </c>
      <c r="D2457" s="2" t="s">
        <v>8104</v>
      </c>
      <c r="E2457" s="2" t="s">
        <v>940</v>
      </c>
      <c r="F2457" s="1">
        <v>4.0</v>
      </c>
      <c r="G2457" s="3" t="s">
        <v>8149</v>
      </c>
    </row>
    <row r="2458">
      <c r="A2458" s="3" t="s">
        <v>8175</v>
      </c>
      <c r="B2458" s="4" t="str">
        <f>IFERROR(__xludf.DUMMYFUNCTION("GOOGLETRANSLATE(A2458, ""en"", ""te"")"),"దీప్ గర్వి గుజరాత్ ఖమన్ ధోక్లా")</f>
        <v>దీప్ గర్వి గుజరాత్ ఖమన్ ధోక్లా</v>
      </c>
      <c r="C2458" s="4" t="str">
        <f>IFERROR(__xludf.DUMMYFUNCTION("GOOGLETRANSLATE(A2458, ""en"", ""hi"")"),"दीप गर्वी गुजरात खमण ढोकला")</f>
        <v>दीप गर्वी गुजरात खमण ढोकला</v>
      </c>
      <c r="D2458" s="5"/>
      <c r="E2458" s="2" t="s">
        <v>940</v>
      </c>
      <c r="F2458" s="1">
        <v>4.0</v>
      </c>
      <c r="G2458" s="3" t="s">
        <v>8149</v>
      </c>
    </row>
    <row r="2459">
      <c r="A2459" s="3" t="s">
        <v>8176</v>
      </c>
      <c r="B2459" s="4" t="str">
        <f>IFERROR(__xludf.DUMMYFUNCTION("GOOGLETRANSLATE(A2459, ""en"", ""te"")"),"దీప్ గర్వి గుజరాత్ పాత్ర")</f>
        <v>దీప్ గర్వి గుజరాత్ పాత్ర</v>
      </c>
      <c r="C2459" s="4" t="str">
        <f>IFERROR(__xludf.DUMMYFUNCTION("GOOGLETRANSLATE(A2459, ""en"", ""hi"")"),"दीप गरवी गुजरात पात्रा")</f>
        <v>दीप गरवी गुजरात पात्रा</v>
      </c>
      <c r="D2459" s="2" t="s">
        <v>7174</v>
      </c>
      <c r="E2459" s="2" t="s">
        <v>3438</v>
      </c>
      <c r="F2459" s="1">
        <v>4.0</v>
      </c>
      <c r="G2459" s="3" t="s">
        <v>8149</v>
      </c>
    </row>
    <row r="2460">
      <c r="A2460" s="3" t="s">
        <v>8163</v>
      </c>
      <c r="B2460" s="4" t="str">
        <f>IFERROR(__xludf.DUMMYFUNCTION("GOOGLETRANSLATE(A2460, ""en"", ""te"")"),"ఆశీర్వాద్ పనీర్ పరాఠా")</f>
        <v>ఆశీర్వాద్ పనీర్ పరాఠా</v>
      </c>
      <c r="C2460" s="4" t="str">
        <f>IFERROR(__xludf.DUMMYFUNCTION("GOOGLETRANSLATE(A2460, ""en"", ""hi"")"),"आशीर्वाद पनीर पराठा")</f>
        <v>आशीर्वाद पनीर पराठा</v>
      </c>
      <c r="D2460" s="2" t="s">
        <v>8164</v>
      </c>
      <c r="E2460" s="2" t="s">
        <v>4100</v>
      </c>
      <c r="F2460" s="1">
        <v>4.0</v>
      </c>
      <c r="G2460" s="3" t="s">
        <v>8149</v>
      </c>
    </row>
    <row r="2461">
      <c r="A2461" s="3" t="s">
        <v>8177</v>
      </c>
      <c r="B2461" s="4" t="str">
        <f>IFERROR(__xludf.DUMMYFUNCTION("GOOGLETRANSLATE(A2461, ""en"", ""te"")"),"డీప్ మిర్చ్ మసాలా ఆలూ పూరీ")</f>
        <v>డీప్ మిర్చ్ మసాలా ఆలూ పూరీ</v>
      </c>
      <c r="C2461" s="4" t="str">
        <f>IFERROR(__xludf.DUMMYFUNCTION("GOOGLETRANSLATE(A2461, ""en"", ""hi"")"),"डीप मिर्च मसाला आलू पूरी")</f>
        <v>डीप मिर्च मसाला आलू पूरी</v>
      </c>
      <c r="D2461" s="2" t="s">
        <v>6866</v>
      </c>
      <c r="E2461" s="2" t="s">
        <v>940</v>
      </c>
      <c r="F2461" s="1">
        <v>4.0</v>
      </c>
      <c r="G2461" s="3" t="s">
        <v>8149</v>
      </c>
    </row>
    <row r="2462">
      <c r="A2462" s="3" t="s">
        <v>8178</v>
      </c>
      <c r="B2462" s="4" t="str">
        <f>IFERROR(__xludf.DUMMYFUNCTION("GOOGLETRANSLATE(A2462, ""en"", ""te"")"),"వాదిలాల్ రుమాలి రోటి")</f>
        <v>వాదిలాల్ రుమాలి రోటి</v>
      </c>
      <c r="C2462" s="4" t="str">
        <f>IFERROR(__xludf.DUMMYFUNCTION("GOOGLETRANSLATE(A2462, ""en"", ""hi"")"),"वडीलाल रुमाली रोटी")</f>
        <v>वडीलाल रुमाली रोटी</v>
      </c>
      <c r="D2462" s="5"/>
      <c r="E2462" s="2" t="s">
        <v>2649</v>
      </c>
      <c r="F2462" s="1">
        <v>4.0</v>
      </c>
      <c r="G2462" s="3" t="s">
        <v>8149</v>
      </c>
    </row>
    <row r="2463">
      <c r="A2463" s="3" t="s">
        <v>8179</v>
      </c>
      <c r="B2463" s="4" t="str">
        <f>IFERROR(__xludf.DUMMYFUNCTION("GOOGLETRANSLATE(A2463, ""en"", ""te"")"),"డీప్ పకోరా ఉల్లిపాయ")</f>
        <v>డీప్ పకోరా ఉల్లిపాయ</v>
      </c>
      <c r="C2463" s="4" t="str">
        <f>IFERROR(__xludf.DUMMYFUNCTION("GOOGLETRANSLATE(A2463, ""en"", ""hi"")"),"डीप पकोड़ा प्याज")</f>
        <v>डीप पकोड़ा प्याज</v>
      </c>
      <c r="D2463" s="2" t="s">
        <v>3445</v>
      </c>
      <c r="E2463" s="2" t="s">
        <v>351</v>
      </c>
      <c r="F2463" s="1">
        <v>4.0</v>
      </c>
      <c r="G2463" s="3" t="s">
        <v>8149</v>
      </c>
    </row>
    <row r="2464">
      <c r="A2464" s="3" t="s">
        <v>8180</v>
      </c>
      <c r="B2464" s="4" t="str">
        <f>IFERROR(__xludf.DUMMYFUNCTION("GOOGLETRANSLATE(A2464, ""en"", ""te"")"),"నిమిషాల ఖానా పఫ్స్ పేస్ట్రీ షీట్లు")</f>
        <v>నిమిషాల ఖానా పఫ్స్ పేస్ట్రీ షీట్లు</v>
      </c>
      <c r="C2464" s="4" t="str">
        <f>IFERROR(__xludf.DUMMYFUNCTION("GOOGLETRANSLATE(A2464, ""en"", ""hi"")"),"मिनट खाना पफ पेस्ट्री शीट")</f>
        <v>मिनट खाना पफ पेस्ट्री शीट</v>
      </c>
      <c r="D2464" s="5"/>
      <c r="E2464" s="2" t="s">
        <v>4100</v>
      </c>
      <c r="F2464" s="1">
        <v>4.0</v>
      </c>
      <c r="G2464" s="3" t="s">
        <v>8149</v>
      </c>
    </row>
    <row r="2465">
      <c r="A2465" s="3" t="s">
        <v>8181</v>
      </c>
      <c r="B2465" s="4" t="str">
        <f>IFERROR(__xludf.DUMMYFUNCTION("GOOGLETRANSLATE(A2465, ""en"", ""te"")"),"ఆశీర్వాద్ పరాఠా")</f>
        <v>ఆశీర్వాద్ పరాఠా</v>
      </c>
      <c r="C2465" s="4" t="str">
        <f>IFERROR(__xludf.DUMMYFUNCTION("GOOGLETRANSLATE(A2465, ""en"", ""hi"")"),"आशीर्वाद पराठा")</f>
        <v>आशीर्वाद पराठा</v>
      </c>
      <c r="D2465" s="2" t="s">
        <v>8182</v>
      </c>
      <c r="E2465" s="2" t="s">
        <v>2649</v>
      </c>
      <c r="F2465" s="1">
        <v>4.0</v>
      </c>
      <c r="G2465" s="3" t="s">
        <v>8149</v>
      </c>
    </row>
    <row r="2466">
      <c r="A2466" s="3" t="s">
        <v>8183</v>
      </c>
      <c r="B2466" s="4" t="str">
        <f>IFERROR(__xludf.DUMMYFUNCTION("GOOGLETRANSLATE(A2466, ""en"", ""te"")"),"హల్దీరామ్స్ హైదరాబాదీ బిర్యానీ")</f>
        <v>హల్దీరామ్స్ హైదరాబాదీ బిర్యానీ</v>
      </c>
      <c r="C2466" s="4" t="str">
        <f>IFERROR(__xludf.DUMMYFUNCTION("GOOGLETRANSLATE(A2466, ""en"", ""hi"")"),"हल्दिराम की हैदराबादी बिरयानी")</f>
        <v>हल्दिराम की हैदराबादी बिरयानी</v>
      </c>
      <c r="D2466" s="2" t="s">
        <v>4118</v>
      </c>
      <c r="E2466" s="2" t="s">
        <v>940</v>
      </c>
      <c r="F2466" s="1">
        <v>4.0</v>
      </c>
      <c r="G2466" s="3" t="s">
        <v>8184</v>
      </c>
    </row>
    <row r="2467">
      <c r="A2467" s="3" t="s">
        <v>8185</v>
      </c>
      <c r="B2467" s="4" t="str">
        <f>IFERROR(__xludf.DUMMYFUNCTION("GOOGLETRANSLATE(A2467, ""en"", ""te"")"),"హల్దీరామ్స్ సర్సన్ దా సాగ్")</f>
        <v>హల్దీరామ్స్ సర్సన్ దా సాగ్</v>
      </c>
      <c r="C2467" s="4" t="str">
        <f>IFERROR(__xludf.DUMMYFUNCTION("GOOGLETRANSLATE(A2467, ""en"", ""hi"")"),"हल्दीराम की सरसों दा साग")</f>
        <v>हल्दीराम की सरसों दा साग</v>
      </c>
      <c r="D2467" s="5"/>
      <c r="E2467" s="2" t="s">
        <v>940</v>
      </c>
      <c r="F2467" s="1">
        <v>4.0</v>
      </c>
      <c r="G2467" s="3" t="s">
        <v>8184</v>
      </c>
    </row>
    <row r="2468">
      <c r="A2468" s="3" t="s">
        <v>8186</v>
      </c>
      <c r="B2468" s="4" t="str">
        <f>IFERROR(__xludf.DUMMYFUNCTION("GOOGLETRANSLATE(A2468, ""en"", ""te"")"),"హల్దీరామ్స్ పావ్ భాజీ")</f>
        <v>హల్దీరామ్స్ పావ్ భాజీ</v>
      </c>
      <c r="C2468" s="4" t="str">
        <f>IFERROR(__xludf.DUMMYFUNCTION("GOOGLETRANSLATE(A2468, ""en"", ""hi"")"),"हल्दीराम की पाव भाजी")</f>
        <v>हल्दीराम की पाव भाजी</v>
      </c>
      <c r="D2468" s="2" t="s">
        <v>8187</v>
      </c>
      <c r="E2468" s="2" t="s">
        <v>1294</v>
      </c>
      <c r="F2468" s="1">
        <v>4.0</v>
      </c>
      <c r="G2468" s="3" t="s">
        <v>8184</v>
      </c>
    </row>
    <row r="2469">
      <c r="A2469" s="3" t="s">
        <v>8188</v>
      </c>
      <c r="B2469" s="4" t="str">
        <f>IFERROR(__xludf.DUMMYFUNCTION("GOOGLETRANSLATE(A2469, ""en"", ""te"")"),"హల్దీరామ్ యొక్క రాజ్మా రసీలా")</f>
        <v>హల్దీరామ్ యొక్క రాజ్మా రసీలా</v>
      </c>
      <c r="C2469" s="4" t="str">
        <f>IFERROR(__xludf.DUMMYFUNCTION("GOOGLETRANSLATE(A2469, ""en"", ""hi"")"),"हल्दिराम की राजमा रसीला")</f>
        <v>हल्दिराम की राजमा रसीला</v>
      </c>
      <c r="D2469" s="2" t="s">
        <v>8189</v>
      </c>
      <c r="E2469" s="2" t="s">
        <v>940</v>
      </c>
      <c r="F2469" s="1">
        <v>4.0</v>
      </c>
      <c r="G2469" s="3" t="s">
        <v>8184</v>
      </c>
    </row>
    <row r="2470">
      <c r="A2470" s="3" t="s">
        <v>8190</v>
      </c>
      <c r="B2470" s="4" t="str">
        <f>IFERROR(__xludf.DUMMYFUNCTION("GOOGLETRANSLATE(A2470, ""en"", ""te"")"),"హల్దీరామ్స్ ఆలూ మటర్")</f>
        <v>హల్దీరామ్స్ ఆలూ మటర్</v>
      </c>
      <c r="C2470" s="4" t="str">
        <f>IFERROR(__xludf.DUMMYFUNCTION("GOOGLETRANSLATE(A2470, ""en"", ""hi"")"),"हल्दीराम का आलू मटर")</f>
        <v>हल्दीराम का आलू मटर</v>
      </c>
      <c r="D2470" s="5"/>
      <c r="E2470" s="2" t="s">
        <v>1294</v>
      </c>
      <c r="F2470" s="1">
        <v>4.0</v>
      </c>
      <c r="G2470" s="3" t="s">
        <v>8184</v>
      </c>
    </row>
    <row r="2471">
      <c r="A2471" s="3" t="s">
        <v>8191</v>
      </c>
      <c r="B2471" s="4" t="str">
        <f>IFERROR(__xludf.DUMMYFUNCTION("GOOGLETRANSLATE(A2471, ""en"", ""te"")"),"హల్దీరామ్స్ దిల్లీ స్టైల్ చోలే")</f>
        <v>హల్దీరామ్స్ దిల్లీ స్టైల్ చోలే</v>
      </c>
      <c r="C2471" s="4" t="str">
        <f>IFERROR(__xludf.DUMMYFUNCTION("GOOGLETRANSLATE(A2471, ""en"", ""hi"")"),"हल्दीराम के दिल्ली स्टाइल छोले")</f>
        <v>हल्दीराम के दिल्ली स्टाइल छोले</v>
      </c>
      <c r="D2471" s="2" t="s">
        <v>7569</v>
      </c>
      <c r="E2471" s="2" t="s">
        <v>1294</v>
      </c>
      <c r="F2471" s="1">
        <v>4.0</v>
      </c>
      <c r="G2471" s="3" t="s">
        <v>8184</v>
      </c>
    </row>
    <row r="2472">
      <c r="A2472" s="3" t="s">
        <v>8192</v>
      </c>
      <c r="B2472" s="4" t="str">
        <f>IFERROR(__xludf.DUMMYFUNCTION("GOOGLETRANSLATE(A2472, ""en"", ""te"")"),"హల్దీరామ్ కధి పకోడా")</f>
        <v>హల్దీరామ్ కధి పకోడా</v>
      </c>
      <c r="C2472" s="4" t="str">
        <f>IFERROR(__xludf.DUMMYFUNCTION("GOOGLETRANSLATE(A2472, ""en"", ""hi"")"),"हल्दीराम की कढ़ी पकोड़ा")</f>
        <v>हल्दीराम की कढ़ी पकोड़ा</v>
      </c>
      <c r="D2472" s="2" t="s">
        <v>7569</v>
      </c>
      <c r="E2472" s="2" t="s">
        <v>1294</v>
      </c>
      <c r="F2472" s="1">
        <v>4.0</v>
      </c>
      <c r="G2472" s="3" t="s">
        <v>8184</v>
      </c>
    </row>
    <row r="2473">
      <c r="A2473" s="3" t="s">
        <v>8193</v>
      </c>
      <c r="B2473" s="4" t="str">
        <f>IFERROR(__xludf.DUMMYFUNCTION("GOOGLETRANSLATE(A2473, ""en"", ""te"")"),"హల్దీరామ్స్ పనీర్ మఖానీ")</f>
        <v>హల్దీరామ్స్ పనీర్ మఖానీ</v>
      </c>
      <c r="C2473" s="4" t="str">
        <f>IFERROR(__xludf.DUMMYFUNCTION("GOOGLETRANSLATE(A2473, ""en"", ""hi"")"),"हल्दीराम का पनीर मखानी")</f>
        <v>हल्दीराम का पनीर मखानी</v>
      </c>
      <c r="D2473" s="2" t="s">
        <v>1961</v>
      </c>
      <c r="E2473" s="2" t="s">
        <v>940</v>
      </c>
      <c r="F2473" s="1">
        <v>4.0</v>
      </c>
      <c r="G2473" s="3" t="s">
        <v>8194</v>
      </c>
    </row>
    <row r="2474">
      <c r="A2474" s="3" t="s">
        <v>8192</v>
      </c>
      <c r="B2474" s="4" t="str">
        <f>IFERROR(__xludf.DUMMYFUNCTION("GOOGLETRANSLATE(A2474, ""en"", ""te"")"),"హల్దీరామ్ కధి పకోడా")</f>
        <v>హల్దీరామ్ కధి పకోడా</v>
      </c>
      <c r="C2474" s="4" t="str">
        <f>IFERROR(__xludf.DUMMYFUNCTION("GOOGLETRANSLATE(A2474, ""en"", ""hi"")"),"हल्दीराम की कढ़ी पकोड़ा")</f>
        <v>हल्दीराम की कढ़ी पकोड़ा</v>
      </c>
      <c r="D2474" s="2" t="s">
        <v>7569</v>
      </c>
      <c r="E2474" s="2" t="s">
        <v>1294</v>
      </c>
      <c r="F2474" s="1">
        <v>4.0</v>
      </c>
      <c r="G2474" s="3" t="s">
        <v>8194</v>
      </c>
    </row>
    <row r="2475">
      <c r="A2475" s="3" t="s">
        <v>8195</v>
      </c>
      <c r="B2475" s="4" t="str">
        <f>IFERROR(__xludf.DUMMYFUNCTION("GOOGLETRANSLATE(A2475, ""en"", ""te"")"),"హల్దీరామ్ యొక్క మటర్ పనీర్")</f>
        <v>హల్దీరామ్ యొక్క మటర్ పనీర్</v>
      </c>
      <c r="C2475" s="4" t="str">
        <f>IFERROR(__xludf.DUMMYFUNCTION("GOOGLETRANSLATE(A2475, ""en"", ""hi"")"),"हल्दीराम का मटर पनीर")</f>
        <v>हल्दीराम का मटर पनीर</v>
      </c>
      <c r="D2475" s="2" t="s">
        <v>1961</v>
      </c>
      <c r="E2475" s="2" t="s">
        <v>940</v>
      </c>
      <c r="F2475" s="1">
        <v>4.0</v>
      </c>
      <c r="G2475" s="3" t="s">
        <v>8194</v>
      </c>
    </row>
    <row r="2476">
      <c r="A2476" s="3" t="s">
        <v>8185</v>
      </c>
      <c r="B2476" s="4" t="str">
        <f>IFERROR(__xludf.DUMMYFUNCTION("GOOGLETRANSLATE(A2476, ""en"", ""te"")"),"హల్దీరామ్స్ సర్సన్ దా సాగ్")</f>
        <v>హల్దీరామ్స్ సర్సన్ దా సాగ్</v>
      </c>
      <c r="C2476" s="4" t="str">
        <f>IFERROR(__xludf.DUMMYFUNCTION("GOOGLETRANSLATE(A2476, ""en"", ""hi"")"),"हल्दीराम की सरसों दा साग")</f>
        <v>हल्दीराम की सरसों दा साग</v>
      </c>
      <c r="D2476" s="5"/>
      <c r="E2476" s="2" t="s">
        <v>940</v>
      </c>
      <c r="F2476" s="1">
        <v>4.0</v>
      </c>
      <c r="G2476" s="3" t="s">
        <v>8194</v>
      </c>
    </row>
    <row r="2477">
      <c r="A2477" s="3" t="s">
        <v>8188</v>
      </c>
      <c r="B2477" s="4" t="str">
        <f>IFERROR(__xludf.DUMMYFUNCTION("GOOGLETRANSLATE(A2477, ""en"", ""te"")"),"హల్దీరామ్ యొక్క రాజ్మా రసీలా")</f>
        <v>హల్దీరామ్ యొక్క రాజ్మా రసీలా</v>
      </c>
      <c r="C2477" s="4" t="str">
        <f>IFERROR(__xludf.DUMMYFUNCTION("GOOGLETRANSLATE(A2477, ""en"", ""hi"")"),"हल्दिराम की राजमा रसीला")</f>
        <v>हल्दिराम की राजमा रसीला</v>
      </c>
      <c r="D2477" s="2" t="s">
        <v>8189</v>
      </c>
      <c r="E2477" s="2" t="s">
        <v>940</v>
      </c>
      <c r="F2477" s="1">
        <v>4.0</v>
      </c>
      <c r="G2477" s="3" t="s">
        <v>8194</v>
      </c>
    </row>
    <row r="2478">
      <c r="A2478" s="3" t="s">
        <v>8186</v>
      </c>
      <c r="B2478" s="4" t="str">
        <f>IFERROR(__xludf.DUMMYFUNCTION("GOOGLETRANSLATE(A2478, ""en"", ""te"")"),"హల్దీరామ్స్ పావ్ భాజీ")</f>
        <v>హల్దీరామ్స్ పావ్ భాజీ</v>
      </c>
      <c r="C2478" s="4" t="str">
        <f>IFERROR(__xludf.DUMMYFUNCTION("GOOGLETRANSLATE(A2478, ""en"", ""hi"")"),"हल्दीराम की पाव भाजी")</f>
        <v>हल्दीराम की पाव भाजी</v>
      </c>
      <c r="D2478" s="2" t="s">
        <v>8187</v>
      </c>
      <c r="E2478" s="2" t="s">
        <v>1294</v>
      </c>
      <c r="F2478" s="1">
        <v>4.0</v>
      </c>
      <c r="G2478" s="3" t="s">
        <v>8194</v>
      </c>
    </row>
    <row r="2479">
      <c r="A2479" s="3" t="s">
        <v>8196</v>
      </c>
      <c r="B2479" s="4" t="str">
        <f>IFERROR(__xludf.DUMMYFUNCTION("GOOGLETRANSLATE(A2479, ""en"", ""te"")"),"MTR పాలక్ పనీర్")</f>
        <v>MTR పాలక్ పనీర్</v>
      </c>
      <c r="C2479" s="4" t="str">
        <f>IFERROR(__xludf.DUMMYFUNCTION("GOOGLETRANSLATE(A2479, ""en"", ""hi"")"),"एमटीआर पालक पनीर")</f>
        <v>एमटीआर पालक पनीर</v>
      </c>
      <c r="D2479" s="2" t="s">
        <v>1961</v>
      </c>
      <c r="E2479" s="2" t="s">
        <v>940</v>
      </c>
      <c r="F2479" s="1">
        <v>4.0</v>
      </c>
      <c r="G2479" s="3" t="s">
        <v>8197</v>
      </c>
    </row>
    <row r="2480">
      <c r="A2480" s="3" t="s">
        <v>8198</v>
      </c>
      <c r="B2480" s="4" t="str">
        <f>IFERROR(__xludf.DUMMYFUNCTION("GOOGLETRANSLATE(A2480, ""en"", ""te"")"),"MTR పనీర్ బట్టర్ మసాలా")</f>
        <v>MTR పనీర్ బట్టర్ మసాలా</v>
      </c>
      <c r="C2480" s="4" t="str">
        <f>IFERROR(__xludf.DUMMYFUNCTION("GOOGLETRANSLATE(A2480, ""en"", ""hi"")"),"एमटीआर पनीर बटर मसाला")</f>
        <v>एमटीआर पनीर बटर मसाला</v>
      </c>
      <c r="D2480" s="2" t="s">
        <v>1961</v>
      </c>
      <c r="E2480" s="2" t="s">
        <v>940</v>
      </c>
      <c r="F2480" s="1">
        <v>4.0</v>
      </c>
      <c r="G2480" s="3" t="s">
        <v>8197</v>
      </c>
    </row>
    <row r="2481">
      <c r="A2481" s="3" t="s">
        <v>8199</v>
      </c>
      <c r="B2481" s="4" t="str">
        <f>IFERROR(__xludf.DUMMYFUNCTION("GOOGLETRANSLATE(A2481, ""en"", ""te"")"),"MTR పనీర్")</f>
        <v>MTR పనీర్</v>
      </c>
      <c r="C2481" s="4" t="str">
        <f>IFERROR(__xludf.DUMMYFUNCTION("GOOGLETRANSLATE(A2481, ""en"", ""hi"")"),"एमटीआर पनीर")</f>
        <v>एमटीआर पनीर</v>
      </c>
      <c r="D2481" s="2" t="s">
        <v>1961</v>
      </c>
      <c r="E2481" s="2" t="s">
        <v>2369</v>
      </c>
      <c r="F2481" s="1">
        <v>4.0</v>
      </c>
      <c r="G2481" s="3" t="s">
        <v>8197</v>
      </c>
    </row>
    <row r="2482">
      <c r="A2482" s="3" t="s">
        <v>8200</v>
      </c>
      <c r="B2482" s="4" t="str">
        <f>IFERROR(__xludf.DUMMYFUNCTION("GOOGLETRANSLATE(A2482, ""en"", ""te"")"),"MTR ఆలూ మేథి")</f>
        <v>MTR ఆలూ మేథి</v>
      </c>
      <c r="C2482" s="4" t="str">
        <f>IFERROR(__xludf.DUMMYFUNCTION("GOOGLETRANSLATE(A2482, ""en"", ""hi"")"),"एमटीआर आलू मेथी")</f>
        <v>एमटीआर आलू मेथी</v>
      </c>
      <c r="D2482" s="5"/>
      <c r="E2482" s="2" t="s">
        <v>940</v>
      </c>
      <c r="F2482" s="1">
        <v>4.0</v>
      </c>
      <c r="G2482" s="3" t="s">
        <v>8197</v>
      </c>
    </row>
    <row r="2483">
      <c r="A2483" s="3" t="s">
        <v>8201</v>
      </c>
      <c r="B2483" s="4" t="str">
        <f>IFERROR(__xludf.DUMMYFUNCTION("GOOGLETRANSLATE(A2483, ""en"", ""te"")"),"MTR సాంబార్")</f>
        <v>MTR సాంబార్</v>
      </c>
      <c r="C2483" s="4" t="str">
        <f>IFERROR(__xludf.DUMMYFUNCTION("GOOGLETRANSLATE(A2483, ""en"", ""hi"")"),"एमटीआर सांभर")</f>
        <v>एमटीआर सांभर</v>
      </c>
      <c r="D2483" s="5"/>
      <c r="E2483" s="2" t="s">
        <v>940</v>
      </c>
      <c r="F2483" s="1">
        <v>4.0</v>
      </c>
      <c r="G2483" s="3" t="s">
        <v>8197</v>
      </c>
    </row>
    <row r="2484">
      <c r="A2484" s="3" t="s">
        <v>8202</v>
      </c>
      <c r="B2484" s="4" t="str">
        <f>IFERROR(__xludf.DUMMYFUNCTION("GOOGLETRANSLATE(A2484, ""en"", ""te"")"),"గిట్స్ పనీర్ టిక్కా మసాలా")</f>
        <v>గిట్స్ పనీర్ టిక్కా మసాలా</v>
      </c>
      <c r="C2484" s="4" t="str">
        <f>IFERROR(__xludf.DUMMYFUNCTION("GOOGLETRANSLATE(A2484, ""en"", ""hi"")"),"गिट्स पनीर टिक्का मसाला")</f>
        <v>गिट्स पनीर टिक्का मसाला</v>
      </c>
      <c r="D2484" s="2" t="s">
        <v>1961</v>
      </c>
      <c r="E2484" s="2" t="s">
        <v>940</v>
      </c>
      <c r="F2484" s="1">
        <v>4.0</v>
      </c>
      <c r="G2484" s="3" t="s">
        <v>8197</v>
      </c>
    </row>
    <row r="2485">
      <c r="A2485" s="3" t="s">
        <v>2379</v>
      </c>
      <c r="B2485" s="4" t="str">
        <f>IFERROR(__xludf.DUMMYFUNCTION("GOOGLETRANSLATE(A2485, ""en"", ""te"")"),"ఎవరెస్ట్ కసూరి మేథి")</f>
        <v>ఎవరెస్ట్ కసూరి మేథి</v>
      </c>
      <c r="C2485" s="4" t="str">
        <f>IFERROR(__xludf.DUMMYFUNCTION("GOOGLETRANSLATE(A2485, ""en"", ""hi"")"),"एवरेस्ट कसूरी मेथी")</f>
        <v>एवरेस्ट कसूरी मेथी</v>
      </c>
      <c r="D2485" s="5"/>
      <c r="E2485" s="2" t="s">
        <v>442</v>
      </c>
      <c r="F2485" s="1">
        <v>4.0</v>
      </c>
      <c r="G2485" s="3" t="s">
        <v>8203</v>
      </c>
    </row>
    <row r="2486">
      <c r="A2486" s="3" t="s">
        <v>8204</v>
      </c>
      <c r="B2486" s="4" t="str">
        <f>IFERROR(__xludf.DUMMYFUNCTION("GOOGLETRANSLATE(A2486, ""en"", ""te"")"),"ఆస్థా మేథి")</f>
        <v>ఆస్థా మేథి</v>
      </c>
      <c r="C2486" s="4" t="str">
        <f>IFERROR(__xludf.DUMMYFUNCTION("GOOGLETRANSLATE(A2486, ""en"", ""hi"")"),"आस्था मेथी")</f>
        <v>आस्था मेथी</v>
      </c>
      <c r="D2486" s="5"/>
      <c r="E2486" s="2" t="s">
        <v>442</v>
      </c>
      <c r="F2486" s="1">
        <v>4.0</v>
      </c>
      <c r="G2486" s="3" t="s">
        <v>8203</v>
      </c>
    </row>
    <row r="2487">
      <c r="A2487" s="3" t="s">
        <v>8205</v>
      </c>
      <c r="B2487" s="4" t="str">
        <f>IFERROR(__xludf.DUMMYFUNCTION("GOOGLETRANSLATE(A2487, ""en"", ""te"")"),"ఆస్థా కసూరి మేథి")</f>
        <v>ఆస్థా కసూరి మేథి</v>
      </c>
      <c r="C2487" s="4" t="str">
        <f>IFERROR(__xludf.DUMMYFUNCTION("GOOGLETRANSLATE(A2487, ""en"", ""hi"")"),"आस्था कसूरी मेथी")</f>
        <v>आस्था कसूरी मेथी</v>
      </c>
      <c r="D2487" s="5"/>
      <c r="E2487" s="2" t="s">
        <v>442</v>
      </c>
      <c r="F2487" s="1">
        <v>4.0</v>
      </c>
      <c r="G2487" s="3" t="s">
        <v>8203</v>
      </c>
    </row>
    <row r="2488">
      <c r="A2488" s="3" t="s">
        <v>8206</v>
      </c>
      <c r="B2488" s="4" t="str">
        <f>IFERROR(__xludf.DUMMYFUNCTION("GOOGLETRANSLATE(A2488, ""en"", ""te"")"),"దీప్ మసాలా పాపడి")</f>
        <v>దీప్ మసాలా పాపడి</v>
      </c>
      <c r="C2488" s="4" t="str">
        <f>IFERROR(__xludf.DUMMYFUNCTION("GOOGLETRANSLATE(A2488, ""en"", ""hi"")"),"डीप मसाला पापड़ी")</f>
        <v>डीप मसाला पापड़ी</v>
      </c>
      <c r="D2488" s="2" t="s">
        <v>7486</v>
      </c>
      <c r="E2488" s="2" t="s">
        <v>442</v>
      </c>
      <c r="F2488" s="1">
        <v>4.0</v>
      </c>
      <c r="G2488" s="3" t="s">
        <v>463</v>
      </c>
    </row>
    <row r="2489">
      <c r="A2489" s="3" t="s">
        <v>8207</v>
      </c>
      <c r="B2489" s="4" t="str">
        <f>IFERROR(__xludf.DUMMYFUNCTION("GOOGLETRANSLATE(A2489, ""en"", ""te"")"),"డీప్ ఫాఫ్డా")</f>
        <v>డీప్ ఫాఫ్డా</v>
      </c>
      <c r="C2489" s="4" t="str">
        <f>IFERROR(__xludf.DUMMYFUNCTION("GOOGLETRANSLATE(A2489, ""en"", ""hi"")"),"दीप फाफड़ा")</f>
        <v>दीप फाफड़ा</v>
      </c>
      <c r="D2489" s="2" t="s">
        <v>3484</v>
      </c>
      <c r="E2489" s="2" t="s">
        <v>2649</v>
      </c>
      <c r="F2489" s="1">
        <v>4.0</v>
      </c>
      <c r="G2489" s="3" t="s">
        <v>463</v>
      </c>
    </row>
    <row r="2490">
      <c r="A2490" s="3" t="s">
        <v>8208</v>
      </c>
      <c r="B2490" s="4" t="str">
        <f>IFERROR(__xludf.DUMMYFUNCTION("GOOGLETRANSLATE(A2490, ""en"", ""te"")"),"హల్దీరామ్ చాట్ పాప్డి")</f>
        <v>హల్దీరామ్ చాట్ పాప్డి</v>
      </c>
      <c r="C2490" s="4" t="str">
        <f>IFERROR(__xludf.DUMMYFUNCTION("GOOGLETRANSLATE(A2490, ""en"", ""hi"")"),"हल्दीराम चाट पापड़ी")</f>
        <v>हल्दीराम चाट पापड़ी</v>
      </c>
      <c r="D2490" s="5"/>
      <c r="E2490" s="2" t="s">
        <v>996</v>
      </c>
      <c r="F2490" s="1">
        <v>4.0</v>
      </c>
      <c r="G2490" s="3" t="s">
        <v>470</v>
      </c>
    </row>
    <row r="2491">
      <c r="A2491" s="3" t="s">
        <v>7408</v>
      </c>
      <c r="B2491" s="4" t="str">
        <f>IFERROR(__xludf.DUMMYFUNCTION("GOOGLETRANSLATE(A2491, ""en"", ""te"")"),"మసాలా పారా")</f>
        <v>మసాలా పారా</v>
      </c>
      <c r="C2491" s="4" t="str">
        <f>IFERROR(__xludf.DUMMYFUNCTION("GOOGLETRANSLATE(A2491, ""en"", ""hi"")"),"मसाला पारा")</f>
        <v>मसाला पारा</v>
      </c>
      <c r="D2491" s="2" t="s">
        <v>1304</v>
      </c>
      <c r="E2491" s="2" t="s">
        <v>442</v>
      </c>
      <c r="F2491" s="1">
        <v>4.0</v>
      </c>
      <c r="G2491" s="3" t="s">
        <v>470</v>
      </c>
    </row>
    <row r="2492">
      <c r="A2492" s="3" t="s">
        <v>7865</v>
      </c>
      <c r="B2492" s="4" t="str">
        <f>IFERROR(__xludf.DUMMYFUNCTION("GOOGLETRANSLATE(A2492, ""en"", ""te"")"),"చిటాలే బకర్వాడి")</f>
        <v>చిటాలే బకర్వాడి</v>
      </c>
      <c r="C2492" s="4" t="str">
        <f>IFERROR(__xludf.DUMMYFUNCTION("GOOGLETRANSLATE(A2492, ""en"", ""hi"")"),"चिताले बकरवाड़ी")</f>
        <v>चिताले बकरवाड़ी</v>
      </c>
      <c r="D2492" s="2" t="s">
        <v>7866</v>
      </c>
      <c r="E2492" s="2" t="s">
        <v>1294</v>
      </c>
      <c r="F2492" s="1">
        <v>4.0</v>
      </c>
      <c r="G2492" s="3" t="s">
        <v>475</v>
      </c>
    </row>
    <row r="2493">
      <c r="A2493" s="3" t="s">
        <v>8209</v>
      </c>
      <c r="B2493" s="4" t="str">
        <f>IFERROR(__xludf.DUMMYFUNCTION("GOOGLETRANSLATE(A2493, ""en"", ""te"")"),"ఆనంద్ రైస్ రోటీ")</f>
        <v>ఆనంద్ రైస్ రోటీ</v>
      </c>
      <c r="C2493" s="4" t="str">
        <f>IFERROR(__xludf.DUMMYFUNCTION("GOOGLETRANSLATE(A2493, ""en"", ""hi"")"),"आनंद चावल की रोटी")</f>
        <v>आनंद चावल की रोटी</v>
      </c>
      <c r="D2493" s="2" t="s">
        <v>38</v>
      </c>
      <c r="E2493" s="2" t="s">
        <v>2649</v>
      </c>
      <c r="F2493" s="1">
        <v>4.0</v>
      </c>
      <c r="G2493" s="3" t="s">
        <v>488</v>
      </c>
    </row>
    <row r="2494">
      <c r="A2494" s="3" t="s">
        <v>8210</v>
      </c>
      <c r="B2494" s="4" t="str">
        <f>IFERROR(__xludf.DUMMYFUNCTION("GOOGLETRANSLATE(A2494, ""en"", ""te"")"),"చిటాలే ఉత్పత్తి")</f>
        <v>చిటాలే ఉత్పత్తి</v>
      </c>
      <c r="C2494" s="4" t="str">
        <f>IFERROR(__xludf.DUMMYFUNCTION("GOOGLETRANSLATE(A2494, ""en"", ""hi"")"),"चिताले उत्पाद")</f>
        <v>चिताले उत्पाद</v>
      </c>
      <c r="D2494" s="5"/>
      <c r="E2494" s="2" t="s">
        <v>2279</v>
      </c>
      <c r="F2494" s="1">
        <v>4.0</v>
      </c>
      <c r="G2494" s="3" t="s">
        <v>608</v>
      </c>
    </row>
    <row r="2495">
      <c r="A2495" s="3" t="s">
        <v>8211</v>
      </c>
      <c r="B2495" s="4" t="str">
        <f>IFERROR(__xludf.DUMMYFUNCTION("GOOGLETRANSLATE(A2495, ""en"", ""te"")"),"లాంబ్ సీఖ్ కబాబ్")</f>
        <v>లాంబ్ సీఖ్ కబాబ్</v>
      </c>
      <c r="C2495" s="4" t="str">
        <f>IFERROR(__xludf.DUMMYFUNCTION("GOOGLETRANSLATE(A2495, ""en"", ""hi"")"),"लैंब सीख कबाब")</f>
        <v>लैंब सीख कबाब</v>
      </c>
      <c r="D2495" s="2" t="s">
        <v>8002</v>
      </c>
      <c r="E2495" s="2" t="s">
        <v>940</v>
      </c>
      <c r="F2495" s="1">
        <v>4.0</v>
      </c>
      <c r="G2495" s="3" t="s">
        <v>55</v>
      </c>
    </row>
    <row r="2496">
      <c r="A2496" s="3" t="s">
        <v>8212</v>
      </c>
      <c r="B2496" s="4" t="str">
        <f>IFERROR(__xludf.DUMMYFUNCTION("GOOGLETRANSLATE(A2496, ""en"", ""te"")"),"చికెన్ సమోసా")</f>
        <v>చికెన్ సమోసా</v>
      </c>
      <c r="C2496" s="4" t="str">
        <f>IFERROR(__xludf.DUMMYFUNCTION("GOOGLETRANSLATE(A2496, ""en"", ""hi"")"),"चिकन समोसा")</f>
        <v>चिकन समोसा</v>
      </c>
      <c r="D2496" s="2" t="s">
        <v>4932</v>
      </c>
      <c r="E2496" s="2" t="s">
        <v>1294</v>
      </c>
      <c r="F2496" s="1">
        <v>4.0</v>
      </c>
      <c r="G2496" s="3" t="s">
        <v>63</v>
      </c>
    </row>
    <row r="2497">
      <c r="A2497" s="3" t="s">
        <v>8213</v>
      </c>
      <c r="B2497" s="4" t="str">
        <f>IFERROR(__xludf.DUMMYFUNCTION("GOOGLETRANSLATE(A2497, ""en"", ""te"")"),"ఘనీభవించిన ఆహార ప్యాక్ 1")</f>
        <v>ఘనీభవించిన ఆహార ప్యాక్ 1</v>
      </c>
      <c r="C2497" s="4" t="str">
        <f>IFERROR(__xludf.DUMMYFUNCTION("GOOGLETRANSLATE(A2497, ""en"", ""hi"")"),"फ्रोजन फूड पैक 1")</f>
        <v>फ्रोजन फूड पैक 1</v>
      </c>
      <c r="D2497" s="5"/>
      <c r="E2497" s="2" t="s">
        <v>351</v>
      </c>
      <c r="F2497" s="1">
        <v>4.0</v>
      </c>
      <c r="G2497" s="3" t="s">
        <v>7969</v>
      </c>
    </row>
    <row r="2498">
      <c r="A2498" s="3" t="s">
        <v>8214</v>
      </c>
      <c r="B2498" s="4" t="str">
        <f>IFERROR(__xludf.DUMMYFUNCTION("GOOGLETRANSLATE(A2498, ""en"", ""te"")"),"ఘనీభవించిన ఆహార ప్యాక్ 2")</f>
        <v>ఘనీభవించిన ఆహార ప్యాక్ 2</v>
      </c>
      <c r="C2498" s="4" t="str">
        <f>IFERROR(__xludf.DUMMYFUNCTION("GOOGLETRANSLATE(A2498, ""en"", ""hi"")"),"फ्रोजन फूड पैक 2")</f>
        <v>फ्रोजन फूड पैक 2</v>
      </c>
      <c r="D2498" s="5"/>
      <c r="E2498" s="2" t="s">
        <v>351</v>
      </c>
      <c r="F2498" s="1">
        <v>4.0</v>
      </c>
      <c r="G2498" s="3" t="s">
        <v>7969</v>
      </c>
    </row>
    <row r="2499">
      <c r="A2499" s="3" t="s">
        <v>8215</v>
      </c>
      <c r="B2499" s="4" t="str">
        <f>IFERROR(__xludf.DUMMYFUNCTION("GOOGLETRANSLATE(A2499, ""en"", ""te"")"),"ఘనీభవించిన ఆహార ప్యాక్ 3")</f>
        <v>ఘనీభవించిన ఆహార ప్యాక్ 3</v>
      </c>
      <c r="C2499" s="4" t="str">
        <f>IFERROR(__xludf.DUMMYFUNCTION("GOOGLETRANSLATE(A2499, ""en"", ""hi"")"),"फ्रोजन फूड पैक 3")</f>
        <v>फ्रोजन फूड पैक 3</v>
      </c>
      <c r="D2499" s="5"/>
      <c r="E2499" s="2" t="s">
        <v>351</v>
      </c>
      <c r="F2499" s="1">
        <v>4.0</v>
      </c>
      <c r="G2499" s="3" t="s">
        <v>7969</v>
      </c>
    </row>
    <row r="2500">
      <c r="A2500" s="3" t="s">
        <v>8216</v>
      </c>
      <c r="B2500" s="4" t="str">
        <f>IFERROR(__xludf.DUMMYFUNCTION("GOOGLETRANSLATE(A2500, ""en"", ""te"")"),"ఘనీభవించిన ఆహార ప్యాక్ 4")</f>
        <v>ఘనీభవించిన ఆహార ప్యాక్ 4</v>
      </c>
      <c r="C2500" s="4" t="str">
        <f>IFERROR(__xludf.DUMMYFUNCTION("GOOGLETRANSLATE(A2500, ""en"", ""hi"")"),"फ्रोजन फूड पैक 4")</f>
        <v>फ्रोजन फूड पैक 4</v>
      </c>
      <c r="D2500" s="5"/>
      <c r="E2500" s="2" t="s">
        <v>351</v>
      </c>
      <c r="F2500" s="1">
        <v>4.0</v>
      </c>
      <c r="G2500" s="3" t="s">
        <v>7969</v>
      </c>
    </row>
    <row r="2501">
      <c r="A2501" s="3" t="s">
        <v>8217</v>
      </c>
      <c r="B2501" s="4" t="str">
        <f>IFERROR(__xludf.DUMMYFUNCTION("GOOGLETRANSLATE(A2501, ""en"", ""te"")"),"ఘనీభవించిన ఆహార ప్యాక్ 5")</f>
        <v>ఘనీభవించిన ఆహార ప్యాక్ 5</v>
      </c>
      <c r="C2501" s="4" t="str">
        <f>IFERROR(__xludf.DUMMYFUNCTION("GOOGLETRANSLATE(A2501, ""en"", ""hi"")"),"फ्रोजन फूड पैक 5")</f>
        <v>फ्रोजन फूड पैक 5</v>
      </c>
      <c r="D2501" s="5"/>
      <c r="E2501" s="2" t="s">
        <v>351</v>
      </c>
      <c r="F2501" s="1">
        <v>4.0</v>
      </c>
      <c r="G2501" s="3" t="s">
        <v>7969</v>
      </c>
    </row>
    <row r="2502">
      <c r="A2502" s="3" t="s">
        <v>8218</v>
      </c>
      <c r="B2502" s="4" t="str">
        <f>IFERROR(__xludf.DUMMYFUNCTION("GOOGLETRANSLATE(A2502, ""en"", ""te"")"),"ఘనీభవించిన ఆహార ప్యాక్ 6")</f>
        <v>ఘనీభవించిన ఆహార ప్యాక్ 6</v>
      </c>
      <c r="C2502" s="4" t="str">
        <f>IFERROR(__xludf.DUMMYFUNCTION("GOOGLETRANSLATE(A2502, ""en"", ""hi"")"),"फ्रोजन फूड पैक 6")</f>
        <v>फ्रोजन फूड पैक 6</v>
      </c>
      <c r="D2502" s="5"/>
      <c r="E2502" s="2" t="s">
        <v>351</v>
      </c>
      <c r="F2502" s="1">
        <v>4.0</v>
      </c>
      <c r="G2502" s="3" t="s">
        <v>7969</v>
      </c>
    </row>
    <row r="2503">
      <c r="A2503" s="3" t="s">
        <v>8219</v>
      </c>
      <c r="B2503" s="4" t="str">
        <f>IFERROR(__xludf.DUMMYFUNCTION("GOOGLETRANSLATE(A2503, ""en"", ""te"")"),"రోహు")</f>
        <v>రోహు</v>
      </c>
      <c r="C2503" s="4" t="str">
        <f>IFERROR(__xludf.DUMMYFUNCTION("GOOGLETRANSLATE(A2503, ""en"", ""hi"")"),"रोहू")</f>
        <v>रोहू</v>
      </c>
      <c r="D2503" s="5"/>
      <c r="E2503" s="2" t="s">
        <v>1038</v>
      </c>
      <c r="F2503" s="1">
        <v>4.0</v>
      </c>
      <c r="G2503" s="3" t="s">
        <v>7969</v>
      </c>
    </row>
    <row r="2504">
      <c r="A2504" s="3" t="s">
        <v>8220</v>
      </c>
      <c r="B2504" s="4" t="str">
        <f>IFERROR(__xludf.DUMMYFUNCTION("GOOGLETRANSLATE(A2504, ""en"", ""te"")"),"స్టీక్")</f>
        <v>స్టీక్</v>
      </c>
      <c r="C2504" s="4" t="str">
        <f>IFERROR(__xludf.DUMMYFUNCTION("GOOGLETRANSLATE(A2504, ""en"", ""hi"")"),"माँस का कबाब")</f>
        <v>माँस का कबाब</v>
      </c>
      <c r="D2504" s="5"/>
      <c r="E2504" s="2" t="s">
        <v>351</v>
      </c>
      <c r="F2504" s="1">
        <v>4.0</v>
      </c>
      <c r="G2504" s="3" t="s">
        <v>7969</v>
      </c>
    </row>
    <row r="2505">
      <c r="A2505" s="3" t="s">
        <v>8221</v>
      </c>
      <c r="B2505" s="4" t="str">
        <f>IFERROR(__xludf.DUMMYFUNCTION("GOOGLETRANSLATE(A2505, ""en"", ""te"")"),"కింగ్ ఫిష్")</f>
        <v>కింగ్ ఫిష్</v>
      </c>
      <c r="C2505" s="4" t="str">
        <f>IFERROR(__xludf.DUMMYFUNCTION("GOOGLETRANSLATE(A2505, ""en"", ""hi"")"),"किंग फिश")</f>
        <v>किंग फिश</v>
      </c>
      <c r="D2505" s="5"/>
      <c r="E2505" s="2" t="s">
        <v>351</v>
      </c>
      <c r="F2505" s="1">
        <v>4.0</v>
      </c>
      <c r="G2505" s="3" t="s">
        <v>7969</v>
      </c>
    </row>
    <row r="2506">
      <c r="A2506" s="3" t="s">
        <v>8222</v>
      </c>
      <c r="B2506" s="4" t="str">
        <f>IFERROR(__xludf.DUMMYFUNCTION("GOOGLETRANSLATE(A2506, ""en"", ""te"")"),"ఘనీభవించిన ఆహార ప్యాక్ 7")</f>
        <v>ఘనీభవించిన ఆహార ప్యాక్ 7</v>
      </c>
      <c r="C2506" s="4" t="str">
        <f>IFERROR(__xludf.DUMMYFUNCTION("GOOGLETRANSLATE(A2506, ""en"", ""hi"")"),"फ्रोजन फूड पैक 7")</f>
        <v>फ्रोजन फूड पैक 7</v>
      </c>
      <c r="D2506" s="5"/>
      <c r="E2506" s="2" t="s">
        <v>351</v>
      </c>
      <c r="F2506" s="1">
        <v>4.0</v>
      </c>
      <c r="G2506" s="3" t="s">
        <v>7969</v>
      </c>
    </row>
    <row r="2507">
      <c r="A2507" s="3" t="s">
        <v>8223</v>
      </c>
      <c r="B2507" s="4" t="str">
        <f>IFERROR(__xludf.DUMMYFUNCTION("GOOGLETRANSLATE(A2507, ""en"", ""te"")"),"వెండి పోమ్‌ఫ్రెట్")</f>
        <v>వెండి పోమ్‌ఫ్రెట్</v>
      </c>
      <c r="C2507" s="4" t="str">
        <f>IFERROR(__xludf.DUMMYFUNCTION("GOOGLETRANSLATE(A2507, ""en"", ""hi"")"),"सिल्वर पोमफ्रेट")</f>
        <v>सिल्वर पोमफ्रेट</v>
      </c>
      <c r="D2507" s="5"/>
      <c r="E2507" s="2" t="s">
        <v>351</v>
      </c>
      <c r="F2507" s="1">
        <v>4.0</v>
      </c>
      <c r="G2507" s="3" t="s">
        <v>7969</v>
      </c>
    </row>
    <row r="2508">
      <c r="A2508" s="3" t="s">
        <v>8224</v>
      </c>
      <c r="B2508" s="4" t="str">
        <f>IFERROR(__xludf.DUMMYFUNCTION("GOOGLETRANSLATE(A2508, ""en"", ""te"")"),"ఘనీభవించిన ఆహార ప్యాక్ 8")</f>
        <v>ఘనీభవించిన ఆహార ప్యాక్ 8</v>
      </c>
      <c r="C2508" s="4" t="str">
        <f>IFERROR(__xludf.DUMMYFUNCTION("GOOGLETRANSLATE(A2508, ""en"", ""hi"")"),"फ्रोजन फूड पैक 8")</f>
        <v>फ्रोजन फूड पैक 8</v>
      </c>
      <c r="D2508" s="5"/>
      <c r="E2508" s="2" t="s">
        <v>351</v>
      </c>
      <c r="F2508" s="1">
        <v>4.0</v>
      </c>
      <c r="G2508" s="3" t="s">
        <v>7969</v>
      </c>
    </row>
    <row r="2509">
      <c r="A2509" s="3" t="s">
        <v>8225</v>
      </c>
      <c r="B2509" s="4" t="str">
        <f>IFERROR(__xludf.DUMMYFUNCTION("GOOGLETRANSLATE(A2509, ""en"", ""te"")"),"అమ్మ వడ చట్నీతో")</f>
        <v>అమ్మ వడ చట్నీతో</v>
      </c>
      <c r="C2509" s="4" t="str">
        <f>IFERROR(__xludf.DUMMYFUNCTION("GOOGLETRANSLATE(A2509, ""en"", ""hi"")"),"चटनी के साथ अम्मा वड़ा")</f>
        <v>चटनी के साथ अम्मा वड़ा</v>
      </c>
      <c r="D2509" s="2" t="s">
        <v>7569</v>
      </c>
      <c r="E2509" s="2" t="s">
        <v>1294</v>
      </c>
      <c r="F2509" s="1">
        <v>4.0</v>
      </c>
      <c r="G2509" s="3" t="s">
        <v>7969</v>
      </c>
    </row>
    <row r="2510">
      <c r="A2510" s="3" t="s">
        <v>8226</v>
      </c>
      <c r="B2510" s="4" t="str">
        <f>IFERROR(__xludf.DUMMYFUNCTION("GOOGLETRANSLATE(A2510, ""en"", ""te"")"),"ట్యూనా స్టీక్")</f>
        <v>ట్యూనా స్టీక్</v>
      </c>
      <c r="C2510" s="4" t="str">
        <f>IFERROR(__xludf.DUMMYFUNCTION("GOOGLETRANSLATE(A2510, ""en"", ""hi"")"),"ट्यूना टिक्की")</f>
        <v>ट्यूना टिक्की</v>
      </c>
      <c r="D2510" s="5"/>
      <c r="E2510" s="2" t="s">
        <v>351</v>
      </c>
      <c r="F2510" s="1">
        <v>4.0</v>
      </c>
      <c r="G2510" s="3" t="s">
        <v>7969</v>
      </c>
    </row>
    <row r="2511">
      <c r="A2511" s="3" t="s">
        <v>8227</v>
      </c>
      <c r="B2511" s="4" t="str">
        <f>IFERROR(__xludf.DUMMYFUNCTION("GOOGLETRANSLATE(A2511, ""en"", ""te"")"),"లచ్చా పరాఠా")</f>
        <v>లచ్చా పరాఠా</v>
      </c>
      <c r="C2511" s="4" t="str">
        <f>IFERROR(__xludf.DUMMYFUNCTION("GOOGLETRANSLATE(A2511, ""en"", ""hi"")"),"लच्छा पराठा")</f>
        <v>लच्छा पराठा</v>
      </c>
      <c r="D2511" s="2" t="s">
        <v>8164</v>
      </c>
      <c r="E2511" s="2" t="s">
        <v>2649</v>
      </c>
      <c r="F2511" s="1">
        <v>4.0</v>
      </c>
      <c r="G2511" s="3" t="s">
        <v>2190</v>
      </c>
    </row>
    <row r="2512">
      <c r="A2512" s="3" t="s">
        <v>8228</v>
      </c>
      <c r="B2512" s="4" t="str">
        <f>IFERROR(__xludf.DUMMYFUNCTION("GOOGLETRANSLATE(A2512, ""en"", ""te"")"),"చికెన్ బిర్యానీ")</f>
        <v>చికెన్ బిర్యానీ</v>
      </c>
      <c r="C2512" s="4" t="str">
        <f>IFERROR(__xludf.DUMMYFUNCTION("GOOGLETRANSLATE(A2512, ""en"", ""hi"")"),"चिकन बिरयानी")</f>
        <v>चिकन बिरयानी</v>
      </c>
      <c r="D2512" s="2" t="s">
        <v>1431</v>
      </c>
      <c r="E2512" s="2" t="s">
        <v>940</v>
      </c>
      <c r="F2512" s="1">
        <v>4.0</v>
      </c>
      <c r="G2512" s="3" t="s">
        <v>7969</v>
      </c>
    </row>
    <row r="2513">
      <c r="A2513" s="3" t="s">
        <v>8229</v>
      </c>
      <c r="B2513" s="4" t="str">
        <f>IFERROR(__xludf.DUMMYFUNCTION("GOOGLETRANSLATE(A2513, ""en"", ""te"")"),"నానక్ రసమలై")</f>
        <v>నానక్ రసమలై</v>
      </c>
      <c r="C2513" s="4" t="str">
        <f>IFERROR(__xludf.DUMMYFUNCTION("GOOGLETRANSLATE(A2513, ""en"", ""hi"")"),"नानक रसमलाई")</f>
        <v>नानक रसमलाई</v>
      </c>
      <c r="D2513" s="2" t="s">
        <v>6866</v>
      </c>
      <c r="E2513" s="2" t="s">
        <v>3438</v>
      </c>
      <c r="F2513" s="1">
        <v>4.0</v>
      </c>
      <c r="G2513" s="3" t="s">
        <v>7969</v>
      </c>
    </row>
    <row r="2514">
      <c r="A2514" s="3" t="s">
        <v>8230</v>
      </c>
      <c r="B2514" s="4" t="str">
        <f>IFERROR(__xludf.DUMMYFUNCTION("GOOGLETRANSLATE(A2514, ""en"", ""te"")"),"చట్నీతో అమ్మ కిచెన్ మేడు వడ")</f>
        <v>చట్నీతో అమ్మ కిచెన్ మేడు వడ</v>
      </c>
      <c r="C2514" s="4" t="str">
        <f>IFERROR(__xludf.DUMMYFUNCTION("GOOGLETRANSLATE(A2514, ""en"", ""hi"")"),"चटनी के साथ अम्मा की रसोई मेदु वड़ा")</f>
        <v>चटनी के साथ अम्मा की रसोई मेदु वड़ा</v>
      </c>
      <c r="D2514" s="2" t="s">
        <v>8231</v>
      </c>
      <c r="E2514" s="2" t="s">
        <v>351</v>
      </c>
      <c r="F2514" s="1">
        <v>4.0</v>
      </c>
      <c r="G2514" s="3" t="s">
        <v>7969</v>
      </c>
    </row>
    <row r="2515">
      <c r="A2515" s="3" t="s">
        <v>8232</v>
      </c>
      <c r="B2515" s="4" t="str">
        <f>IFERROR(__xludf.DUMMYFUNCTION("GOOGLETRANSLATE(A2515, ""en"", ""te"")"),"రోహు స్టీక్")</f>
        <v>రోహు స్టీక్</v>
      </c>
      <c r="C2515" s="4" t="str">
        <f>IFERROR(__xludf.DUMMYFUNCTION("GOOGLETRANSLATE(A2515, ""en"", ""hi"")"),"रोहू स्टेक")</f>
        <v>रोहू स्टेक</v>
      </c>
      <c r="D2515" s="5"/>
      <c r="E2515" s="2" t="s">
        <v>351</v>
      </c>
      <c r="F2515" s="1">
        <v>4.0</v>
      </c>
      <c r="G2515" s="3" t="s">
        <v>7969</v>
      </c>
    </row>
    <row r="2516">
      <c r="A2516" s="3" t="s">
        <v>8233</v>
      </c>
      <c r="B2516" s="4" t="str">
        <f>IFERROR(__xludf.DUMMYFUNCTION("GOOGLETRANSLATE(A2516, ""en"", ""te"")"),"కైసే తందూరి చికెన్")</f>
        <v>కైసే తందూరి చికెన్</v>
      </c>
      <c r="C2516" s="4" t="str">
        <f>IFERROR(__xludf.DUMMYFUNCTION("GOOGLETRANSLATE(A2516, ""en"", ""hi"")"),"कैसे तंदूरी चिकन")</f>
        <v>कैसे तंदूरी चिकन</v>
      </c>
      <c r="D2516" s="5"/>
      <c r="E2516" s="2" t="s">
        <v>940</v>
      </c>
      <c r="F2516" s="1">
        <v>4.0</v>
      </c>
      <c r="G2516" s="3" t="s">
        <v>55</v>
      </c>
    </row>
    <row r="2517">
      <c r="A2517" s="3" t="s">
        <v>8234</v>
      </c>
      <c r="B2517" s="4" t="str">
        <f>IFERROR(__xludf.DUMMYFUNCTION("GOOGLETRANSLATE(A2517, ""en"", ""te"")"),"బికాజీ చికెన్ కబాబ్ రోల్")</f>
        <v>బికాజీ చికెన్ కబాబ్ రోల్</v>
      </c>
      <c r="C2517" s="4" t="str">
        <f>IFERROR(__xludf.DUMMYFUNCTION("GOOGLETRANSLATE(A2517, ""en"", ""hi"")"),"बिकाजी चिकन कबाब रोल")</f>
        <v>बिकाजी चिकन कबाब रोल</v>
      </c>
      <c r="D2517" s="2" t="s">
        <v>8235</v>
      </c>
      <c r="E2517" s="2" t="s">
        <v>1294</v>
      </c>
      <c r="F2517" s="1">
        <v>4.0</v>
      </c>
      <c r="G2517" s="3" t="s">
        <v>55</v>
      </c>
    </row>
    <row r="2518">
      <c r="A2518" s="3" t="s">
        <v>8236</v>
      </c>
      <c r="B2518" s="4" t="str">
        <f>IFERROR(__xludf.DUMMYFUNCTION("GOOGLETRANSLATE(A2518, ""en"", ""te"")"),"చప్లీ కబాబ్")</f>
        <v>చప్లీ కబాబ్</v>
      </c>
      <c r="C2518" s="4" t="str">
        <f>IFERROR(__xludf.DUMMYFUNCTION("GOOGLETRANSLATE(A2518, ""en"", ""hi"")"),"चपली कबाब")</f>
        <v>चपली कबाब</v>
      </c>
      <c r="D2518" s="2" t="s">
        <v>8235</v>
      </c>
      <c r="E2518" s="2" t="s">
        <v>1294</v>
      </c>
      <c r="F2518" s="1">
        <v>4.0</v>
      </c>
      <c r="G2518" s="3" t="s">
        <v>57</v>
      </c>
    </row>
    <row r="2519">
      <c r="A2519" s="3" t="s">
        <v>8237</v>
      </c>
      <c r="B2519" s="4" t="str">
        <f>IFERROR(__xludf.DUMMYFUNCTION("GOOGLETRANSLATE(A2519, ""en"", ""te"")"),"లాంబ్ బిర్యానీ")</f>
        <v>లాంబ్ బిర్యానీ</v>
      </c>
      <c r="C2519" s="4" t="str">
        <f>IFERROR(__xludf.DUMMYFUNCTION("GOOGLETRANSLATE(A2519, ""en"", ""hi"")"),"लैंब बिरयानी")</f>
        <v>लैंब बिरयानी</v>
      </c>
      <c r="D2519" s="2" t="s">
        <v>1431</v>
      </c>
      <c r="E2519" s="2" t="s">
        <v>9</v>
      </c>
      <c r="F2519" s="1">
        <v>4.0</v>
      </c>
      <c r="G2519" s="3" t="s">
        <v>57</v>
      </c>
    </row>
    <row r="2520">
      <c r="A2520" s="3" t="s">
        <v>8238</v>
      </c>
      <c r="B2520" s="4" t="str">
        <f>IFERROR(__xludf.DUMMYFUNCTION("GOOGLETRANSLATE(A2520, ""en"", ""te"")"),"సీఖ్ కబాబ్")</f>
        <v>సీఖ్ కబాబ్</v>
      </c>
      <c r="C2520" s="4" t="str">
        <f>IFERROR(__xludf.DUMMYFUNCTION("GOOGLETRANSLATE(A2520, ""en"", ""hi"")"),"सीख कबाब")</f>
        <v>सीख कबाब</v>
      </c>
      <c r="D2520" s="2" t="s">
        <v>8235</v>
      </c>
      <c r="E2520" s="2" t="s">
        <v>1294</v>
      </c>
      <c r="F2520" s="1">
        <v>4.0</v>
      </c>
      <c r="G2520" s="3" t="s">
        <v>57</v>
      </c>
    </row>
    <row r="2521">
      <c r="A2521" s="3" t="s">
        <v>1828</v>
      </c>
      <c r="B2521" s="4" t="str">
        <f>IFERROR(__xludf.DUMMYFUNCTION("GOOGLETRANSLATE(A2521, ""en"", ""te"")"),"చికెన్ విండాలూ")</f>
        <v>చికెన్ విండాలూ</v>
      </c>
      <c r="C2521" s="4" t="str">
        <f>IFERROR(__xludf.DUMMYFUNCTION("GOOGLETRANSLATE(A2521, ""en"", ""hi"")"),"चिकन विंदालू")</f>
        <v>चिकन विंदालू</v>
      </c>
      <c r="D2521" s="2" t="s">
        <v>8239</v>
      </c>
      <c r="E2521" s="2" t="s">
        <v>940</v>
      </c>
      <c r="F2521" s="1">
        <v>4.0</v>
      </c>
      <c r="G2521" s="3" t="s">
        <v>63</v>
      </c>
    </row>
    <row r="2522">
      <c r="A2522" s="3" t="s">
        <v>8240</v>
      </c>
      <c r="B2522" s="4" t="str">
        <f>IFERROR(__xludf.DUMMYFUNCTION("GOOGLETRANSLATE(A2522, ""en"", ""te"")"),"కడాయి చికెన్")</f>
        <v>కడాయి చికెన్</v>
      </c>
      <c r="C2522" s="4" t="str">
        <f>IFERROR(__xludf.DUMMYFUNCTION("GOOGLETRANSLATE(A2522, ""en"", ""hi"")"),"कढ़ाई चिकन")</f>
        <v>कढ़ाई चिकन</v>
      </c>
      <c r="D2522" s="2" t="s">
        <v>8241</v>
      </c>
      <c r="E2522" s="2" t="s">
        <v>940</v>
      </c>
      <c r="F2522" s="1">
        <v>4.0</v>
      </c>
      <c r="G2522" s="3" t="s">
        <v>63</v>
      </c>
    </row>
    <row r="2523">
      <c r="A2523" s="3" t="s">
        <v>8228</v>
      </c>
      <c r="B2523" s="4" t="str">
        <f>IFERROR(__xludf.DUMMYFUNCTION("GOOGLETRANSLATE(A2523, ""en"", ""te"")"),"చికెన్ బిర్యానీ")</f>
        <v>చికెన్ బిర్యానీ</v>
      </c>
      <c r="C2523" s="4" t="str">
        <f>IFERROR(__xludf.DUMMYFUNCTION("GOOGLETRANSLATE(A2523, ""en"", ""hi"")"),"चिकन बिरयानी")</f>
        <v>चिकन बिरयानी</v>
      </c>
      <c r="D2523" s="2" t="s">
        <v>1431</v>
      </c>
      <c r="E2523" s="2" t="s">
        <v>940</v>
      </c>
      <c r="F2523" s="1">
        <v>4.0</v>
      </c>
      <c r="G2523" s="3" t="s">
        <v>63</v>
      </c>
    </row>
    <row r="2524">
      <c r="A2524" s="3" t="s">
        <v>8242</v>
      </c>
      <c r="B2524" s="4" t="str">
        <f>IFERROR(__xludf.DUMMYFUNCTION("GOOGLETRANSLATE(A2524, ""en"", ""te"")"),"షాహీ చికెన్ కోర్మా")</f>
        <v>షాహీ చికెన్ కోర్మా</v>
      </c>
      <c r="C2524" s="4" t="str">
        <f>IFERROR(__xludf.DUMMYFUNCTION("GOOGLETRANSLATE(A2524, ""en"", ""hi"")"),"शाही चिकन कोरमा")</f>
        <v>शाही चिकन कोरमा</v>
      </c>
      <c r="D2524" s="2" t="s">
        <v>8243</v>
      </c>
      <c r="E2524" s="2" t="s">
        <v>940</v>
      </c>
      <c r="F2524" s="1">
        <v>4.0</v>
      </c>
      <c r="G2524" s="3" t="s">
        <v>63</v>
      </c>
    </row>
    <row r="2525">
      <c r="A2525" s="3" t="s">
        <v>8244</v>
      </c>
      <c r="B2525" s="4" t="str">
        <f>IFERROR(__xludf.DUMMYFUNCTION("GOOGLETRANSLATE(A2525, ""en"", ""te"")"),"చికెన్ చప్లీ కబాబ్")</f>
        <v>చికెన్ చప్లీ కబాబ్</v>
      </c>
      <c r="C2525" s="4" t="str">
        <f>IFERROR(__xludf.DUMMYFUNCTION("GOOGLETRANSLATE(A2525, ""en"", ""hi"")"),"चिकन चपली कबाब")</f>
        <v>चिकन चपली कबाब</v>
      </c>
      <c r="D2525" s="2" t="s">
        <v>8245</v>
      </c>
      <c r="E2525" s="2" t="s">
        <v>940</v>
      </c>
      <c r="F2525" s="1">
        <v>4.0</v>
      </c>
      <c r="G2525" s="3" t="s">
        <v>68</v>
      </c>
    </row>
    <row r="2526">
      <c r="A2526" s="3" t="s">
        <v>8212</v>
      </c>
      <c r="B2526" s="4" t="str">
        <f>IFERROR(__xludf.DUMMYFUNCTION("GOOGLETRANSLATE(A2526, ""en"", ""te"")"),"చికెన్ సమోసా")</f>
        <v>చికెన్ సమోసా</v>
      </c>
      <c r="C2526" s="4" t="str">
        <f>IFERROR(__xludf.DUMMYFUNCTION("GOOGLETRANSLATE(A2526, ""en"", ""hi"")"),"चिकन समोसा")</f>
        <v>चिकन समोसा</v>
      </c>
      <c r="D2526" s="2" t="s">
        <v>4932</v>
      </c>
      <c r="E2526" s="2" t="s">
        <v>1294</v>
      </c>
      <c r="F2526" s="1">
        <v>4.0</v>
      </c>
      <c r="G2526" s="3" t="s">
        <v>68</v>
      </c>
    </row>
    <row r="2527">
      <c r="A2527" s="3" t="s">
        <v>8246</v>
      </c>
      <c r="B2527" s="4" t="str">
        <f>IFERROR(__xludf.DUMMYFUNCTION("GOOGLETRANSLATE(A2527, ""en"", ""te"")"),"షానవాజ్ చికెన్")</f>
        <v>షానవాజ్ చికెన్</v>
      </c>
      <c r="C2527" s="4" t="str">
        <f>IFERROR(__xludf.DUMMYFUNCTION("GOOGLETRANSLATE(A2527, ""en"", ""hi"")"),"शाहनवाज़ चिकन")</f>
        <v>शाहनवाज़ चिकन</v>
      </c>
      <c r="D2527" s="2" t="s">
        <v>4425</v>
      </c>
      <c r="E2527" s="2" t="s">
        <v>940</v>
      </c>
      <c r="F2527" s="1">
        <v>4.0</v>
      </c>
      <c r="G2527" s="3" t="s">
        <v>68</v>
      </c>
    </row>
    <row r="2528">
      <c r="A2528" s="3" t="s">
        <v>8247</v>
      </c>
      <c r="B2528" s="4" t="str">
        <f>IFERROR(__xludf.DUMMYFUNCTION("GOOGLETRANSLATE(A2528, ""en"", ""te"")"),"చికెన్ షామీ కబాబ్")</f>
        <v>చికెన్ షామీ కబాబ్</v>
      </c>
      <c r="C2528" s="4" t="str">
        <f>IFERROR(__xludf.DUMMYFUNCTION("GOOGLETRANSLATE(A2528, ""en"", ""hi"")"),"चिकन शमी कबाब")</f>
        <v>चिकन शमी कबाब</v>
      </c>
      <c r="D2528" s="2" t="s">
        <v>2233</v>
      </c>
      <c r="E2528" s="2" t="s">
        <v>1294</v>
      </c>
      <c r="F2528" s="1">
        <v>4.0</v>
      </c>
      <c r="G2528" s="3" t="s">
        <v>68</v>
      </c>
    </row>
    <row r="2529">
      <c r="A2529" s="3" t="s">
        <v>8248</v>
      </c>
      <c r="B2529" s="4" t="str">
        <f>IFERROR(__xludf.DUMMYFUNCTION("GOOGLETRANSLATE(A2529, ""en"", ""te"")"),"చికెన్ టిక్కా")</f>
        <v>చికెన్ టిక్కా</v>
      </c>
      <c r="C2529" s="4" t="str">
        <f>IFERROR(__xludf.DUMMYFUNCTION("GOOGLETRANSLATE(A2529, ""en"", ""hi"")"),"चिकन टिक्का")</f>
        <v>चिकन टिक्का</v>
      </c>
      <c r="D2529" s="2" t="s">
        <v>1459</v>
      </c>
      <c r="E2529" s="2" t="s">
        <v>1294</v>
      </c>
      <c r="F2529" s="1">
        <v>4.0</v>
      </c>
      <c r="G2529" s="3" t="s">
        <v>68</v>
      </c>
    </row>
    <row r="2530">
      <c r="A2530" s="3" t="s">
        <v>8249</v>
      </c>
      <c r="B2530" s="4" t="str">
        <f>IFERROR(__xludf.DUMMYFUNCTION("GOOGLETRANSLATE(A2530, ""en"", ""te"")"),"గజర్ హల్వా")</f>
        <v>గజర్ హల్వా</v>
      </c>
      <c r="C2530" s="4" t="str">
        <f>IFERROR(__xludf.DUMMYFUNCTION("GOOGLETRANSLATE(A2530, ""en"", ""hi"")"),"गाजर हलवा")</f>
        <v>गाजर हलवा</v>
      </c>
      <c r="D2530" s="5"/>
      <c r="E2530" s="2" t="s">
        <v>3438</v>
      </c>
      <c r="F2530" s="1">
        <v>4.0</v>
      </c>
      <c r="G2530" s="3" t="s">
        <v>8250</v>
      </c>
    </row>
    <row r="2531">
      <c r="A2531" s="3" t="s">
        <v>8251</v>
      </c>
      <c r="B2531" s="4" t="str">
        <f>IFERROR(__xludf.DUMMYFUNCTION("GOOGLETRANSLATE(A2531, ""en"", ""te"")"),"బికాజీ మినీ గులాబ్ జామున్")</f>
        <v>బికాజీ మినీ గులాబ్ జామున్</v>
      </c>
      <c r="C2531" s="4" t="str">
        <f>IFERROR(__xludf.DUMMYFUNCTION("GOOGLETRANSLATE(A2531, ""en"", ""hi"")"),"बिकाजी मिनी गुलाब जामुन")</f>
        <v>बिकाजी मिनी गुलाब जामुन</v>
      </c>
      <c r="D2531" s="5"/>
      <c r="E2531" s="2" t="s">
        <v>3438</v>
      </c>
      <c r="F2531" s="1">
        <v>4.0</v>
      </c>
      <c r="G2531" s="3" t="s">
        <v>8250</v>
      </c>
    </row>
    <row r="2532">
      <c r="A2532" s="3" t="s">
        <v>8252</v>
      </c>
      <c r="B2532" s="4" t="str">
        <f>IFERROR(__xludf.DUMMYFUNCTION("GOOGLETRANSLATE(A2532, ""en"", ""te"")"),"బికాజీ మలై రబ్రి")</f>
        <v>బికాజీ మలై రబ్రి</v>
      </c>
      <c r="C2532" s="4" t="str">
        <f>IFERROR(__xludf.DUMMYFUNCTION("GOOGLETRANSLATE(A2532, ""en"", ""hi"")"),"बिकाजी मलाई रबड़ी")</f>
        <v>बिकाजी मलाई रबड़ी</v>
      </c>
      <c r="D2532" s="5"/>
      <c r="E2532" s="2" t="s">
        <v>2369</v>
      </c>
      <c r="F2532" s="1">
        <v>4.0</v>
      </c>
      <c r="G2532" s="3" t="s">
        <v>8250</v>
      </c>
    </row>
    <row r="2533">
      <c r="A2533" s="3" t="s">
        <v>8229</v>
      </c>
      <c r="B2533" s="4" t="str">
        <f>IFERROR(__xludf.DUMMYFUNCTION("GOOGLETRANSLATE(A2533, ""en"", ""te"")"),"నానక్ రసమలై")</f>
        <v>నానక్ రసమలై</v>
      </c>
      <c r="C2533" s="4" t="str">
        <f>IFERROR(__xludf.DUMMYFUNCTION("GOOGLETRANSLATE(A2533, ""en"", ""hi"")"),"नानक रसमलाई")</f>
        <v>नानक रसमलाई</v>
      </c>
      <c r="D2533" s="2" t="s">
        <v>6866</v>
      </c>
      <c r="E2533" s="2" t="s">
        <v>3438</v>
      </c>
      <c r="F2533" s="1">
        <v>4.0</v>
      </c>
      <c r="G2533" s="3" t="s">
        <v>8250</v>
      </c>
    </row>
    <row r="2534">
      <c r="A2534" s="3" t="s">
        <v>8253</v>
      </c>
      <c r="B2534" s="4" t="str">
        <f>IFERROR(__xludf.DUMMYFUNCTION("GOOGLETRANSLATE(A2534, ""en"", ""te"")"),"హల్దీరామ్ పరాఠా")</f>
        <v>హల్దీరామ్ పరాఠా</v>
      </c>
      <c r="C2534" s="4" t="str">
        <f>IFERROR(__xludf.DUMMYFUNCTION("GOOGLETRANSLATE(A2534, ""en"", ""hi"")"),"हल्दीराम का पराठा")</f>
        <v>हल्दीराम का पराठा</v>
      </c>
      <c r="D2534" s="2" t="s">
        <v>8254</v>
      </c>
      <c r="E2534" s="2" t="s">
        <v>1294</v>
      </c>
      <c r="F2534" s="1">
        <v>4.0</v>
      </c>
      <c r="G2534" s="3" t="s">
        <v>2190</v>
      </c>
    </row>
    <row r="2535">
      <c r="A2535" s="3" t="s">
        <v>8255</v>
      </c>
      <c r="B2535" s="4" t="str">
        <f>IFERROR(__xludf.DUMMYFUNCTION("GOOGLETRANSLATE(A2535, ""en"", ""te"")"),"మినిట్ ఖానా హోమ్‌స్టైల్ పరాఠా")</f>
        <v>మినిట్ ఖానా హోమ్‌స్టైల్ పరాఠా</v>
      </c>
      <c r="C2535" s="4" t="str">
        <f>IFERROR(__xludf.DUMMYFUNCTION("GOOGLETRANSLATE(A2535, ""en"", ""hi"")"),"मिनट खाना होमस्टाइल पराठा")</f>
        <v>मिनट खाना होमस्टाइल पराठा</v>
      </c>
      <c r="D2535" s="2" t="s">
        <v>8256</v>
      </c>
      <c r="E2535" s="2" t="s">
        <v>1294</v>
      </c>
      <c r="F2535" s="1">
        <v>4.0</v>
      </c>
      <c r="G2535" s="3" t="s">
        <v>2190</v>
      </c>
    </row>
    <row r="2536">
      <c r="A2536" s="3" t="s">
        <v>8257</v>
      </c>
      <c r="B2536" s="4" t="str">
        <f>IFERROR(__xludf.DUMMYFUNCTION("GOOGLETRANSLATE(A2536, ""en"", ""te"")"),"నిమిషం ఖానా లచ్చా పరాఠా")</f>
        <v>నిమిషం ఖానా లచ్చా పరాఠా</v>
      </c>
      <c r="C2536" s="4" t="str">
        <f>IFERROR(__xludf.DUMMYFUNCTION("GOOGLETRANSLATE(A2536, ""en"", ""hi"")"),"मिनट खाना लच्छा पराठा")</f>
        <v>मिनट खाना लच्छा पराठा</v>
      </c>
      <c r="D2536" s="2" t="s">
        <v>8258</v>
      </c>
      <c r="E2536" s="2" t="s">
        <v>1294</v>
      </c>
      <c r="F2536" s="1">
        <v>4.0</v>
      </c>
      <c r="G2536" s="3" t="s">
        <v>2190</v>
      </c>
    </row>
    <row r="2537">
      <c r="A2537" s="3" t="s">
        <v>8259</v>
      </c>
      <c r="B2537" s="4" t="str">
        <f>IFERROR(__xludf.DUMMYFUNCTION("GOOGLETRANSLATE(A2537, ""en"", ""te"")"),"సీఫుడ్ డిలైట్")</f>
        <v>సీఫుడ్ డిలైట్</v>
      </c>
      <c r="C2537" s="4" t="str">
        <f>IFERROR(__xludf.DUMMYFUNCTION("GOOGLETRANSLATE(A2537, ""en"", ""hi"")"),"समुद्री भोजन का आनंद")</f>
        <v>समुद्री भोजन का आनंद</v>
      </c>
      <c r="D2537" s="5"/>
      <c r="E2537" s="2" t="s">
        <v>351</v>
      </c>
      <c r="F2537" s="1">
        <v>4.0</v>
      </c>
      <c r="G2537" s="3" t="s">
        <v>7969</v>
      </c>
    </row>
    <row r="2538">
      <c r="A2538" s="3" t="s">
        <v>8260</v>
      </c>
      <c r="B2538" s="4" t="str">
        <f>IFERROR(__xludf.DUMMYFUNCTION("GOOGLETRANSLATE(A2538, ""en"", ""te"")"),"పుట్టు")</f>
        <v>పుట్టు</v>
      </c>
      <c r="C2538" s="4" t="str">
        <f>IFERROR(__xludf.DUMMYFUNCTION("GOOGLETRANSLATE(A2538, ""en"", ""hi"")"),"पुट्टू")</f>
        <v>पुट्टू</v>
      </c>
      <c r="D2538" s="2" t="s">
        <v>8261</v>
      </c>
      <c r="E2538" s="2" t="s">
        <v>2700</v>
      </c>
      <c r="F2538" s="1">
        <v>4.0</v>
      </c>
      <c r="G2538" s="3" t="s">
        <v>7969</v>
      </c>
    </row>
    <row r="2539">
      <c r="A2539" s="3" t="s">
        <v>8262</v>
      </c>
      <c r="B2539" s="4" t="str">
        <f>IFERROR(__xludf.DUMMYFUNCTION("GOOGLETRANSLATE(A2539, ""en"", ""te"")"),"వెండి చేప")</f>
        <v>వెండి చేప</v>
      </c>
      <c r="C2539" s="4" t="str">
        <f>IFERROR(__xludf.DUMMYFUNCTION("GOOGLETRANSLATE(A2539, ""en"", ""hi"")"),"सिल्वर मछली")</f>
        <v>सिल्वर मछली</v>
      </c>
      <c r="D2539" s="5"/>
      <c r="E2539" s="2" t="s">
        <v>2700</v>
      </c>
      <c r="F2539" s="1">
        <v>4.0</v>
      </c>
      <c r="G2539" s="3" t="s">
        <v>7969</v>
      </c>
    </row>
    <row r="2540">
      <c r="A2540" s="3" t="s">
        <v>8263</v>
      </c>
      <c r="B2540" s="4" t="str">
        <f>IFERROR(__xludf.DUMMYFUNCTION("GOOGLETRANSLATE(A2540, ""en"", ""te"")"),"మేధు వడ")</f>
        <v>మేధు వడ</v>
      </c>
      <c r="C2540" s="4" t="str">
        <f>IFERROR(__xludf.DUMMYFUNCTION("GOOGLETRANSLATE(A2540, ""en"", ""hi"")"),"मेधु वड़ा")</f>
        <v>मेधु वड़ा</v>
      </c>
      <c r="D2540" s="2" t="s">
        <v>8264</v>
      </c>
      <c r="E2540" s="2" t="s">
        <v>1294</v>
      </c>
      <c r="F2540" s="1">
        <v>4.0</v>
      </c>
      <c r="G2540" s="3" t="s">
        <v>7969</v>
      </c>
    </row>
    <row r="2541">
      <c r="A2541" s="3" t="s">
        <v>8265</v>
      </c>
      <c r="B2541" s="4" t="str">
        <f>IFERROR(__xludf.DUMMYFUNCTION("GOOGLETRANSLATE(A2541, ""en"", ""te"")"),"ఆనంద్ కోజుక్కట్ట")</f>
        <v>ఆనంద్ కోజుక్కట్ట</v>
      </c>
      <c r="C2541" s="4" t="str">
        <f>IFERROR(__xludf.DUMMYFUNCTION("GOOGLETRANSLATE(A2541, ""en"", ""hi"")"),"आनंद कोझुक्कट्टा")</f>
        <v>आनंद कोझुक्कट्टा</v>
      </c>
      <c r="D2541" s="5"/>
      <c r="E2541" s="2" t="s">
        <v>940</v>
      </c>
      <c r="F2541" s="1">
        <v>4.0</v>
      </c>
      <c r="G2541" s="3" t="s">
        <v>2208</v>
      </c>
    </row>
    <row r="2542">
      <c r="A2542" s="3" t="s">
        <v>8266</v>
      </c>
      <c r="B2542" s="4" t="str">
        <f>IFERROR(__xludf.DUMMYFUNCTION("GOOGLETRANSLATE(A2542, ""en"", ""te"")"),"కైజర్ తందూరి చికెన్ రోల్")</f>
        <v>కైజర్ తందూరి చికెన్ రోల్</v>
      </c>
      <c r="C2542" s="4" t="str">
        <f>IFERROR(__xludf.DUMMYFUNCTION("GOOGLETRANSLATE(A2542, ""en"", ""hi"")"),"कैसर तंदूरी चिकन रोल")</f>
        <v>कैसर तंदूरी चिकन रोल</v>
      </c>
      <c r="D2542" s="5"/>
      <c r="E2542" s="2" t="s">
        <v>940</v>
      </c>
      <c r="F2542" s="1">
        <v>4.0</v>
      </c>
      <c r="G2542" s="3" t="s">
        <v>2208</v>
      </c>
    </row>
    <row r="2543">
      <c r="A2543" s="3" t="s">
        <v>8267</v>
      </c>
      <c r="B2543" s="4" t="str">
        <f>IFERROR(__xludf.DUMMYFUNCTION("GOOGLETRANSLATE(A2543, ""en"", ""te"")"),"కైజర్ చికెన్ కబాబ్ రోల్")</f>
        <v>కైజర్ చికెన్ కబాబ్ రోల్</v>
      </c>
      <c r="C2543" s="4" t="str">
        <f>IFERROR(__xludf.DUMMYFUNCTION("GOOGLETRANSLATE(A2543, ""en"", ""hi"")"),"कैसर चिकन कबाब रोल")</f>
        <v>कैसर चिकन कबाब रोल</v>
      </c>
      <c r="D2543" s="2" t="s">
        <v>977</v>
      </c>
      <c r="E2543" s="2" t="s">
        <v>940</v>
      </c>
      <c r="F2543" s="1">
        <v>4.0</v>
      </c>
      <c r="G2543" s="3" t="s">
        <v>2208</v>
      </c>
    </row>
    <row r="2544">
      <c r="A2544" s="3" t="s">
        <v>8268</v>
      </c>
      <c r="B2544" s="4" t="str">
        <f>IFERROR(__xludf.DUMMYFUNCTION("GOOGLETRANSLATE(A2544, ""en"", ""te"")"),"ఆనంద్ ఫ్యామిలీ ప్యాక్ మలబార్ పరోటా")</f>
        <v>ఆనంద్ ఫ్యామిలీ ప్యాక్ మలబార్ పరోటా</v>
      </c>
      <c r="C2544" s="4" t="str">
        <f>IFERROR(__xludf.DUMMYFUNCTION("GOOGLETRANSLATE(A2544, ""en"", ""hi"")"),"आनंद फैमिली पैक मालाबार परोटा")</f>
        <v>आनंद फैमिली पैक मालाबार परोटा</v>
      </c>
      <c r="D2544" s="5"/>
      <c r="E2544" s="2" t="s">
        <v>2649</v>
      </c>
      <c r="F2544" s="1">
        <v>4.0</v>
      </c>
      <c r="G2544" s="3" t="s">
        <v>2208</v>
      </c>
    </row>
    <row r="2545">
      <c r="A2545" s="3" t="s">
        <v>8211</v>
      </c>
      <c r="B2545" s="4" t="str">
        <f>IFERROR(__xludf.DUMMYFUNCTION("GOOGLETRANSLATE(A2545, ""en"", ""te"")"),"లాంబ్ సీఖ్ కబాబ్")</f>
        <v>లాంబ్ సీఖ్ కబాబ్</v>
      </c>
      <c r="C2545" s="4" t="str">
        <f>IFERROR(__xludf.DUMMYFUNCTION("GOOGLETRANSLATE(A2545, ""en"", ""hi"")"),"लैंब सीख कबाब")</f>
        <v>लैंब सीख कबाब</v>
      </c>
      <c r="D2545" s="2" t="s">
        <v>8002</v>
      </c>
      <c r="E2545" s="2" t="s">
        <v>940</v>
      </c>
      <c r="F2545" s="1">
        <v>4.0</v>
      </c>
      <c r="G2545" s="3" t="s">
        <v>2208</v>
      </c>
    </row>
    <row r="2546">
      <c r="A2546" s="3" t="s">
        <v>8269</v>
      </c>
      <c r="B2546" s="4" t="str">
        <f>IFERROR(__xludf.DUMMYFUNCTION("GOOGLETRANSLATE(A2546, ""en"", ""te"")"),"నిమిషం ఖానా")</f>
        <v>నిమిషం ఖానా</v>
      </c>
      <c r="C2546" s="4" t="str">
        <f>IFERROR(__xludf.DUMMYFUNCTION("GOOGLETRANSLATE(A2546, ""en"", ""hi"")"),"मिनट खाना")</f>
        <v>मिनट खाना</v>
      </c>
      <c r="D2546" s="5"/>
      <c r="E2546" s="2" t="s">
        <v>940</v>
      </c>
      <c r="F2546" s="1">
        <v>4.0</v>
      </c>
      <c r="G2546" s="3" t="s">
        <v>2241</v>
      </c>
    </row>
    <row r="2547">
      <c r="A2547" s="3" t="s">
        <v>1810</v>
      </c>
      <c r="B2547" s="4" t="str">
        <f>IFERROR(__xludf.DUMMYFUNCTION("GOOGLETRANSLATE(A2547, ""en"", ""te"")"),"చికెన్ కీమా")</f>
        <v>చికెన్ కీమా</v>
      </c>
      <c r="C2547" s="4" t="str">
        <f>IFERROR(__xludf.DUMMYFUNCTION("GOOGLETRANSLATE(A2547, ""en"", ""hi"")"),"चिकन कीमा")</f>
        <v>चिकन कीमा</v>
      </c>
      <c r="D2547" s="2" t="s">
        <v>8270</v>
      </c>
      <c r="E2547" s="2" t="s">
        <v>351</v>
      </c>
      <c r="F2547" s="1">
        <v>4.0</v>
      </c>
      <c r="G2547" s="3" t="s">
        <v>2241</v>
      </c>
    </row>
    <row r="2548">
      <c r="A2548" s="3" t="s">
        <v>8236</v>
      </c>
      <c r="B2548" s="4" t="str">
        <f>IFERROR(__xludf.DUMMYFUNCTION("GOOGLETRANSLATE(A2548, ""en"", ""te"")"),"చప్లీ కబాబ్")</f>
        <v>చప్లీ కబాబ్</v>
      </c>
      <c r="C2548" s="4" t="str">
        <f>IFERROR(__xludf.DUMMYFUNCTION("GOOGLETRANSLATE(A2548, ""en"", ""hi"")"),"चपली कबाब")</f>
        <v>चपली कबाब</v>
      </c>
      <c r="D2548" s="2" t="s">
        <v>8235</v>
      </c>
      <c r="E2548" s="2" t="s">
        <v>1294</v>
      </c>
      <c r="F2548" s="1">
        <v>4.0</v>
      </c>
      <c r="G2548" s="3" t="s">
        <v>2241</v>
      </c>
    </row>
    <row r="2549">
      <c r="A2549" s="3" t="s">
        <v>8271</v>
      </c>
      <c r="B2549" s="4" t="str">
        <f>IFERROR(__xludf.DUMMYFUNCTION("GOOGLETRANSLATE(A2549, ""en"", ""te"")"),"మటన్ కొబ్బరి ఫ్రై")</f>
        <v>మటన్ కొబ్బరి ఫ్రై</v>
      </c>
      <c r="C2549" s="4" t="str">
        <f>IFERROR(__xludf.DUMMYFUNCTION("GOOGLETRANSLATE(A2549, ""en"", ""hi"")"),"मटन नारियल फ्राई")</f>
        <v>मटन नारियल फ्राई</v>
      </c>
      <c r="D2549" s="5"/>
      <c r="E2549" s="2" t="s">
        <v>351</v>
      </c>
      <c r="F2549" s="1">
        <v>4.0</v>
      </c>
      <c r="G2549" s="3" t="s">
        <v>2269</v>
      </c>
    </row>
    <row r="2550">
      <c r="A2550" s="3" t="s">
        <v>8272</v>
      </c>
      <c r="B2550" s="4" t="str">
        <f>IFERROR(__xludf.DUMMYFUNCTION("GOOGLETRANSLATE(A2550, ""en"", ""te"")"),"డైలీ డిలైట్ టాపియోకా విత్ ఫిష్ కర్రీ")</f>
        <v>డైలీ డిలైట్ టాపియోకా విత్ ఫిష్ కర్రీ</v>
      </c>
      <c r="C2550" s="4" t="str">
        <f>IFERROR(__xludf.DUMMYFUNCTION("GOOGLETRANSLATE(A2550, ""en"", ""hi"")"),"डेली डिलाइट टैपिओका विद फिश करी")</f>
        <v>डेली डिलाइट टैपिओका विद फिश करी</v>
      </c>
      <c r="D2550" s="5"/>
      <c r="E2550" s="2" t="s">
        <v>351</v>
      </c>
      <c r="F2550" s="1">
        <v>4.0</v>
      </c>
      <c r="G2550" s="3" t="s">
        <v>2269</v>
      </c>
    </row>
    <row r="2551">
      <c r="A2551" s="3" t="s">
        <v>8273</v>
      </c>
      <c r="B2551" s="4" t="str">
        <f>IFERROR(__xludf.DUMMYFUNCTION("GOOGLETRANSLATE(A2551, ""en"", ""te"")"),"చికెన్ కర్రీ")</f>
        <v>చికెన్ కర్రీ</v>
      </c>
      <c r="C2551" s="4" t="str">
        <f>IFERROR(__xludf.DUMMYFUNCTION("GOOGLETRANSLATE(A2551, ""en"", ""hi"")"),"चिकन करी")</f>
        <v>चिकन करी</v>
      </c>
      <c r="D2551" s="2" t="s">
        <v>8274</v>
      </c>
      <c r="E2551" s="2" t="s">
        <v>946</v>
      </c>
      <c r="F2551" s="1">
        <v>4.0</v>
      </c>
      <c r="G2551" s="3" t="s">
        <v>2269</v>
      </c>
    </row>
    <row r="2552">
      <c r="A2552" s="3" t="s">
        <v>8240</v>
      </c>
      <c r="B2552" s="4" t="str">
        <f>IFERROR(__xludf.DUMMYFUNCTION("GOOGLETRANSLATE(A2552, ""en"", ""te"")"),"కడాయి చికెన్")</f>
        <v>కడాయి చికెన్</v>
      </c>
      <c r="C2552" s="4" t="str">
        <f>IFERROR(__xludf.DUMMYFUNCTION("GOOGLETRANSLATE(A2552, ""en"", ""hi"")"),"कढ़ाई चिकन")</f>
        <v>कढ़ाई चिकन</v>
      </c>
      <c r="D2552" s="2" t="s">
        <v>8241</v>
      </c>
      <c r="E2552" s="2" t="s">
        <v>940</v>
      </c>
      <c r="F2552" s="1">
        <v>4.0</v>
      </c>
      <c r="G2552" s="3" t="s">
        <v>2269</v>
      </c>
    </row>
    <row r="2553">
      <c r="A2553" s="3" t="s">
        <v>8212</v>
      </c>
      <c r="B2553" s="4" t="str">
        <f>IFERROR(__xludf.DUMMYFUNCTION("GOOGLETRANSLATE(A2553, ""en"", ""te"")"),"చికెన్ సమోసా")</f>
        <v>చికెన్ సమోసా</v>
      </c>
      <c r="C2553" s="4" t="str">
        <f>IFERROR(__xludf.DUMMYFUNCTION("GOOGLETRANSLATE(A2553, ""en"", ""hi"")"),"चिकन समोसा")</f>
        <v>चिकन समोसा</v>
      </c>
      <c r="D2553" s="2" t="s">
        <v>4932</v>
      </c>
      <c r="E2553" s="2" t="s">
        <v>1294</v>
      </c>
      <c r="F2553" s="1">
        <v>4.0</v>
      </c>
      <c r="G2553" s="3" t="s">
        <v>2269</v>
      </c>
    </row>
    <row r="2554">
      <c r="A2554" s="3" t="s">
        <v>8275</v>
      </c>
      <c r="B2554" s="4" t="str">
        <f>IFERROR(__xludf.DUMMYFUNCTION("GOOGLETRANSLATE(A2554, ""en"", ""te"")"),"సాదా పొరోటా")</f>
        <v>సాదా పొరోటా</v>
      </c>
      <c r="C2554" s="4" t="str">
        <f>IFERROR(__xludf.DUMMYFUNCTION("GOOGLETRANSLATE(A2554, ""en"", ""hi"")"),"प्लेन पोरोटा")</f>
        <v>प्लेन पोरोटा</v>
      </c>
      <c r="D2554" s="5"/>
      <c r="E2554" s="2" t="s">
        <v>2649</v>
      </c>
      <c r="F2554" s="1">
        <v>4.0</v>
      </c>
      <c r="G2554" s="3" t="s">
        <v>8276</v>
      </c>
    </row>
    <row r="2555">
      <c r="A2555" s="3" t="s">
        <v>8277</v>
      </c>
      <c r="B2555" s="4" t="str">
        <f>IFERROR(__xludf.DUMMYFUNCTION("GOOGLETRANSLATE(A2555, ""en"", ""te"")"),"వీచు పరోటా")</f>
        <v>వీచు పరోటా</v>
      </c>
      <c r="C2555" s="4" t="str">
        <f>IFERROR(__xludf.DUMMYFUNCTION("GOOGLETRANSLATE(A2555, ""en"", ""hi"")"),"वीचु परोटा")</f>
        <v>वीचु परोटा</v>
      </c>
      <c r="D2555" s="5"/>
      <c r="E2555" s="2" t="s">
        <v>2649</v>
      </c>
      <c r="F2555" s="1">
        <v>4.0</v>
      </c>
      <c r="G2555" s="3" t="s">
        <v>8276</v>
      </c>
    </row>
    <row r="2556">
      <c r="A2556" s="3" t="s">
        <v>8278</v>
      </c>
      <c r="B2556" s="4" t="str">
        <f>IFERROR(__xludf.DUMMYFUNCTION("GOOGLETRANSLATE(A2556, ""en"", ""te"")"),"హిమాలయన్ మోమో")</f>
        <v>హిమాలయన్ మోమో</v>
      </c>
      <c r="C2556" s="4" t="str">
        <f>IFERROR(__xludf.DUMMYFUNCTION("GOOGLETRANSLATE(A2556, ""en"", ""hi"")"),"हिमालयन मोमो")</f>
        <v>हिमालयन मोमो</v>
      </c>
      <c r="D2556" s="5"/>
      <c r="E2556" s="2" t="s">
        <v>351</v>
      </c>
      <c r="F2556" s="1">
        <v>4.0</v>
      </c>
      <c r="G2556" s="3" t="s">
        <v>8276</v>
      </c>
    </row>
    <row r="2557">
      <c r="A2557" s="3" t="s">
        <v>8279</v>
      </c>
      <c r="B2557" s="4" t="str">
        <f>IFERROR(__xludf.DUMMYFUNCTION("GOOGLETRANSLATE(A2557, ""en"", ""te"")"),"చికెన్ చప్లీ కబాబ్")</f>
        <v>చికెన్ చప్లీ కబాబ్</v>
      </c>
      <c r="C2557" s="4" t="str">
        <f>IFERROR(__xludf.DUMMYFUNCTION("GOOGLETRANSLATE(A2557, ""en"", ""hi"")"),"चिकन चपली कबाब")</f>
        <v>चिकन चपली कबाब</v>
      </c>
      <c r="D2557" s="5"/>
      <c r="E2557" s="2" t="s">
        <v>1294</v>
      </c>
      <c r="F2557" s="1">
        <v>4.0</v>
      </c>
      <c r="G2557" s="3" t="s">
        <v>8276</v>
      </c>
    </row>
    <row r="2558">
      <c r="A2558" s="3" t="s">
        <v>8212</v>
      </c>
      <c r="B2558" s="4" t="str">
        <f>IFERROR(__xludf.DUMMYFUNCTION("GOOGLETRANSLATE(A2558, ""en"", ""te"")"),"చికెన్ సమోసా")</f>
        <v>చికెన్ సమోసా</v>
      </c>
      <c r="C2558" s="4" t="str">
        <f>IFERROR(__xludf.DUMMYFUNCTION("GOOGLETRANSLATE(A2558, ""en"", ""hi"")"),"चिकन समोसा")</f>
        <v>चिकन समोसा</v>
      </c>
      <c r="D2558" s="2" t="s">
        <v>4932</v>
      </c>
      <c r="E2558" s="2" t="s">
        <v>1294</v>
      </c>
      <c r="F2558" s="1">
        <v>4.0</v>
      </c>
      <c r="G2558" s="3" t="s">
        <v>8276</v>
      </c>
    </row>
    <row r="2559">
      <c r="A2559" s="3" t="s">
        <v>8280</v>
      </c>
      <c r="B2559" s="4" t="str">
        <f>IFERROR(__xludf.DUMMYFUNCTION("GOOGLETRANSLATE(A2559, ""en"", ""te"")"),"షానవాజ్ షమీ కబాబ్")</f>
        <v>షానవాజ్ షమీ కబాబ్</v>
      </c>
      <c r="C2559" s="4" t="str">
        <f>IFERROR(__xludf.DUMMYFUNCTION("GOOGLETRANSLATE(A2559, ""en"", ""hi"")"),"शाहनवाज़ शमी कबाब")</f>
        <v>शाहनवाज़ शमी कबाब</v>
      </c>
      <c r="D2559" s="2" t="s">
        <v>2233</v>
      </c>
      <c r="E2559" s="2" t="s">
        <v>1294</v>
      </c>
      <c r="F2559" s="1">
        <v>4.0</v>
      </c>
      <c r="G2559" s="3" t="s">
        <v>8276</v>
      </c>
    </row>
    <row r="2560">
      <c r="A2560" s="3" t="s">
        <v>8281</v>
      </c>
      <c r="B2560" s="4" t="str">
        <f>IFERROR(__xludf.DUMMYFUNCTION("GOOGLETRANSLATE(A2560, ""en"", ""te"")"),"పరాఠా")</f>
        <v>పరాఠా</v>
      </c>
      <c r="C2560" s="4" t="str">
        <f>IFERROR(__xludf.DUMMYFUNCTION("GOOGLETRANSLATE(A2560, ""en"", ""hi"")"),"पराठा")</f>
        <v>पराठा</v>
      </c>
      <c r="D2560" s="5"/>
      <c r="E2560" s="2" t="s">
        <v>2649</v>
      </c>
      <c r="F2560" s="1">
        <v>4.0</v>
      </c>
      <c r="G2560" s="3" t="s">
        <v>5746</v>
      </c>
    </row>
    <row r="2561">
      <c r="A2561" s="3" t="s">
        <v>8282</v>
      </c>
      <c r="B2561" s="4" t="str">
        <f>IFERROR(__xludf.DUMMYFUNCTION("GOOGLETRANSLATE(A2561, ""en"", ""te"")"),"రసమలై")</f>
        <v>రసమలై</v>
      </c>
      <c r="C2561" s="4" t="str">
        <f>IFERROR(__xludf.DUMMYFUNCTION("GOOGLETRANSLATE(A2561, ""en"", ""hi"")"),"रस मलाई")</f>
        <v>रस मलाई</v>
      </c>
      <c r="D2561" s="5"/>
      <c r="E2561" s="2" t="s">
        <v>3438</v>
      </c>
      <c r="F2561" s="1">
        <v>4.0</v>
      </c>
      <c r="G2561" s="3" t="s">
        <v>5421</v>
      </c>
    </row>
    <row r="2562">
      <c r="A2562" s="3" t="s">
        <v>4859</v>
      </c>
      <c r="B2562" s="4" t="str">
        <f>IFERROR(__xludf.DUMMYFUNCTION("GOOGLETRANSLATE(A2562, ""en"", ""te"")"),"నానక్ గజర్ హల్వా")</f>
        <v>నానక్ గజర్ హల్వా</v>
      </c>
      <c r="C2562" s="4" t="str">
        <f>IFERROR(__xludf.DUMMYFUNCTION("GOOGLETRANSLATE(A2562, ""en"", ""hi"")"),"नानक गाजर हलवा")</f>
        <v>नानक गाजर हलवा</v>
      </c>
      <c r="D2562" s="5"/>
      <c r="E2562" s="2" t="s">
        <v>3438</v>
      </c>
      <c r="F2562" s="1">
        <v>4.0</v>
      </c>
      <c r="G2562" s="3" t="s">
        <v>5421</v>
      </c>
    </row>
    <row r="2563">
      <c r="A2563" s="3" t="s">
        <v>8283</v>
      </c>
      <c r="B2563" s="4" t="str">
        <f>IFERROR(__xludf.DUMMYFUNCTION("GOOGLETRANSLATE(A2563, ""en"", ""te"")"),"బికాజీ గులాబ్ జామున్")</f>
        <v>బికాజీ గులాబ్ జామున్</v>
      </c>
      <c r="C2563" s="4" t="str">
        <f>IFERROR(__xludf.DUMMYFUNCTION("GOOGLETRANSLATE(A2563, ""en"", ""hi"")"),"बिकाजी गुलाब जामुन")</f>
        <v>बिकाजी गुलाब जामुन</v>
      </c>
      <c r="D2563" s="5"/>
      <c r="E2563" s="2" t="s">
        <v>3438</v>
      </c>
      <c r="F2563" s="1">
        <v>4.0</v>
      </c>
      <c r="G2563" s="3" t="s">
        <v>5421</v>
      </c>
    </row>
    <row r="2564">
      <c r="A2564" s="3" t="s">
        <v>8284</v>
      </c>
      <c r="B2564" s="4" t="str">
        <f>IFERROR(__xludf.DUMMYFUNCTION("GOOGLETRANSLATE(A2564, ""en"", ""te"")"),"మలై రబ్రి")</f>
        <v>మలై రబ్రి</v>
      </c>
      <c r="C2564" s="4" t="str">
        <f>IFERROR(__xludf.DUMMYFUNCTION("GOOGLETRANSLATE(A2564, ""en"", ""hi"")"),"मलाई रबड़ी")</f>
        <v>मलाई रबड़ी</v>
      </c>
      <c r="D2564" s="2" t="s">
        <v>7979</v>
      </c>
      <c r="E2564" s="2" t="s">
        <v>2369</v>
      </c>
      <c r="F2564" s="1">
        <v>4.0</v>
      </c>
      <c r="G2564" s="3" t="s">
        <v>5421</v>
      </c>
    </row>
    <row r="2565">
      <c r="A2565" s="3" t="s">
        <v>8285</v>
      </c>
      <c r="B2565" s="4" t="str">
        <f>IFERROR(__xludf.DUMMYFUNCTION("GOOGLETRANSLATE(A2565, ""en"", ""te"")"),"పట్టా")</f>
        <v>పట్టా</v>
      </c>
      <c r="C2565" s="4" t="str">
        <f>IFERROR(__xludf.DUMMYFUNCTION("GOOGLETRANSLATE(A2565, ""en"", ""hi"")"),"पत्ता")</f>
        <v>पत्ता</v>
      </c>
      <c r="D2565" s="5"/>
      <c r="E2565" s="2" t="s">
        <v>1294</v>
      </c>
      <c r="F2565" s="1">
        <v>4.0</v>
      </c>
      <c r="G2565" s="3" t="s">
        <v>5746</v>
      </c>
    </row>
    <row r="2566">
      <c r="A2566" s="3" t="s">
        <v>2477</v>
      </c>
      <c r="B2566" s="4" t="str">
        <f>IFERROR(__xludf.DUMMYFUNCTION("GOOGLETRANSLATE(A2566, ""en"", ""te"")"),"డీప్ హోమ్‌స్టైల్ పరాఠా")</f>
        <v>డీప్ హోమ్‌స్టైల్ పరాఠా</v>
      </c>
      <c r="C2566" s="4" t="str">
        <f>IFERROR(__xludf.DUMMYFUNCTION("GOOGLETRANSLATE(A2566, ""en"", ""hi"")"),"डीप होमस्टाइल पराठा")</f>
        <v>डीप होमस्टाइल पराठा</v>
      </c>
      <c r="D2566" s="2" t="s">
        <v>8286</v>
      </c>
      <c r="E2566" s="2" t="s">
        <v>4100</v>
      </c>
      <c r="F2566" s="1">
        <v>4.0</v>
      </c>
      <c r="G2566" s="3" t="s">
        <v>5425</v>
      </c>
    </row>
    <row r="2567">
      <c r="A2567" s="3" t="s">
        <v>8281</v>
      </c>
      <c r="B2567" s="4" t="str">
        <f>IFERROR(__xludf.DUMMYFUNCTION("GOOGLETRANSLATE(A2567, ""en"", ""te"")"),"పరాఠా")</f>
        <v>పరాఠా</v>
      </c>
      <c r="C2567" s="4" t="str">
        <f>IFERROR(__xludf.DUMMYFUNCTION("GOOGLETRANSLATE(A2567, ""en"", ""hi"")"),"पराठा")</f>
        <v>पराठा</v>
      </c>
      <c r="D2567" s="5"/>
      <c r="E2567" s="2" t="s">
        <v>2649</v>
      </c>
      <c r="F2567" s="1">
        <v>4.0</v>
      </c>
      <c r="G2567" s="3" t="s">
        <v>5425</v>
      </c>
    </row>
    <row r="2568">
      <c r="A2568" s="3" t="s">
        <v>8255</v>
      </c>
      <c r="B2568" s="4" t="str">
        <f>IFERROR(__xludf.DUMMYFUNCTION("GOOGLETRANSLATE(A2568, ""en"", ""te"")"),"మినిట్ ఖానా హోమ్‌స్టైల్ పరాఠా")</f>
        <v>మినిట్ ఖానా హోమ్‌స్టైల్ పరాఠా</v>
      </c>
      <c r="C2568" s="4" t="str">
        <f>IFERROR(__xludf.DUMMYFUNCTION("GOOGLETRANSLATE(A2568, ""en"", ""hi"")"),"मिनट खाना होमस्टाइल पराठा")</f>
        <v>मिनट खाना होमस्टाइल पराठा</v>
      </c>
      <c r="D2568" s="2" t="s">
        <v>8256</v>
      </c>
      <c r="E2568" s="2" t="s">
        <v>1294</v>
      </c>
      <c r="F2568" s="1">
        <v>4.0</v>
      </c>
      <c r="G2568" s="3" t="s">
        <v>5425</v>
      </c>
    </row>
    <row r="2569">
      <c r="A2569" s="3" t="s">
        <v>8257</v>
      </c>
      <c r="B2569" s="4" t="str">
        <f>IFERROR(__xludf.DUMMYFUNCTION("GOOGLETRANSLATE(A2569, ""en"", ""te"")"),"నిమిషం ఖానా లచ్చా పరాఠా")</f>
        <v>నిమిషం ఖానా లచ్చా పరాఠా</v>
      </c>
      <c r="C2569" s="4" t="str">
        <f>IFERROR(__xludf.DUMMYFUNCTION("GOOGLETRANSLATE(A2569, ""en"", ""hi"")"),"मिनट खाना लच्छा पराठा")</f>
        <v>मिनट खाना लच्छा पराठा</v>
      </c>
      <c r="D2569" s="2" t="s">
        <v>8258</v>
      </c>
      <c r="E2569" s="2" t="s">
        <v>1294</v>
      </c>
      <c r="F2569" s="1">
        <v>4.0</v>
      </c>
      <c r="G2569" s="3" t="s">
        <v>5425</v>
      </c>
    </row>
    <row r="2570">
      <c r="A2570" s="3" t="s">
        <v>8287</v>
      </c>
      <c r="B2570" s="4" t="str">
        <f>IFERROR(__xludf.DUMMYFUNCTION("GOOGLETRANSLATE(A2570, ""en"", ""te"")"),"వాదిలాల్ రాజ్‌భోగ్ శ్రీఖండ్")</f>
        <v>వాదిలాల్ రాజ్‌భోగ్ శ్రీఖండ్</v>
      </c>
      <c r="C2570" s="4" t="str">
        <f>IFERROR(__xludf.DUMMYFUNCTION("GOOGLETRANSLATE(A2570, ""en"", ""hi"")"),"वडीलाल राजभोग श्रीखंड")</f>
        <v>वडीलाल राजभोग श्रीखंड</v>
      </c>
      <c r="D2570" s="2" t="s">
        <v>7511</v>
      </c>
      <c r="E2570" s="2" t="s">
        <v>2369</v>
      </c>
      <c r="F2570" s="1">
        <v>4.0</v>
      </c>
      <c r="G2570" s="3" t="s">
        <v>5428</v>
      </c>
    </row>
    <row r="2571">
      <c r="A2571" s="3" t="s">
        <v>8288</v>
      </c>
      <c r="B2571" s="4" t="str">
        <f>IFERROR(__xludf.DUMMYFUNCTION("GOOGLETRANSLATE(A2571, ""en"", ""te"")"),"వడిలాల్ పైనాపిల్ శ్రీఖండ్")</f>
        <v>వడిలాల్ పైనాపిల్ శ్రీఖండ్</v>
      </c>
      <c r="C2571" s="4" t="str">
        <f>IFERROR(__xludf.DUMMYFUNCTION("GOOGLETRANSLATE(A2571, ""en"", ""hi"")"),"वडीलाल अनानास श्रीखंड")</f>
        <v>वडीलाल अनानास श्रीखंड</v>
      </c>
      <c r="D2571" s="2" t="s">
        <v>7511</v>
      </c>
      <c r="E2571" s="2" t="s">
        <v>2369</v>
      </c>
      <c r="F2571" s="1">
        <v>4.0</v>
      </c>
      <c r="G2571" s="3" t="s">
        <v>5428</v>
      </c>
    </row>
    <row r="2572">
      <c r="A2572" s="3" t="s">
        <v>8289</v>
      </c>
      <c r="B2572" s="4" t="str">
        <f>IFERROR(__xludf.DUMMYFUNCTION("GOOGLETRANSLATE(A2572, ""en"", ""te"")"),"వాదిలాల్ మాంగో శ్రీఖండ్")</f>
        <v>వాదిలాల్ మాంగో శ్రీఖండ్</v>
      </c>
      <c r="C2572" s="4" t="str">
        <f>IFERROR(__xludf.DUMMYFUNCTION("GOOGLETRANSLATE(A2572, ""en"", ""hi"")"),"वडीलाल मैंगो श्रीखंड")</f>
        <v>वडीलाल मैंगो श्रीखंड</v>
      </c>
      <c r="D2572" s="5"/>
      <c r="E2572" s="2" t="s">
        <v>2369</v>
      </c>
      <c r="F2572" s="1">
        <v>4.0</v>
      </c>
      <c r="G2572" s="3" t="s">
        <v>5428</v>
      </c>
    </row>
    <row r="2573">
      <c r="A2573" s="3" t="s">
        <v>8290</v>
      </c>
      <c r="B2573" s="4" t="str">
        <f>IFERROR(__xludf.DUMMYFUNCTION("GOOGLETRANSLATE(A2573, ""en"", ""te"")"),"అముల్ శ్రీఖండ్ యాలకులు")</f>
        <v>అముల్ శ్రీఖండ్ యాలకులు</v>
      </c>
      <c r="C2573" s="4" t="str">
        <f>IFERROR(__xludf.DUMMYFUNCTION("GOOGLETRANSLATE(A2573, ""en"", ""hi"")"),"अमूल श्रीखंड इलायची")</f>
        <v>अमूल श्रीखंड इलायची</v>
      </c>
      <c r="D2573" s="5"/>
      <c r="E2573" s="2" t="s">
        <v>2369</v>
      </c>
      <c r="F2573" s="1">
        <v>4.0</v>
      </c>
      <c r="G2573" s="3" t="s">
        <v>5428</v>
      </c>
    </row>
    <row r="2574">
      <c r="A2574" s="3" t="s">
        <v>8291</v>
      </c>
      <c r="B2574" s="4" t="str">
        <f>IFERROR(__xludf.DUMMYFUNCTION("GOOGLETRANSLATE(A2574, ""en"", ""te"")"),"హల్దీరామ్స్ పనీర్ మింట్ ఫింగర్")</f>
        <v>హల్దీరామ్స్ పనీర్ మింట్ ఫింగర్</v>
      </c>
      <c r="C2574" s="4" t="str">
        <f>IFERROR(__xludf.DUMMYFUNCTION("GOOGLETRANSLATE(A2574, ""en"", ""hi"")"),"हल्दीराम का पनीर मिंट फिंगर")</f>
        <v>हल्दीराम का पनीर मिंट फिंगर</v>
      </c>
      <c r="D2574" s="2" t="s">
        <v>1961</v>
      </c>
      <c r="E2574" s="2" t="s">
        <v>1294</v>
      </c>
      <c r="F2574" s="1">
        <v>4.0</v>
      </c>
      <c r="G2574" s="3" t="s">
        <v>5432</v>
      </c>
    </row>
    <row r="2575">
      <c r="A2575" s="3" t="s">
        <v>8292</v>
      </c>
      <c r="B2575" s="4" t="str">
        <f>IFERROR(__xludf.DUMMYFUNCTION("GOOGLETRANSLATE(A2575, ""en"", ""te"")"),"హల్దీరామ్స్ మినిట్ ఖానా కార్న్ కట్లెట్")</f>
        <v>హల్దీరామ్స్ మినిట్ ఖానా కార్న్ కట్లెట్</v>
      </c>
      <c r="C2575" s="4" t="str">
        <f>IFERROR(__xludf.DUMMYFUNCTION("GOOGLETRANSLATE(A2575, ""en"", ""hi"")"),"हल्दीराम का मिनट खाना कॉर्न कटलेट")</f>
        <v>हल्दीराम का मिनट खाना कॉर्न कटलेट</v>
      </c>
      <c r="D2575" s="5"/>
      <c r="E2575" s="2" t="s">
        <v>351</v>
      </c>
      <c r="F2575" s="1">
        <v>4.0</v>
      </c>
      <c r="G2575" s="3" t="s">
        <v>5432</v>
      </c>
    </row>
    <row r="2576">
      <c r="A2576" s="3" t="s">
        <v>8293</v>
      </c>
      <c r="B2576" s="4" t="str">
        <f>IFERROR(__xludf.DUMMYFUNCTION("GOOGLETRANSLATE(A2576, ""en"", ""te"")"),"హల్దీరామ్స్ పనీర్ కట్లెట్")</f>
        <v>హల్దీరామ్స్ పనీర్ కట్లెట్</v>
      </c>
      <c r="C2576" s="4" t="str">
        <f>IFERROR(__xludf.DUMMYFUNCTION("GOOGLETRANSLATE(A2576, ""en"", ""hi"")"),"हल्दीराम का पनीर कटलेट")</f>
        <v>हल्दीराम का पनीर कटलेट</v>
      </c>
      <c r="D2576" s="2" t="s">
        <v>1961</v>
      </c>
      <c r="E2576" s="2" t="s">
        <v>351</v>
      </c>
      <c r="F2576" s="1">
        <v>4.0</v>
      </c>
      <c r="G2576" s="3" t="s">
        <v>5432</v>
      </c>
    </row>
    <row r="2577">
      <c r="A2577" s="3" t="s">
        <v>8294</v>
      </c>
      <c r="B2577" s="4" t="str">
        <f>IFERROR(__xludf.DUMMYFUNCTION("GOOGLETRANSLATE(A2577, ""en"", ""te"")"),"హల్దీరామ్ యొక్క నిమిషం ఖానా రైల్వే కట్‌లెట్")</f>
        <v>హల్దీరామ్ యొక్క నిమిషం ఖానా రైల్వే కట్‌లెట్</v>
      </c>
      <c r="C2577" s="4" t="str">
        <f>IFERROR(__xludf.DUMMYFUNCTION("GOOGLETRANSLATE(A2577, ""en"", ""hi"")"),"हल्दीराम मिनट खाना रेलवे कटलेट")</f>
        <v>हल्दीराम मिनट खाना रेलवे कटलेट</v>
      </c>
      <c r="D2577" s="5"/>
      <c r="E2577" s="2" t="s">
        <v>1294</v>
      </c>
      <c r="F2577" s="1">
        <v>4.0</v>
      </c>
      <c r="G2577" s="3" t="s">
        <v>5432</v>
      </c>
    </row>
    <row r="2578">
      <c r="A2578" s="3" t="s">
        <v>8295</v>
      </c>
      <c r="B2578" s="4" t="str">
        <f>IFERROR(__xludf.DUMMYFUNCTION("GOOGLETRANSLATE(A2578, ""en"", ""te"")"),"హల్దీరామ్ యొక్క నిమిషం ఖానా బచ్చలికూర పకోరా")</f>
        <v>హల్దీరామ్ యొక్క నిమిషం ఖానా బచ్చలికూర పకోరా</v>
      </c>
      <c r="C2578" s="4" t="str">
        <f>IFERROR(__xludf.DUMMYFUNCTION("GOOGLETRANSLATE(A2578, ""en"", ""hi"")"),"हल्दीराम मिनट खाना पालक पकौड़ा")</f>
        <v>हल्दीराम मिनट खाना पालक पकौड़ा</v>
      </c>
      <c r="D2578" s="5"/>
      <c r="E2578" s="2" t="s">
        <v>1294</v>
      </c>
      <c r="F2578" s="1">
        <v>4.0</v>
      </c>
      <c r="G2578" s="3" t="s">
        <v>5432</v>
      </c>
    </row>
    <row r="2579">
      <c r="A2579" s="3" t="s">
        <v>8296</v>
      </c>
      <c r="B2579" s="4" t="str">
        <f>IFERROR(__xludf.DUMMYFUNCTION("GOOGLETRANSLATE(A2579, ""en"", ""te"")"),"హల్దీరామ్ ఉల్లిపాయ సమోసా")</f>
        <v>హల్దీరామ్ ఉల్లిపాయ సమోసా</v>
      </c>
      <c r="C2579" s="4" t="str">
        <f>IFERROR(__xludf.DUMMYFUNCTION("GOOGLETRANSLATE(A2579, ""en"", ""hi"")"),"हल्दीराम का प्याज समोसा")</f>
        <v>हल्दीराम का प्याज समोसा</v>
      </c>
      <c r="D2579" s="2" t="s">
        <v>3445</v>
      </c>
      <c r="E2579" s="2" t="s">
        <v>1294</v>
      </c>
      <c r="F2579" s="1">
        <v>4.0</v>
      </c>
      <c r="G2579" s="3" t="s">
        <v>5445</v>
      </c>
    </row>
    <row r="2580">
      <c r="A2580" s="3" t="s">
        <v>8297</v>
      </c>
      <c r="B2580" s="4" t="str">
        <f>IFERROR(__xludf.DUMMYFUNCTION("GOOGLETRANSLATE(A2580, ""en"", ""te"")"),"హల్దీరామ్ యొక్క మినిట్ ఖానా స్ప్రింగ్ రోల్")</f>
        <v>హల్దీరామ్ యొక్క మినిట్ ఖానా స్ప్రింగ్ రోల్</v>
      </c>
      <c r="C2580" s="4" t="str">
        <f>IFERROR(__xludf.DUMMYFUNCTION("GOOGLETRANSLATE(A2580, ""en"", ""hi"")"),"हल्दीराम का मिनट खाना स्प्रिंग रोल")</f>
        <v>हल्दीराम का मिनट खाना स्प्रिंग रोल</v>
      </c>
      <c r="D2580" s="5"/>
      <c r="E2580" s="2" t="s">
        <v>1294</v>
      </c>
      <c r="F2580" s="1">
        <v>4.0</v>
      </c>
      <c r="G2580" s="3" t="s">
        <v>5445</v>
      </c>
    </row>
    <row r="2581">
      <c r="A2581" s="3" t="s">
        <v>8298</v>
      </c>
      <c r="B2581" s="4" t="str">
        <f>IFERROR(__xludf.DUMMYFUNCTION("GOOGLETRANSLATE(A2581, ""en"", ""te"")"),"కూరగాయల కూరతో డైలీ డిలైట్ ఇడియప్పం")</f>
        <v>కూరగాయల కూరతో డైలీ డిలైట్ ఇడియప్పం</v>
      </c>
      <c r="C2581" s="4" t="str">
        <f>IFERROR(__xludf.DUMMYFUNCTION("GOOGLETRANSLATE(A2581, ""en"", ""hi"")"),"डेली डिलाइट इडियाप्पम सब्जी स्टू के साथ")</f>
        <v>डेली डिलाइट इडियाप्पम सब्जी स्टू के साथ</v>
      </c>
      <c r="D2581" s="5"/>
      <c r="E2581" s="2" t="s">
        <v>940</v>
      </c>
      <c r="F2581" s="1">
        <v>4.0</v>
      </c>
      <c r="G2581" s="3" t="s">
        <v>5445</v>
      </c>
    </row>
    <row r="2582">
      <c r="A2582" s="3" t="s">
        <v>8299</v>
      </c>
      <c r="B2582" s="4" t="str">
        <f>IFERROR(__xludf.DUMMYFUNCTION("GOOGLETRANSLATE(A2582, ""en"", ""te"")"),"డైలీ డిలైట్ పరిప్పువడ")</f>
        <v>డైలీ డిలైట్ పరిప్పువడ</v>
      </c>
      <c r="C2582" s="4" t="str">
        <f>IFERROR(__xludf.DUMMYFUNCTION("GOOGLETRANSLATE(A2582, ""en"", ""hi"")"),"डेली डिलाइट परिप्पुवदा")</f>
        <v>डेली डिलाइट परिप्पुवदा</v>
      </c>
      <c r="D2582" s="2" t="s">
        <v>1483</v>
      </c>
      <c r="E2582" s="2" t="s">
        <v>1294</v>
      </c>
      <c r="F2582" s="1">
        <v>4.0</v>
      </c>
      <c r="G2582" s="3" t="s">
        <v>5445</v>
      </c>
    </row>
    <row r="2583">
      <c r="A2583" s="3" t="s">
        <v>8300</v>
      </c>
      <c r="B2583" s="4" t="str">
        <f>IFERROR(__xludf.DUMMYFUNCTION("GOOGLETRANSLATE(A2583, ""en"", ""te"")"),"డైలీ డిలైట్ పాలకూర వడ")</f>
        <v>డైలీ డిలైట్ పాలకూర వడ</v>
      </c>
      <c r="C2583" s="4" t="str">
        <f>IFERROR(__xludf.DUMMYFUNCTION("GOOGLETRANSLATE(A2583, ""en"", ""hi"")"),"डेली डिलाइट पालक वड़ा")</f>
        <v>डेली डिलाइट पालक वड़ा</v>
      </c>
      <c r="D2583" s="2" t="s">
        <v>7569</v>
      </c>
      <c r="E2583" s="2" t="s">
        <v>1294</v>
      </c>
      <c r="F2583" s="1">
        <v>4.0</v>
      </c>
      <c r="G2583" s="3" t="s">
        <v>5445</v>
      </c>
    </row>
    <row r="2584">
      <c r="A2584" s="3" t="s">
        <v>8301</v>
      </c>
      <c r="B2584" s="4" t="str">
        <f>IFERROR(__xludf.DUMMYFUNCTION("GOOGLETRANSLATE(A2584, ""en"", ""te"")"),"ఆనంద్ పుట్టు")</f>
        <v>ఆనంద్ పుట్టు</v>
      </c>
      <c r="C2584" s="4" t="str">
        <f>IFERROR(__xludf.DUMMYFUNCTION("GOOGLETRANSLATE(A2584, ""en"", ""hi"")"),"आनंद पुट्टू")</f>
        <v>आनंद पुट्टू</v>
      </c>
      <c r="D2584" s="2" t="s">
        <v>8302</v>
      </c>
      <c r="E2584" s="2" t="s">
        <v>2649</v>
      </c>
      <c r="F2584" s="1">
        <v>4.0</v>
      </c>
      <c r="G2584" s="3" t="s">
        <v>7521</v>
      </c>
    </row>
    <row r="2585">
      <c r="A2585" s="3" t="s">
        <v>8303</v>
      </c>
      <c r="B2585" s="4" t="str">
        <f>IFERROR(__xludf.DUMMYFUNCTION("GOOGLETRANSLATE(A2585, ""en"", ""te"")"),"ఆనంద్ కేరళ పరోటా")</f>
        <v>ఆనంద్ కేరళ పరోటా</v>
      </c>
      <c r="C2585" s="4" t="str">
        <f>IFERROR(__xludf.DUMMYFUNCTION("GOOGLETRANSLATE(A2585, ""en"", ""hi"")"),"आनंद केरल परोटा")</f>
        <v>आनंद केरल परोटा</v>
      </c>
      <c r="D2585" s="2" t="s">
        <v>7685</v>
      </c>
      <c r="E2585" s="2" t="s">
        <v>940</v>
      </c>
      <c r="F2585" s="1">
        <v>4.0</v>
      </c>
      <c r="G2585" s="3" t="s">
        <v>7521</v>
      </c>
    </row>
    <row r="2586">
      <c r="A2586" s="3" t="s">
        <v>8304</v>
      </c>
      <c r="B2586" s="4" t="str">
        <f>IFERROR(__xludf.DUMMYFUNCTION("GOOGLETRANSLATE(A2586, ""en"", ""te"")"),"ఆనంద్ మలబార్ పరోటా")</f>
        <v>ఆనంద్ మలబార్ పరోటా</v>
      </c>
      <c r="C2586" s="4" t="str">
        <f>IFERROR(__xludf.DUMMYFUNCTION("GOOGLETRANSLATE(A2586, ""en"", ""hi"")"),"आनंद मालाबार परोटा")</f>
        <v>आनंद मालाबार परोटा</v>
      </c>
      <c r="D2586" s="2" t="s">
        <v>8305</v>
      </c>
      <c r="E2586" s="2" t="s">
        <v>940</v>
      </c>
      <c r="F2586" s="1">
        <v>4.0</v>
      </c>
      <c r="G2586" s="3" t="s">
        <v>7521</v>
      </c>
    </row>
    <row r="2587">
      <c r="A2587" s="3" t="s">
        <v>8306</v>
      </c>
      <c r="B2587" s="4" t="str">
        <f>IFERROR(__xludf.DUMMYFUNCTION("GOOGLETRANSLATE(A2587, ""en"", ""te"")"),"ఆనంద్ హోల్ వీట్ మలబార్ పరోటా")</f>
        <v>ఆనంద్ హోల్ వీట్ మలబార్ పరోటా</v>
      </c>
      <c r="C2587" s="4" t="str">
        <f>IFERROR(__xludf.DUMMYFUNCTION("GOOGLETRANSLATE(A2587, ""en"", ""hi"")"),"आनंद होल व्हीट मालाबार परोटा")</f>
        <v>आनंद होल व्हीट मालाबार परोटा</v>
      </c>
      <c r="D2587" s="2" t="s">
        <v>7243</v>
      </c>
      <c r="E2587" s="2" t="s">
        <v>2649</v>
      </c>
      <c r="F2587" s="1">
        <v>4.0</v>
      </c>
      <c r="G2587" s="3" t="s">
        <v>7521</v>
      </c>
    </row>
    <row r="2588">
      <c r="A2588" s="3" t="s">
        <v>8307</v>
      </c>
      <c r="B2588" s="4" t="str">
        <f>IFERROR(__xludf.DUMMYFUNCTION("GOOGLETRANSLATE(A2588, ""en"", ""te"")"),"కేరళ మలబార్ పొరోటా రుచులు")</f>
        <v>కేరళ మలబార్ పొరోటా రుచులు</v>
      </c>
      <c r="C2588" s="4" t="str">
        <f>IFERROR(__xludf.DUMMYFUNCTION("GOOGLETRANSLATE(A2588, ""en"", ""hi"")"),"केरल मालाबार पोरोटा का स्वाद")</f>
        <v>केरल मालाबार पोरोटा का स्वाद</v>
      </c>
      <c r="D2588" s="5"/>
      <c r="E2588" s="2" t="s">
        <v>2649</v>
      </c>
      <c r="F2588" s="1">
        <v>4.0</v>
      </c>
      <c r="G2588" s="3" t="s">
        <v>7521</v>
      </c>
    </row>
    <row r="2589">
      <c r="A2589" s="3" t="s">
        <v>8308</v>
      </c>
      <c r="B2589" s="4" t="str">
        <f>IFERROR(__xludf.DUMMYFUNCTION("GOOGLETRANSLATE(A2589, ""en"", ""te"")"),"కవాన్ పరాఠా ఉల్లిపాయ")</f>
        <v>కవాన్ పరాఠా ఉల్లిపాయ</v>
      </c>
      <c r="C2589" s="4" t="str">
        <f>IFERROR(__xludf.DUMMYFUNCTION("GOOGLETRANSLATE(A2589, ""en"", ""hi"")"),"कवान पराठा प्याज")</f>
        <v>कवान पराठा प्याज</v>
      </c>
      <c r="D2589" s="5"/>
      <c r="E2589" s="2" t="s">
        <v>2649</v>
      </c>
      <c r="F2589" s="1">
        <v>4.0</v>
      </c>
      <c r="G2589" s="3" t="s">
        <v>7521</v>
      </c>
    </row>
    <row r="2590">
      <c r="A2590" s="3" t="s">
        <v>8309</v>
      </c>
      <c r="B2590" s="4" t="str">
        <f>IFERROR(__xludf.DUMMYFUNCTION("GOOGLETRANSLATE(A2590, ""en"", ""te"")"),"కవాన్ పరాఠా కొవ్వును తగ్గిస్తుంది")</f>
        <v>కవాన్ పరాఠా కొవ్వును తగ్గిస్తుంది</v>
      </c>
      <c r="C2590" s="4" t="str">
        <f>IFERROR(__xludf.DUMMYFUNCTION("GOOGLETRANSLATE(A2590, ""en"", ""hi"")"),"कम वसा वाला कवान पराठा")</f>
        <v>कम वसा वाला कवान पराठा</v>
      </c>
      <c r="D2590" s="5"/>
      <c r="E2590" s="2" t="s">
        <v>2649</v>
      </c>
      <c r="F2590" s="1">
        <v>4.0</v>
      </c>
      <c r="G2590" s="3" t="s">
        <v>7521</v>
      </c>
    </row>
    <row r="2591">
      <c r="A2591" s="3" t="s">
        <v>8310</v>
      </c>
      <c r="B2591" s="4" t="str">
        <f>IFERROR(__xludf.DUMMYFUNCTION("GOOGLETRANSLATE(A2591, ""en"", ""te"")"),"హల్దీరామ్స్ పొరోటా")</f>
        <v>హల్దీరామ్స్ పొరోటా</v>
      </c>
      <c r="C2591" s="4" t="str">
        <f>IFERROR(__xludf.DUMMYFUNCTION("GOOGLETRANSLATE(A2591, ""en"", ""hi"")"),"हल्दीराम का परोठा")</f>
        <v>हल्दीराम का परोठा</v>
      </c>
      <c r="D2591" s="5"/>
      <c r="E2591" s="2" t="s">
        <v>2649</v>
      </c>
      <c r="F2591" s="1">
        <v>4.0</v>
      </c>
      <c r="G2591" s="3" t="s">
        <v>5428</v>
      </c>
    </row>
    <row r="2592">
      <c r="A2592" s="3" t="s">
        <v>8296</v>
      </c>
      <c r="B2592" s="4" t="str">
        <f>IFERROR(__xludf.DUMMYFUNCTION("GOOGLETRANSLATE(A2592, ""en"", ""te"")"),"హల్దీరామ్ ఉల్లిపాయ సమోసా")</f>
        <v>హల్దీరామ్ ఉల్లిపాయ సమోసా</v>
      </c>
      <c r="C2592" s="4" t="str">
        <f>IFERROR(__xludf.DUMMYFUNCTION("GOOGLETRANSLATE(A2592, ""en"", ""hi"")"),"हल्दीराम का प्याज समोसा")</f>
        <v>हल्दीराम का प्याज समोसा</v>
      </c>
      <c r="D2592" s="2" t="s">
        <v>3445</v>
      </c>
      <c r="E2592" s="2" t="s">
        <v>1294</v>
      </c>
      <c r="F2592" s="1">
        <v>4.0</v>
      </c>
      <c r="G2592" s="3" t="s">
        <v>5432</v>
      </c>
    </row>
    <row r="2593">
      <c r="A2593" s="3" t="s">
        <v>8311</v>
      </c>
      <c r="B2593" s="4" t="str">
        <f>IFERROR(__xludf.DUMMYFUNCTION("GOOGLETRANSLATE(A2593, ""en"", ""te"")"),"హల్దీరామ్స్ స్ప్రింగ్ రోల్")</f>
        <v>హల్దీరామ్స్ స్ప్రింగ్ రోల్</v>
      </c>
      <c r="C2593" s="4" t="str">
        <f>IFERROR(__xludf.DUMMYFUNCTION("GOOGLETRANSLATE(A2593, ""en"", ""hi"")"),"हल्दीराम का स्प्रिंग रोल")</f>
        <v>हल्दीराम का स्प्रिंग रोल</v>
      </c>
      <c r="D2593" s="5"/>
      <c r="E2593" s="2" t="s">
        <v>1294</v>
      </c>
      <c r="F2593" s="1">
        <v>4.0</v>
      </c>
      <c r="G2593" s="3" t="s">
        <v>5432</v>
      </c>
    </row>
    <row r="2594">
      <c r="A2594" s="3" t="s">
        <v>8312</v>
      </c>
      <c r="B2594" s="4" t="str">
        <f>IFERROR(__xludf.DUMMYFUNCTION("GOOGLETRANSLATE(A2594, ""en"", ""te"")"),"పరిప్పువద")</f>
        <v>పరిప్పువద</v>
      </c>
      <c r="C2594" s="4" t="str">
        <f>IFERROR(__xludf.DUMMYFUNCTION("GOOGLETRANSLATE(A2594, ""en"", ""hi"")"),"परिप्पुवादा")</f>
        <v>परिप्पुवादा</v>
      </c>
      <c r="D2594" s="5"/>
      <c r="E2594" s="2" t="s">
        <v>1294</v>
      </c>
      <c r="F2594" s="1">
        <v>4.0</v>
      </c>
      <c r="G2594" s="3" t="s">
        <v>5445</v>
      </c>
    </row>
    <row r="2595">
      <c r="A2595" s="3" t="s">
        <v>8313</v>
      </c>
      <c r="B2595" s="4" t="str">
        <f>IFERROR(__xludf.DUMMYFUNCTION("GOOGLETRANSLATE(A2595, ""en"", ""te"")"),"హల్దీరామ్స్ పాలకూర వడ")</f>
        <v>హల్దీరామ్స్ పాలకూర వడ</v>
      </c>
      <c r="C2595" s="4" t="str">
        <f>IFERROR(__xludf.DUMMYFUNCTION("GOOGLETRANSLATE(A2595, ""en"", ""hi"")"),"हल्दीराम का पालक वड़ा")</f>
        <v>हल्दीराम का पालक वड़ा</v>
      </c>
      <c r="D2595" s="5"/>
      <c r="E2595" s="2" t="s">
        <v>1294</v>
      </c>
      <c r="F2595" s="1">
        <v>4.0</v>
      </c>
      <c r="G2595" s="3" t="s">
        <v>5445</v>
      </c>
    </row>
    <row r="2596">
      <c r="A2596" s="3" t="s">
        <v>8314</v>
      </c>
      <c r="B2596" s="4" t="str">
        <f>IFERROR(__xludf.DUMMYFUNCTION("GOOGLETRANSLATE(A2596, ""en"", ""te"")"),"కేరళ మలబార్ పరోటా రుచులు")</f>
        <v>కేరళ మలబార్ పరోటా రుచులు</v>
      </c>
      <c r="C2596" s="4" t="str">
        <f>IFERROR(__xludf.DUMMYFUNCTION("GOOGLETRANSLATE(A2596, ""en"", ""hi"")"),"केरल मालाबार परोटा का स्वाद")</f>
        <v>केरल मालाबार परोटा का स्वाद</v>
      </c>
      <c r="D2596" s="5"/>
      <c r="E2596" s="2" t="s">
        <v>2649</v>
      </c>
      <c r="F2596" s="1">
        <v>4.0</v>
      </c>
      <c r="G2596" s="3" t="s">
        <v>7521</v>
      </c>
    </row>
    <row r="2597">
      <c r="A2597" s="3" t="s">
        <v>8272</v>
      </c>
      <c r="B2597" s="4" t="str">
        <f>IFERROR(__xludf.DUMMYFUNCTION("GOOGLETRANSLATE(A2597, ""en"", ""te"")"),"డైలీ డిలైట్ టాపియోకా విత్ ఫిష్ కర్రీ")</f>
        <v>డైలీ డిలైట్ టాపియోకా విత్ ఫిష్ కర్రీ</v>
      </c>
      <c r="C2597" s="4" t="str">
        <f>IFERROR(__xludf.DUMMYFUNCTION("GOOGLETRANSLATE(A2597, ""en"", ""hi"")"),"डेली डिलाइट टैपिओका विद फिश करी")</f>
        <v>डेली डिलाइट टैपिओका विद फिश करी</v>
      </c>
      <c r="D2597" s="5"/>
      <c r="E2597" s="2" t="s">
        <v>351</v>
      </c>
      <c r="F2597" s="1">
        <v>4.0</v>
      </c>
      <c r="G2597" s="3" t="s">
        <v>7521</v>
      </c>
    </row>
    <row r="2598">
      <c r="A2598" s="3" t="s">
        <v>8315</v>
      </c>
      <c r="B2598" s="4" t="str">
        <f>IFERROR(__xludf.DUMMYFUNCTION("GOOGLETRANSLATE(A2598, ""en"", ""te"")"),"ఆనంద్ వెజిటబుల్ పరోటా")</f>
        <v>ఆనంద్ వెజిటబుల్ పరోటా</v>
      </c>
      <c r="C2598" s="4" t="str">
        <f>IFERROR(__xludf.DUMMYFUNCTION("GOOGLETRANSLATE(A2598, ""en"", ""hi"")"),"आनंद वेजिटेबल परोटा")</f>
        <v>आनंद वेजिटेबल परोटा</v>
      </c>
      <c r="D2598" s="5"/>
      <c r="E2598" s="2" t="s">
        <v>2649</v>
      </c>
      <c r="F2598" s="1">
        <v>4.0</v>
      </c>
      <c r="G2598" s="3" t="s">
        <v>7521</v>
      </c>
    </row>
    <row r="2599">
      <c r="A2599" s="3" t="s">
        <v>8316</v>
      </c>
      <c r="B2599" s="4" t="str">
        <f>IFERROR(__xludf.DUMMYFUNCTION("GOOGLETRANSLATE(A2599, ""en"", ""te"")"),"ఆనంద్ లేయర్డ్ పొరోటా")</f>
        <v>ఆనంద్ లేయర్డ్ పొరోటా</v>
      </c>
      <c r="C2599" s="4" t="str">
        <f>IFERROR(__xludf.DUMMYFUNCTION("GOOGLETRANSLATE(A2599, ""en"", ""hi"")"),"आनंद लेयर्ड परोठा")</f>
        <v>आनंद लेयर्ड परोठा</v>
      </c>
      <c r="D2599" s="5"/>
      <c r="E2599" s="2" t="s">
        <v>2649</v>
      </c>
      <c r="F2599" s="1">
        <v>4.0</v>
      </c>
      <c r="G2599" s="3" t="s">
        <v>5746</v>
      </c>
    </row>
    <row r="2600">
      <c r="A2600" s="3" t="s">
        <v>8317</v>
      </c>
      <c r="B2600" s="4" t="str">
        <f>IFERROR(__xludf.DUMMYFUNCTION("GOOGLETRANSLATE(A2600, ""en"", ""te"")"),"కవాన్ ఉల్లిపాయ పరాఠా")</f>
        <v>కవాన్ ఉల్లిపాయ పరాఠా</v>
      </c>
      <c r="C2600" s="4" t="str">
        <f>IFERROR(__xludf.DUMMYFUNCTION("GOOGLETRANSLATE(A2600, ""en"", ""hi"")"),"कवान प्याज पराठा")</f>
        <v>कवान प्याज पराठा</v>
      </c>
      <c r="D2600" s="2" t="s">
        <v>3445</v>
      </c>
      <c r="E2600" s="2" t="s">
        <v>2649</v>
      </c>
      <c r="F2600" s="1">
        <v>4.0</v>
      </c>
      <c r="G2600" s="3" t="s">
        <v>5746</v>
      </c>
    </row>
    <row r="2601">
      <c r="A2601" s="3" t="s">
        <v>8318</v>
      </c>
      <c r="B2601" s="4" t="str">
        <f>IFERROR(__xludf.DUMMYFUNCTION("GOOGLETRANSLATE(A2601, ""en"", ""te"")"),"కవాన్ తక్కువ కొవ్వు పరాఠా")</f>
        <v>కవాన్ తక్కువ కొవ్వు పరాఠా</v>
      </c>
      <c r="C2601" s="4" t="str">
        <f>IFERROR(__xludf.DUMMYFUNCTION("GOOGLETRANSLATE(A2601, ""en"", ""hi"")"),"कवान रिड्यूस्ड फैट पराठा")</f>
        <v>कवान रिड्यूस्ड फैट पराठा</v>
      </c>
      <c r="D2601" s="2" t="s">
        <v>8254</v>
      </c>
      <c r="E2601" s="2" t="s">
        <v>2649</v>
      </c>
      <c r="F2601" s="1">
        <v>4.0</v>
      </c>
      <c r="G2601" s="3" t="s">
        <v>5746</v>
      </c>
    </row>
    <row r="2602">
      <c r="A2602" s="3" t="s">
        <v>8319</v>
      </c>
      <c r="B2602" s="4" t="str">
        <f>IFERROR(__xludf.DUMMYFUNCTION("GOOGLETRANSLATE(A2602, ""en"", ""te"")"),"హల్దీరామ్ యొక్క రసమలై")</f>
        <v>హల్దీరామ్ యొక్క రసమలై</v>
      </c>
      <c r="C2602" s="4" t="str">
        <f>IFERROR(__xludf.DUMMYFUNCTION("GOOGLETRANSLATE(A2602, ""en"", ""hi"")"),"हल्दीराम की रस मलाई")</f>
        <v>हल्दीराम की रस मलाई</v>
      </c>
      <c r="D2602" s="5"/>
      <c r="E2602" s="2" t="s">
        <v>3438</v>
      </c>
      <c r="F2602" s="1">
        <v>4.0</v>
      </c>
      <c r="G2602" s="3" t="s">
        <v>5421</v>
      </c>
    </row>
    <row r="2603">
      <c r="A2603" s="3" t="s">
        <v>2477</v>
      </c>
      <c r="B2603" s="4" t="str">
        <f>IFERROR(__xludf.DUMMYFUNCTION("GOOGLETRANSLATE(A2603, ""en"", ""te"")"),"డీప్ హోమ్‌స్టైల్ పరాఠా")</f>
        <v>డీప్ హోమ్‌స్టైల్ పరాఠా</v>
      </c>
      <c r="C2603" s="4" t="str">
        <f>IFERROR(__xludf.DUMMYFUNCTION("GOOGLETRANSLATE(A2603, ""en"", ""hi"")"),"डीप होमस्टाइल पराठा")</f>
        <v>डीप होमस्टाइल पराठा</v>
      </c>
      <c r="D2603" s="2" t="s">
        <v>8286</v>
      </c>
      <c r="E2603" s="2" t="s">
        <v>4100</v>
      </c>
      <c r="F2603" s="1">
        <v>4.0</v>
      </c>
      <c r="G2603" s="3" t="s">
        <v>5752</v>
      </c>
    </row>
    <row r="2604">
      <c r="A2604" s="3" t="s">
        <v>3950</v>
      </c>
      <c r="B2604" s="4" t="str">
        <f>IFERROR(__xludf.DUMMYFUNCTION("GOOGLETRANSLATE(A2604, ""en"", ""te"")"),"కవాన్ చపాతీ")</f>
        <v>కవాన్ చపాతీ</v>
      </c>
      <c r="C2604" s="4" t="str">
        <f>IFERROR(__xludf.DUMMYFUNCTION("GOOGLETRANSLATE(A2604, ""en"", ""hi"")"),"कवान चपाती")</f>
        <v>कवान चपाती</v>
      </c>
      <c r="D2604" s="2" t="s">
        <v>8148</v>
      </c>
      <c r="E2604" s="2" t="s">
        <v>67</v>
      </c>
      <c r="F2604" s="1">
        <v>4.0</v>
      </c>
      <c r="G2604" s="3" t="s">
        <v>5752</v>
      </c>
    </row>
    <row r="2605">
      <c r="A2605" s="3" t="s">
        <v>8320</v>
      </c>
      <c r="B2605" s="4" t="str">
        <f>IFERROR(__xludf.DUMMYFUNCTION("GOOGLETRANSLATE(A2605, ""en"", ""te"")"),"స్వాద్ చపాతీ")</f>
        <v>స్వాద్ చపాతీ</v>
      </c>
      <c r="C2605" s="4" t="str">
        <f>IFERROR(__xludf.DUMMYFUNCTION("GOOGLETRANSLATE(A2605, ""en"", ""hi"")"),"स्वाद चपाती")</f>
        <v>स्वाद चपाती</v>
      </c>
      <c r="D2605" s="2" t="s">
        <v>8321</v>
      </c>
      <c r="E2605" s="2" t="s">
        <v>67</v>
      </c>
      <c r="F2605" s="1">
        <v>4.0</v>
      </c>
      <c r="G2605" s="3" t="s">
        <v>5752</v>
      </c>
    </row>
    <row r="2606">
      <c r="A2606" s="3" t="s">
        <v>8322</v>
      </c>
      <c r="B2606" s="4" t="str">
        <f>IFERROR(__xludf.DUMMYFUNCTION("GOOGLETRANSLATE(A2606, ""en"", ""te"")"),"హల్దీరామ్స్ పనీర్ పకోడా")</f>
        <v>హల్దీరామ్స్ పనీర్ పకోడా</v>
      </c>
      <c r="C2606" s="4" t="str">
        <f>IFERROR(__xludf.DUMMYFUNCTION("GOOGLETRANSLATE(A2606, ""en"", ""hi"")"),"हल्दीराम का पनीर पकोड़ा")</f>
        <v>हल्दीराम का पनीर पकोड़ा</v>
      </c>
      <c r="D2606" s="2" t="s">
        <v>8104</v>
      </c>
      <c r="E2606" s="2" t="s">
        <v>1294</v>
      </c>
      <c r="F2606" s="1">
        <v>4.0</v>
      </c>
      <c r="G2606" s="3" t="s">
        <v>7969</v>
      </c>
    </row>
    <row r="2607">
      <c r="A2607" s="3" t="s">
        <v>8323</v>
      </c>
      <c r="B2607" s="4" t="str">
        <f>IFERROR(__xludf.DUMMYFUNCTION("GOOGLETRANSLATE(A2607, ""en"", ""te"")"),"హల్దీరామ్ యొక్క నిమిషం ఖానా పకోడా")</f>
        <v>హల్దీరామ్ యొక్క నిమిషం ఖానా పకోడా</v>
      </c>
      <c r="C2607" s="4" t="str">
        <f>IFERROR(__xludf.DUMMYFUNCTION("GOOGLETRANSLATE(A2607, ""en"", ""hi"")"),"हल्दीराम मिनट खाना पकौड़ा")</f>
        <v>हल्दीराम मिनट खाना पकौड़ा</v>
      </c>
      <c r="D2607" s="5"/>
      <c r="E2607" s="2" t="s">
        <v>1294</v>
      </c>
      <c r="F2607" s="1">
        <v>4.0</v>
      </c>
      <c r="G2607" s="3" t="s">
        <v>7969</v>
      </c>
    </row>
    <row r="2608">
      <c r="A2608" s="3" t="s">
        <v>8324</v>
      </c>
      <c r="B2608" s="4" t="str">
        <f>IFERROR(__xludf.DUMMYFUNCTION("GOOGLETRANSLATE(A2608, ""en"", ""te"")"),"హల్దీరామ్ యొక్క నిమిషం ఖానా రగ్దా బైట్స్")</f>
        <v>హల్దీరామ్ యొక్క నిమిషం ఖానా రగ్దా బైట్స్</v>
      </c>
      <c r="C2608" s="4" t="str">
        <f>IFERROR(__xludf.DUMMYFUNCTION("GOOGLETRANSLATE(A2608, ""en"", ""hi"")"),"हल्दीराम मिनट खाना रगड़ा बाइट्स")</f>
        <v>हल्दीराम मिनट खाना रगड़ा बाइट्स</v>
      </c>
      <c r="D2608" s="2" t="s">
        <v>7569</v>
      </c>
      <c r="E2608" s="2" t="s">
        <v>1294</v>
      </c>
      <c r="F2608" s="1">
        <v>4.0</v>
      </c>
      <c r="G2608" s="3" t="s">
        <v>7969</v>
      </c>
    </row>
    <row r="2609">
      <c r="A2609" s="3" t="s">
        <v>8325</v>
      </c>
      <c r="B2609" s="4" t="str">
        <f>IFERROR(__xludf.DUMMYFUNCTION("GOOGLETRANSLATE(A2609, ""en"", ""te"")"),"హల్దీరామ్ యొక్క నిమిషం ఖానా బ్రెడ్ పకోడా")</f>
        <v>హల్దీరామ్ యొక్క నిమిషం ఖానా బ్రెడ్ పకోడా</v>
      </c>
      <c r="C2609" s="4" t="str">
        <f>IFERROR(__xludf.DUMMYFUNCTION("GOOGLETRANSLATE(A2609, ""en"", ""hi"")"),"हल्दीराम मिनट खाना ब्रेड पकोड़ा")</f>
        <v>हल्दीराम मिनट खाना ब्रेड पकोड़ा</v>
      </c>
      <c r="D2609" s="5"/>
      <c r="E2609" s="2" t="s">
        <v>1294</v>
      </c>
      <c r="F2609" s="1">
        <v>4.0</v>
      </c>
      <c r="G2609" s="3" t="s">
        <v>7969</v>
      </c>
    </row>
    <row r="2610">
      <c r="A2610" s="3" t="s">
        <v>8326</v>
      </c>
      <c r="B2610" s="4" t="str">
        <f>IFERROR(__xludf.DUMMYFUNCTION("GOOGLETRANSLATE(A2610, ""en"", ""te"")"),"హల్దీరామ్ యొక్క నిమిషం ఖానా వెజ్ బాల్స్")</f>
        <v>హల్దీరామ్ యొక్క నిమిషం ఖానా వెజ్ బాల్స్</v>
      </c>
      <c r="C2610" s="4" t="str">
        <f>IFERROR(__xludf.DUMMYFUNCTION("GOOGLETRANSLATE(A2610, ""en"", ""hi"")"),"हल्दीराम के मिनट खाना वेज बॉल्स")</f>
        <v>हल्दीराम के मिनट खाना वेज बॉल्स</v>
      </c>
      <c r="D2610" s="5"/>
      <c r="E2610" s="2" t="s">
        <v>1294</v>
      </c>
      <c r="F2610" s="1">
        <v>4.0</v>
      </c>
      <c r="G2610" s="3" t="s">
        <v>7969</v>
      </c>
    </row>
    <row r="2611">
      <c r="A2611" s="3" t="s">
        <v>8327</v>
      </c>
      <c r="B2611" s="4" t="str">
        <f>IFERROR(__xludf.DUMMYFUNCTION("GOOGLETRANSLATE(A2611, ""en"", ""te"")"),"హల్దీరామ్ యొక్క నిమిషం ఖానా ఆలూ వడ")</f>
        <v>హల్దీరామ్ యొక్క నిమిషం ఖానా ఆలూ వడ</v>
      </c>
      <c r="C2611" s="4" t="str">
        <f>IFERROR(__xludf.DUMMYFUNCTION("GOOGLETRANSLATE(A2611, ""en"", ""hi"")"),"हल्दीराम मिनट खाना आलू वड़ा")</f>
        <v>हल्दीराम मिनट खाना आलू वड़ा</v>
      </c>
      <c r="D2611" s="2" t="s">
        <v>8328</v>
      </c>
      <c r="E2611" s="2" t="s">
        <v>1294</v>
      </c>
      <c r="F2611" s="1">
        <v>4.0</v>
      </c>
      <c r="G2611" s="3" t="s">
        <v>7462</v>
      </c>
    </row>
    <row r="2612">
      <c r="A2612" s="3" t="s">
        <v>8329</v>
      </c>
      <c r="B2612" s="4" t="str">
        <f>IFERROR(__xludf.DUMMYFUNCTION("GOOGLETRANSLATE(A2612, ""en"", ""te"")"),"హల్దీరామ్ యొక్క నిమిషం ఖానా బటాట వడ")</f>
        <v>హల్దీరామ్ యొక్క నిమిషం ఖానా బటాట వడ</v>
      </c>
      <c r="C2612" s="4" t="str">
        <f>IFERROR(__xludf.DUMMYFUNCTION("GOOGLETRANSLATE(A2612, ""en"", ""hi"")"),"हल्दीराम मिनट खाना बटाटा वड़ा")</f>
        <v>हल्दीराम मिनट खाना बटाटा वड़ा</v>
      </c>
      <c r="D2612" s="2" t="s">
        <v>8330</v>
      </c>
      <c r="E2612" s="2" t="s">
        <v>1294</v>
      </c>
      <c r="F2612" s="1">
        <v>4.0</v>
      </c>
      <c r="G2612" s="3" t="s">
        <v>7462</v>
      </c>
    </row>
    <row r="2613">
      <c r="A2613" s="3" t="s">
        <v>8331</v>
      </c>
      <c r="B2613" s="4" t="str">
        <f>IFERROR(__xludf.DUMMYFUNCTION("GOOGLETRANSLATE(A2613, ""en"", ""te"")"),"హల్దీరామ్ యొక్క నిమిషం ఖానా మసాలా ఇడ్లీ")</f>
        <v>హల్దీరామ్ యొక్క నిమిషం ఖానా మసాలా ఇడ్లీ</v>
      </c>
      <c r="C2613" s="4" t="str">
        <f>IFERROR(__xludf.DUMMYFUNCTION("GOOGLETRANSLATE(A2613, ""en"", ""hi"")"),"हल्दीराम मिनट खाना मसाला इडली")</f>
        <v>हल्दीराम मिनट खाना मसाला इडली</v>
      </c>
      <c r="D2613" s="2" t="s">
        <v>4366</v>
      </c>
      <c r="E2613" s="2" t="s">
        <v>940</v>
      </c>
      <c r="F2613" s="1">
        <v>4.0</v>
      </c>
      <c r="G2613" s="3" t="s">
        <v>7462</v>
      </c>
    </row>
    <row r="2614">
      <c r="A2614" s="3" t="s">
        <v>8332</v>
      </c>
      <c r="B2614" s="4" t="str">
        <f>IFERROR(__xludf.DUMMYFUNCTION("GOOGLETRANSLATE(A2614, ""en"", ""te"")"),"హల్దీరామ్ యొక్క నిమిషం ఖానా దహి వడ")</f>
        <v>హల్దీరామ్ యొక్క నిమిషం ఖానా దహి వడ</v>
      </c>
      <c r="C2614" s="4" t="str">
        <f>IFERROR(__xludf.DUMMYFUNCTION("GOOGLETRANSLATE(A2614, ""en"", ""hi"")"),"हल्दीराम मिनट खाना दही वड़ा")</f>
        <v>हल्दीराम मिनट खाना दही वड़ा</v>
      </c>
      <c r="D2614" s="2" t="s">
        <v>8333</v>
      </c>
      <c r="E2614" s="2" t="s">
        <v>1294</v>
      </c>
      <c r="F2614" s="1">
        <v>4.0</v>
      </c>
      <c r="G2614" s="3" t="s">
        <v>7462</v>
      </c>
    </row>
    <row r="2615">
      <c r="A2615" s="3" t="s">
        <v>8334</v>
      </c>
      <c r="B2615" s="4" t="str">
        <f>IFERROR(__xludf.DUMMYFUNCTION("GOOGLETRANSLATE(A2615, ""en"", ""te"")"),"హల్దీరామ్ యొక్క నిమిషం ఖానా ఉల్లిపాయ భాజీ")</f>
        <v>హల్దీరామ్ యొక్క నిమిషం ఖానా ఉల్లిపాయ భాజీ</v>
      </c>
      <c r="C2615" s="4" t="str">
        <f>IFERROR(__xludf.DUMMYFUNCTION("GOOGLETRANSLATE(A2615, ""en"", ""hi"")"),"हल्दीराम मिनट खाना प्याज भाजी")</f>
        <v>हल्दीराम मिनट खाना प्याज भाजी</v>
      </c>
      <c r="D2615" s="2" t="s">
        <v>8335</v>
      </c>
      <c r="E2615" s="2" t="s">
        <v>1294</v>
      </c>
      <c r="F2615" s="1">
        <v>4.0</v>
      </c>
      <c r="G2615" s="3" t="s">
        <v>7462</v>
      </c>
    </row>
    <row r="2616">
      <c r="A2616" s="3" t="s">
        <v>8336</v>
      </c>
      <c r="B2616" s="4" t="str">
        <f>IFERROR(__xludf.DUMMYFUNCTION("GOOGLETRANSLATE(A2616, ""en"", ""te"")"),"హల్దీరామ్ యొక్క నిమిషం ఖానా సమోసా")</f>
        <v>హల్దీరామ్ యొక్క నిమిషం ఖానా సమోసా</v>
      </c>
      <c r="C2616" s="4" t="str">
        <f>IFERROR(__xludf.DUMMYFUNCTION("GOOGLETRANSLATE(A2616, ""en"", ""hi"")"),"हल्दीराम मिनट खाना समोसा")</f>
        <v>हल्दीराम मिनट खाना समोसा</v>
      </c>
      <c r="D2616" s="2" t="s">
        <v>7879</v>
      </c>
      <c r="E2616" s="2" t="s">
        <v>1294</v>
      </c>
      <c r="F2616" s="1">
        <v>4.0</v>
      </c>
      <c r="G2616" s="3" t="s">
        <v>7462</v>
      </c>
    </row>
    <row r="2617">
      <c r="A2617" s="3" t="s">
        <v>8337</v>
      </c>
      <c r="B2617" s="4" t="str">
        <f>IFERROR(__xludf.DUMMYFUNCTION("GOOGLETRANSLATE(A2617, ""en"", ""te"")"),"స్ప్రింగ్ హోమ్ స్ప్రింగ్ రోల్")</f>
        <v>స్ప్రింగ్ హోమ్ స్ప్రింగ్ రోల్</v>
      </c>
      <c r="C2617" s="4" t="str">
        <f>IFERROR(__xludf.DUMMYFUNCTION("GOOGLETRANSLATE(A2617, ""en"", ""hi"")"),"स्प्रिंग होम स्प्रिंग रोल")</f>
        <v>स्प्रिंग होम स्प्रिंग रोल</v>
      </c>
      <c r="D2617" s="5"/>
      <c r="E2617" s="2" t="s">
        <v>351</v>
      </c>
      <c r="F2617" s="1">
        <v>4.0</v>
      </c>
      <c r="G2617" s="3" t="s">
        <v>7462</v>
      </c>
    </row>
    <row r="2618">
      <c r="A2618" s="3" t="s">
        <v>8338</v>
      </c>
      <c r="B2618" s="4" t="str">
        <f>IFERROR(__xludf.DUMMYFUNCTION("GOOGLETRANSLATE(A2618, ""en"", ""te"")"),"ఆనంద్ మేడు వాడ")</f>
        <v>ఆనంద్ మేడు వాడ</v>
      </c>
      <c r="C2618" s="4" t="str">
        <f>IFERROR(__xludf.DUMMYFUNCTION("GOOGLETRANSLATE(A2618, ""en"", ""hi"")"),"आनंद मेडू वड़ा")</f>
        <v>आनंद मेडू वड़ा</v>
      </c>
      <c r="D2618" s="5"/>
      <c r="E2618" s="2" t="s">
        <v>1294</v>
      </c>
      <c r="F2618" s="1">
        <v>4.0</v>
      </c>
      <c r="G2618" s="3" t="s">
        <v>7518</v>
      </c>
    </row>
    <row r="2619">
      <c r="A2619" s="3" t="s">
        <v>8339</v>
      </c>
      <c r="B2619" s="4" t="str">
        <f>IFERROR(__xludf.DUMMYFUNCTION("GOOGLETRANSLATE(A2619, ""en"", ""te"")"),"ఆనంద్ వెజిటబుల్ పఫ్స్")</f>
        <v>ఆనంద్ వెజిటబుల్ పఫ్స్</v>
      </c>
      <c r="C2619" s="4" t="str">
        <f>IFERROR(__xludf.DUMMYFUNCTION("GOOGLETRANSLATE(A2619, ""en"", ""hi"")"),"आनंद वेजिटेबल पफ्स")</f>
        <v>आनंद वेजिटेबल पफ्स</v>
      </c>
      <c r="D2619" s="5"/>
      <c r="E2619" s="2" t="s">
        <v>1294</v>
      </c>
      <c r="F2619" s="1">
        <v>4.0</v>
      </c>
      <c r="G2619" s="3" t="s">
        <v>7518</v>
      </c>
    </row>
    <row r="2620">
      <c r="A2620" s="3" t="s">
        <v>8340</v>
      </c>
      <c r="B2620" s="4" t="str">
        <f>IFERROR(__xludf.DUMMYFUNCTION("GOOGLETRANSLATE(A2620, ""en"", ""te"")"),"ఆనంద్ వెజిటబుల్ కట్లెట్స్")</f>
        <v>ఆనంద్ వెజిటబుల్ కట్లెట్స్</v>
      </c>
      <c r="C2620" s="4" t="str">
        <f>IFERROR(__xludf.DUMMYFUNCTION("GOOGLETRANSLATE(A2620, ""en"", ""hi"")"),"आनंद वेजिटेबल कटलेट्स")</f>
        <v>आनंद वेजिटेबल कटलेट्स</v>
      </c>
      <c r="D2620" s="5"/>
      <c r="E2620" s="2" t="s">
        <v>1294</v>
      </c>
      <c r="F2620" s="1">
        <v>4.0</v>
      </c>
      <c r="G2620" s="3" t="s">
        <v>7518</v>
      </c>
    </row>
    <row r="2621">
      <c r="A2621" s="3" t="s">
        <v>8341</v>
      </c>
      <c r="B2621" s="4" t="str">
        <f>IFERROR(__xludf.DUMMYFUNCTION("GOOGLETRANSLATE(A2621, ""en"", ""te"")"),"ఆనంద్ వైట్ పఫ్స్")</f>
        <v>ఆనంద్ వైట్ పఫ్స్</v>
      </c>
      <c r="C2621" s="4" t="str">
        <f>IFERROR(__xludf.DUMMYFUNCTION("GOOGLETRANSLATE(A2621, ""en"", ""hi"")"),"आनंद व्हाइट पफ्स")</f>
        <v>आनंद व्हाइट पफ्स</v>
      </c>
      <c r="D2621" s="5"/>
      <c r="E2621" s="2" t="s">
        <v>4100</v>
      </c>
      <c r="F2621" s="1">
        <v>4.0</v>
      </c>
      <c r="G2621" s="3" t="s">
        <v>7518</v>
      </c>
    </row>
    <row r="2622">
      <c r="A2622" s="3" t="s">
        <v>8342</v>
      </c>
      <c r="B2622" s="4" t="str">
        <f>IFERROR(__xludf.DUMMYFUNCTION("GOOGLETRANSLATE(A2622, ""en"", ""te"")"),"ఆనంద్ పరోటా")</f>
        <v>ఆనంద్ పరోటా</v>
      </c>
      <c r="C2622" s="4" t="str">
        <f>IFERROR(__xludf.DUMMYFUNCTION("GOOGLETRANSLATE(A2622, ""en"", ""hi"")"),"आनंद परोटा")</f>
        <v>आनंद परोटा</v>
      </c>
      <c r="D2622" s="5"/>
      <c r="E2622" s="2" t="s">
        <v>2649</v>
      </c>
      <c r="F2622" s="1">
        <v>4.0</v>
      </c>
      <c r="G2622" s="3" t="s">
        <v>7518</v>
      </c>
    </row>
    <row r="2623">
      <c r="A2623" s="3" t="s">
        <v>8343</v>
      </c>
      <c r="B2623" s="4" t="str">
        <f>IFERROR(__xludf.DUMMYFUNCTION("GOOGLETRANSLATE(A2623, ""en"", ""te"")"),"ఆనంద్ మలబార్ పరోటా")</f>
        <v>ఆనంద్ మలబార్ పరోటా</v>
      </c>
      <c r="C2623" s="4" t="str">
        <f>IFERROR(__xludf.DUMMYFUNCTION("GOOGLETRANSLATE(A2623, ""en"", ""hi"")"),"आनंद मालाबार परोटा")</f>
        <v>आनंद मालाबार परोटा</v>
      </c>
      <c r="D2623" s="5"/>
      <c r="E2623" s="2" t="s">
        <v>2649</v>
      </c>
      <c r="F2623" s="1">
        <v>4.0</v>
      </c>
      <c r="G2623" s="3" t="s">
        <v>7518</v>
      </c>
    </row>
    <row r="2624">
      <c r="A2624" s="3" t="s">
        <v>8344</v>
      </c>
      <c r="B2624" s="4" t="str">
        <f>IFERROR(__xludf.DUMMYFUNCTION("GOOGLETRANSLATE(A2624, ""en"", ""te"")"),"శ్వేత తెలుగు ఫుడ్స్ కార్న్ సమోసా")</f>
        <v>శ్వేత తెలుగు ఫుడ్స్ కార్న్ సమోసా</v>
      </c>
      <c r="C2624" s="4" t="str">
        <f>IFERROR(__xludf.DUMMYFUNCTION("GOOGLETRANSLATE(A2624, ""en"", ""hi"")"),"स्वेता तेलुगु फूड्स कॉर्न समोसा")</f>
        <v>स्वेता तेलुगु फूड्स कॉर्न समोसा</v>
      </c>
      <c r="D2624" s="5"/>
      <c r="E2624" s="2" t="s">
        <v>1294</v>
      </c>
      <c r="F2624" s="1">
        <v>4.0</v>
      </c>
      <c r="G2624" s="3" t="s">
        <v>6087</v>
      </c>
    </row>
    <row r="2625">
      <c r="A2625" s="3" t="s">
        <v>8345</v>
      </c>
      <c r="B2625" s="4" t="str">
        <f>IFERROR(__xludf.DUMMYFUNCTION("GOOGLETRANSLATE(A2625, ""en"", ""te"")"),"శ్వేత తెలుగు ఫుడ్స్ హైదరాబాదీ ఉల్లిపాయ సమోసా")</f>
        <v>శ్వేత తెలుగు ఫుడ్స్ హైదరాబాదీ ఉల్లిపాయ సమోసా</v>
      </c>
      <c r="C2625" s="4" t="str">
        <f>IFERROR(__xludf.DUMMYFUNCTION("GOOGLETRANSLATE(A2625, ""en"", ""hi"")"),"स्वेता तेलुगु फूड्स हैदराबादी प्याज समोसा")</f>
        <v>स्वेता तेलुगु फूड्स हैदराबादी प्याज समोसा</v>
      </c>
      <c r="D2625" s="5"/>
      <c r="E2625" s="2" t="s">
        <v>1294</v>
      </c>
      <c r="F2625" s="1">
        <v>4.0</v>
      </c>
      <c r="G2625" s="3" t="s">
        <v>6087</v>
      </c>
    </row>
    <row r="2626">
      <c r="A2626" s="3" t="s">
        <v>8346</v>
      </c>
      <c r="B2626" s="4" t="str">
        <f>IFERROR(__xludf.DUMMYFUNCTION("GOOGLETRANSLATE(A2626, ""en"", ""te"")"),"శ్వేత తెలుగు ఫుడ్స్ వేరుసెనగ చట్నీ")</f>
        <v>శ్వేత తెలుగు ఫుడ్స్ వేరుసెనగ చట్నీ</v>
      </c>
      <c r="C2626" s="4" t="str">
        <f>IFERROR(__xludf.DUMMYFUNCTION("GOOGLETRANSLATE(A2626, ""en"", ""hi"")"),"स्वेता तेलुगु फूड्स वेरुसेनागा चटनी")</f>
        <v>स्वेता तेलुगु फूड्स वेरुसेनागा चटनी</v>
      </c>
      <c r="D2626" s="2" t="s">
        <v>8231</v>
      </c>
      <c r="E2626" s="2" t="s">
        <v>996</v>
      </c>
      <c r="F2626" s="1">
        <v>4.0</v>
      </c>
      <c r="G2626" s="3" t="s">
        <v>6087</v>
      </c>
    </row>
    <row r="2627">
      <c r="A2627" s="3" t="s">
        <v>8347</v>
      </c>
      <c r="B2627" s="4" t="str">
        <f>IFERROR(__xludf.DUMMYFUNCTION("GOOGLETRANSLATE(A2627, ""en"", ""te"")"),"Swetha Telugu Foods స్వీట్ కార్న్ టిక్కీ")</f>
        <v>Swetha Telugu Foods స్వీట్ కార్న్ టిక్కీ</v>
      </c>
      <c r="C2627" s="4" t="str">
        <f>IFERROR(__xludf.DUMMYFUNCTION("GOOGLETRANSLATE(A2627, ""en"", ""hi"")"),"स्वेता तेलुगु फूड्स स्वीट कॉर्न टिक्की")</f>
        <v>स्वेता तेलुगु फूड्स स्वीट कॉर्न टिक्की</v>
      </c>
      <c r="D2627" s="5"/>
      <c r="E2627" s="2" t="s">
        <v>1294</v>
      </c>
      <c r="F2627" s="1">
        <v>4.0</v>
      </c>
      <c r="G2627" s="3" t="s">
        <v>6087</v>
      </c>
    </row>
    <row r="2628">
      <c r="A2628" s="3" t="s">
        <v>8308</v>
      </c>
      <c r="B2628" s="4" t="str">
        <f>IFERROR(__xludf.DUMMYFUNCTION("GOOGLETRANSLATE(A2628, ""en"", ""te"")"),"కవాన్ పరాఠా ఉల్లిపాయ")</f>
        <v>కవాన్ పరాఠా ఉల్లిపాయ</v>
      </c>
      <c r="C2628" s="4" t="str">
        <f>IFERROR(__xludf.DUMMYFUNCTION("GOOGLETRANSLATE(A2628, ""en"", ""hi"")"),"कवान पराठा प्याज")</f>
        <v>कवान पराठा प्याज</v>
      </c>
      <c r="D2628" s="5"/>
      <c r="E2628" s="2" t="s">
        <v>2649</v>
      </c>
      <c r="F2628" s="1">
        <v>4.0</v>
      </c>
      <c r="G2628" s="3" t="s">
        <v>6087</v>
      </c>
    </row>
    <row r="2629">
      <c r="A2629" s="3" t="s">
        <v>2477</v>
      </c>
      <c r="B2629" s="4" t="str">
        <f>IFERROR(__xludf.DUMMYFUNCTION("GOOGLETRANSLATE(A2629, ""en"", ""te"")"),"డీప్ హోమ్‌స్టైల్ పరాఠా")</f>
        <v>డీప్ హోమ్‌స్టైల్ పరాఠా</v>
      </c>
      <c r="C2629" s="4" t="str">
        <f>IFERROR(__xludf.DUMMYFUNCTION("GOOGLETRANSLATE(A2629, ""en"", ""hi"")"),"डीप होमस्टाइल पराठा")</f>
        <v>डीप होमस्टाइल पराठा</v>
      </c>
      <c r="D2629" s="2" t="s">
        <v>8286</v>
      </c>
      <c r="E2629" s="2" t="s">
        <v>4100</v>
      </c>
      <c r="F2629" s="1">
        <v>4.0</v>
      </c>
      <c r="G2629" s="3" t="s">
        <v>6090</v>
      </c>
    </row>
    <row r="2630">
      <c r="A2630" s="3" t="s">
        <v>8348</v>
      </c>
      <c r="B2630" s="4" t="str">
        <f>IFERROR(__xludf.DUMMYFUNCTION("GOOGLETRANSLATE(A2630, ""en"", ""te"")"),"దీప్ చపాతీ")</f>
        <v>దీప్ చపాతీ</v>
      </c>
      <c r="C2630" s="4" t="str">
        <f>IFERROR(__xludf.DUMMYFUNCTION("GOOGLETRANSLATE(A2630, ""en"", ""hi"")"),"डीप चपाती")</f>
        <v>डीप चपाती</v>
      </c>
      <c r="D2630" s="2" t="s">
        <v>8321</v>
      </c>
      <c r="E2630" s="2" t="s">
        <v>2649</v>
      </c>
      <c r="F2630" s="1">
        <v>4.0</v>
      </c>
      <c r="G2630" s="3" t="s">
        <v>6090</v>
      </c>
    </row>
    <row r="2631">
      <c r="A2631" s="3" t="s">
        <v>8349</v>
      </c>
      <c r="B2631" s="4" t="str">
        <f>IFERROR(__xludf.DUMMYFUNCTION("GOOGLETRANSLATE(A2631, ""en"", ""te"")"),"అమ్మ వంటగది మేడు వడ")</f>
        <v>అమ్మ వంటగది మేడు వడ</v>
      </c>
      <c r="C2631" s="4" t="str">
        <f>IFERROR(__xludf.DUMMYFUNCTION("GOOGLETRANSLATE(A2631, ""en"", ""hi"")"),"अम्मा की रसोई का मेडू वड़ा")</f>
        <v>अम्मा की रसोई का मेडू वड़ा</v>
      </c>
      <c r="D2631" s="2" t="s">
        <v>8264</v>
      </c>
      <c r="E2631" s="2" t="s">
        <v>940</v>
      </c>
      <c r="F2631" s="1">
        <v>4.0</v>
      </c>
      <c r="G2631" s="3" t="s">
        <v>7969</v>
      </c>
    </row>
    <row r="2632">
      <c r="A2632" s="3" t="s">
        <v>8350</v>
      </c>
      <c r="B2632" s="4" t="str">
        <f>IFERROR(__xludf.DUMMYFUNCTION("GOOGLETRANSLATE(A2632, ""en"", ""te"")"),"శ్వేత వెరుసెనగా చట్నీ")</f>
        <v>శ్వేత వెరుసెనగా చట్నీ</v>
      </c>
      <c r="C2632" s="4" t="str">
        <f>IFERROR(__xludf.DUMMYFUNCTION("GOOGLETRANSLATE(A2632, ""en"", ""hi"")"),"श्वेता वेरुसेनागा चटनी")</f>
        <v>श्वेता वेरुसेनागा चटनी</v>
      </c>
      <c r="D2632" s="2" t="s">
        <v>8231</v>
      </c>
      <c r="E2632" s="2" t="s">
        <v>996</v>
      </c>
      <c r="F2632" s="1">
        <v>4.0</v>
      </c>
      <c r="G2632" s="3" t="s">
        <v>5756</v>
      </c>
    </row>
    <row r="2633">
      <c r="A2633" s="3" t="s">
        <v>8287</v>
      </c>
      <c r="B2633" s="4" t="str">
        <f>IFERROR(__xludf.DUMMYFUNCTION("GOOGLETRANSLATE(A2633, ""en"", ""te"")"),"వాదిలాల్ రాజ్‌భోగ్ శ్రీఖండ్")</f>
        <v>వాదిలాల్ రాజ్‌భోగ్ శ్రీఖండ్</v>
      </c>
      <c r="C2633" s="4" t="str">
        <f>IFERROR(__xludf.DUMMYFUNCTION("GOOGLETRANSLATE(A2633, ""en"", ""hi"")"),"वडीलाल राजभोग श्रीखंड")</f>
        <v>वडीलाल राजभोग श्रीखंड</v>
      </c>
      <c r="D2633" s="2" t="s">
        <v>7511</v>
      </c>
      <c r="E2633" s="2" t="s">
        <v>2369</v>
      </c>
      <c r="F2633" s="1">
        <v>4.0</v>
      </c>
      <c r="G2633" s="3" t="s">
        <v>7969</v>
      </c>
    </row>
    <row r="2634">
      <c r="A2634" s="3" t="s">
        <v>8351</v>
      </c>
      <c r="B2634" s="4" t="str">
        <f>IFERROR(__xludf.DUMMYFUNCTION("GOOGLETRANSLATE(A2634, ""en"", ""te"")"),"హల్దీరామ్ మినిట్ ఖానా పనీర్ పకోడా")</f>
        <v>హల్దీరామ్ మినిట్ ఖానా పనీర్ పకోడా</v>
      </c>
      <c r="C2634" s="4" t="str">
        <f>IFERROR(__xludf.DUMMYFUNCTION("GOOGLETRANSLATE(A2634, ""en"", ""hi"")"),"हल्दीराम मिनट खाना पनीर पकोड़ा")</f>
        <v>हल्दीराम मिनट खाना पनीर पकोड़ा</v>
      </c>
      <c r="D2634" s="5"/>
      <c r="E2634" s="2" t="s">
        <v>1294</v>
      </c>
      <c r="F2634" s="1">
        <v>4.0</v>
      </c>
      <c r="G2634" s="3" t="s">
        <v>7969</v>
      </c>
    </row>
    <row r="2635">
      <c r="A2635" s="3" t="s">
        <v>8352</v>
      </c>
      <c r="B2635" s="4" t="str">
        <f>IFERROR(__xludf.DUMMYFUNCTION("GOOGLETRANSLATE(A2635, ""en"", ""te"")"),"హల్దీరామ్ మినిట్ ఖానా మిర్చి పకోడా")</f>
        <v>హల్దీరామ్ మినిట్ ఖానా మిర్చి పకోడా</v>
      </c>
      <c r="C2635" s="4" t="str">
        <f>IFERROR(__xludf.DUMMYFUNCTION("GOOGLETRANSLATE(A2635, ""en"", ""hi"")"),"हल्दीराम मिनट खाना मिर्ची पकौड़ा")</f>
        <v>हल्दीराम मिनट खाना मिर्ची पकौड़ा</v>
      </c>
      <c r="D2635" s="2" t="s">
        <v>7569</v>
      </c>
      <c r="E2635" s="2" t="s">
        <v>1294</v>
      </c>
      <c r="F2635" s="1">
        <v>4.0</v>
      </c>
      <c r="G2635" s="3" t="s">
        <v>7969</v>
      </c>
    </row>
    <row r="2636">
      <c r="A2636" s="3" t="s">
        <v>8353</v>
      </c>
      <c r="B2636" s="4" t="str">
        <f>IFERROR(__xludf.DUMMYFUNCTION("GOOGLETRANSLATE(A2636, ""en"", ""te"")"),"హల్దీరామ్ మినిట్ ఖానా రగ్డా బైట్స్")</f>
        <v>హల్దీరామ్ మినిట్ ఖానా రగ్డా బైట్స్</v>
      </c>
      <c r="C2636" s="4" t="str">
        <f>IFERROR(__xludf.DUMMYFUNCTION("GOOGLETRANSLATE(A2636, ""en"", ""hi"")"),"हल्दीराम मिनट खाना रगड़ा बाइट्स")</f>
        <v>हल्दीराम मिनट खाना रगड़ा बाइट्स</v>
      </c>
      <c r="D2636" s="2" t="s">
        <v>7569</v>
      </c>
      <c r="E2636" s="2" t="s">
        <v>1294</v>
      </c>
      <c r="F2636" s="1">
        <v>4.0</v>
      </c>
      <c r="G2636" s="3" t="s">
        <v>7969</v>
      </c>
    </row>
    <row r="2637">
      <c r="A2637" s="3" t="s">
        <v>8354</v>
      </c>
      <c r="B2637" s="4" t="str">
        <f>IFERROR(__xludf.DUMMYFUNCTION("GOOGLETRANSLATE(A2637, ""en"", ""te"")"),"హల్దీరామ్ మినిట్ ఖానా బ్రెడ్ పకోడా")</f>
        <v>హల్దీరామ్ మినిట్ ఖానా బ్రెడ్ పకోడా</v>
      </c>
      <c r="C2637" s="4" t="str">
        <f>IFERROR(__xludf.DUMMYFUNCTION("GOOGLETRANSLATE(A2637, ""en"", ""hi"")"),"हल्दीराम मिनट खाना ब्रेड पकोड़ा")</f>
        <v>हल्दीराम मिनट खाना ब्रेड पकोड़ा</v>
      </c>
      <c r="D2637" s="5"/>
      <c r="E2637" s="2" t="s">
        <v>1294</v>
      </c>
      <c r="F2637" s="1">
        <v>4.0</v>
      </c>
      <c r="G2637" s="3" t="s">
        <v>7969</v>
      </c>
    </row>
    <row r="2638">
      <c r="A2638" s="3" t="s">
        <v>8355</v>
      </c>
      <c r="B2638" s="4" t="str">
        <f>IFERROR(__xludf.DUMMYFUNCTION("GOOGLETRANSLATE(A2638, ""en"", ""te"")"),"హల్దీరామ్ మినిట్ ఖానా చీజ్ బాల్స్")</f>
        <v>హల్దీరామ్ మినిట్ ఖానా చీజ్ బాల్స్</v>
      </c>
      <c r="C2638" s="4" t="str">
        <f>IFERROR(__xludf.DUMMYFUNCTION("GOOGLETRANSLATE(A2638, ""en"", ""hi"")"),"हल्दीराम मिनट खाना चीज़ बॉल्स")</f>
        <v>हल्दीराम मिनट खाना चीज़ बॉल्स</v>
      </c>
      <c r="D2638" s="5"/>
      <c r="E2638" s="2" t="s">
        <v>1294</v>
      </c>
      <c r="F2638" s="1">
        <v>4.0</v>
      </c>
      <c r="G2638" s="3" t="s">
        <v>7969</v>
      </c>
    </row>
    <row r="2639">
      <c r="A2639" s="3" t="s">
        <v>8356</v>
      </c>
      <c r="B2639" s="4" t="str">
        <f>IFERROR(__xludf.DUMMYFUNCTION("GOOGLETRANSLATE(A2639, ""en"", ""te"")"),"హల్దీరామ్ మినిట్ ఖానా బటాట వడ")</f>
        <v>హల్దీరామ్ మినిట్ ఖానా బటాట వడ</v>
      </c>
      <c r="C2639" s="4" t="str">
        <f>IFERROR(__xludf.DUMMYFUNCTION("GOOGLETRANSLATE(A2639, ""en"", ""hi"")"),"हल्दीराम मिनट खाना बटाटा वड़ा")</f>
        <v>हल्दीराम मिनट खाना बटाटा वड़ा</v>
      </c>
      <c r="D2639" s="2" t="s">
        <v>8330</v>
      </c>
      <c r="E2639" s="2" t="s">
        <v>1294</v>
      </c>
      <c r="F2639" s="1">
        <v>4.0</v>
      </c>
      <c r="G2639" s="3" t="s">
        <v>7462</v>
      </c>
    </row>
    <row r="2640">
      <c r="A2640" s="3" t="s">
        <v>8357</v>
      </c>
      <c r="B2640" s="4" t="str">
        <f>IFERROR(__xludf.DUMMYFUNCTION("GOOGLETRANSLATE(A2640, ""en"", ""te"")"),"హల్దీరామ్ మినిట్ ఖానా మసాలా ఇడ్లీ")</f>
        <v>హల్దీరామ్ మినిట్ ఖానా మసాలా ఇడ్లీ</v>
      </c>
      <c r="C2640" s="4" t="str">
        <f>IFERROR(__xludf.DUMMYFUNCTION("GOOGLETRANSLATE(A2640, ""en"", ""hi"")"),"हल्दीराम मिनट खाना मसाला इडली")</f>
        <v>हल्दीराम मिनट खाना मसाला इडली</v>
      </c>
      <c r="D2640" s="2" t="s">
        <v>4366</v>
      </c>
      <c r="E2640" s="2" t="s">
        <v>940</v>
      </c>
      <c r="F2640" s="1">
        <v>4.0</v>
      </c>
      <c r="G2640" s="3" t="s">
        <v>7462</v>
      </c>
    </row>
    <row r="2641">
      <c r="A2641" s="3" t="s">
        <v>8358</v>
      </c>
      <c r="B2641" s="4" t="str">
        <f>IFERROR(__xludf.DUMMYFUNCTION("GOOGLETRANSLATE(A2641, ""en"", ""te"")"),"హల్దీరాం మినిటే ఖానా దహి వదా")</f>
        <v>హల్దీరాం మినిటే ఖానా దహి వదా</v>
      </c>
      <c r="C2641" s="4" t="str">
        <f>IFERROR(__xludf.DUMMYFUNCTION("GOOGLETRANSLATE(A2641, ""en"", ""hi"")"),"हल्दीराम मिनट खाना दही वड़ा")</f>
        <v>हल्दीराम मिनट खाना दही वड़ा</v>
      </c>
      <c r="D2641" s="2" t="s">
        <v>8333</v>
      </c>
      <c r="E2641" s="2" t="s">
        <v>1294</v>
      </c>
      <c r="F2641" s="1">
        <v>4.0</v>
      </c>
      <c r="G2641" s="3" t="s">
        <v>7462</v>
      </c>
    </row>
    <row r="2642">
      <c r="A2642" s="3" t="s">
        <v>8359</v>
      </c>
      <c r="B2642" s="4" t="str">
        <f>IFERROR(__xludf.DUMMYFUNCTION("GOOGLETRANSLATE(A2642, ""en"", ""te"")"),"హల్దీరామ్ మినిట్ ఖానా ఆనియన్ భాజీ")</f>
        <v>హల్దీరామ్ మినిట్ ఖానా ఆనియన్ భాజీ</v>
      </c>
      <c r="C2642" s="4" t="str">
        <f>IFERROR(__xludf.DUMMYFUNCTION("GOOGLETRANSLATE(A2642, ""en"", ""hi"")"),"हल्दीराम मिनट खाना प्याज भाजी")</f>
        <v>हल्दीराम मिनट खाना प्याज भाजी</v>
      </c>
      <c r="D2642" s="2" t="s">
        <v>8335</v>
      </c>
      <c r="E2642" s="2" t="s">
        <v>1294</v>
      </c>
      <c r="F2642" s="1">
        <v>4.0</v>
      </c>
      <c r="G2642" s="3" t="s">
        <v>7462</v>
      </c>
    </row>
    <row r="2643">
      <c r="A2643" s="3" t="s">
        <v>8360</v>
      </c>
      <c r="B2643" s="4" t="str">
        <f>IFERROR(__xludf.DUMMYFUNCTION("GOOGLETRANSLATE(A2643, ""en"", ""te"")"),"హల్దీరామ్ మినిట్ ఖానా సమోసా")</f>
        <v>హల్దీరామ్ మినిట్ ఖానా సమోసా</v>
      </c>
      <c r="C2643" s="4" t="str">
        <f>IFERROR(__xludf.DUMMYFUNCTION("GOOGLETRANSLATE(A2643, ""en"", ""hi"")"),"हल्दीराम मिनट खाना समोसा")</f>
        <v>हल्दीराम मिनट खाना समोसा</v>
      </c>
      <c r="D2643" s="2" t="s">
        <v>7879</v>
      </c>
      <c r="E2643" s="2" t="s">
        <v>1294</v>
      </c>
      <c r="F2643" s="1">
        <v>4.0</v>
      </c>
      <c r="G2643" s="3" t="s">
        <v>7462</v>
      </c>
    </row>
    <row r="2644">
      <c r="A2644" s="3" t="s">
        <v>8361</v>
      </c>
      <c r="B2644" s="4" t="str">
        <f>IFERROR(__xludf.DUMMYFUNCTION("GOOGLETRANSLATE(A2644, ""en"", ""te"")"),"ఆనంద్ క్లాసిక్ మేడు వాడ")</f>
        <v>ఆనంద్ క్లాసిక్ మేడు వాడ</v>
      </c>
      <c r="C2644" s="4" t="str">
        <f>IFERROR(__xludf.DUMMYFUNCTION("GOOGLETRANSLATE(A2644, ""en"", ""hi"")"),"आनंद क्लासिक मेडू वड़ा")</f>
        <v>आनंद क्लासिक मेडू वड़ा</v>
      </c>
      <c r="D2644" s="2" t="s">
        <v>7569</v>
      </c>
      <c r="E2644" s="2" t="s">
        <v>1294</v>
      </c>
      <c r="F2644" s="1">
        <v>4.0</v>
      </c>
      <c r="G2644" s="3" t="s">
        <v>7969</v>
      </c>
    </row>
    <row r="2645">
      <c r="A2645" s="3" t="s">
        <v>8339</v>
      </c>
      <c r="B2645" s="4" t="str">
        <f>IFERROR(__xludf.DUMMYFUNCTION("GOOGLETRANSLATE(A2645, ""en"", ""te"")"),"ఆనంద్ వెజిటబుల్ పఫ్స్")</f>
        <v>ఆనంద్ వెజిటబుల్ పఫ్స్</v>
      </c>
      <c r="C2645" s="4" t="str">
        <f>IFERROR(__xludf.DUMMYFUNCTION("GOOGLETRANSLATE(A2645, ""en"", ""hi"")"),"आनंद वेजिटेबल पफ्स")</f>
        <v>आनंद वेजिटेबल पफ्स</v>
      </c>
      <c r="D2645" s="5"/>
      <c r="E2645" s="2" t="s">
        <v>1294</v>
      </c>
      <c r="F2645" s="1">
        <v>4.0</v>
      </c>
      <c r="G2645" s="3" t="s">
        <v>7969</v>
      </c>
    </row>
    <row r="2646">
      <c r="A2646" s="3" t="s">
        <v>8340</v>
      </c>
      <c r="B2646" s="4" t="str">
        <f>IFERROR(__xludf.DUMMYFUNCTION("GOOGLETRANSLATE(A2646, ""en"", ""te"")"),"ఆనంద్ వెజిటబుల్ కట్లెట్స్")</f>
        <v>ఆనంద్ వెజిటబుల్ కట్లెట్స్</v>
      </c>
      <c r="C2646" s="4" t="str">
        <f>IFERROR(__xludf.DUMMYFUNCTION("GOOGLETRANSLATE(A2646, ""en"", ""hi"")"),"आनंद वेजिटेबल कटलेट्स")</f>
        <v>आनंद वेजिटेबल कटलेट्स</v>
      </c>
      <c r="D2646" s="5"/>
      <c r="E2646" s="2" t="s">
        <v>1294</v>
      </c>
      <c r="F2646" s="1">
        <v>4.0</v>
      </c>
      <c r="G2646" s="3" t="s">
        <v>7969</v>
      </c>
    </row>
    <row r="2647">
      <c r="A2647" s="3" t="s">
        <v>8341</v>
      </c>
      <c r="B2647" s="4" t="str">
        <f>IFERROR(__xludf.DUMMYFUNCTION("GOOGLETRANSLATE(A2647, ""en"", ""te"")"),"ఆనంద్ వైట్ పఫ్స్")</f>
        <v>ఆనంద్ వైట్ పఫ్స్</v>
      </c>
      <c r="C2647" s="4" t="str">
        <f>IFERROR(__xludf.DUMMYFUNCTION("GOOGLETRANSLATE(A2647, ""en"", ""hi"")"),"आनंद व्हाइट पफ्स")</f>
        <v>आनंद व्हाइट पफ्स</v>
      </c>
      <c r="D2647" s="5"/>
      <c r="E2647" s="2" t="s">
        <v>4100</v>
      </c>
      <c r="F2647" s="1">
        <v>4.0</v>
      </c>
      <c r="G2647" s="3" t="s">
        <v>7969</v>
      </c>
    </row>
    <row r="2648">
      <c r="A2648" s="3" t="s">
        <v>8342</v>
      </c>
      <c r="B2648" s="4" t="str">
        <f>IFERROR(__xludf.DUMMYFUNCTION("GOOGLETRANSLATE(A2648, ""en"", ""te"")"),"ఆనంద్ పరోటా")</f>
        <v>ఆనంద్ పరోటా</v>
      </c>
      <c r="C2648" s="4" t="str">
        <f>IFERROR(__xludf.DUMMYFUNCTION("GOOGLETRANSLATE(A2648, ""en"", ""hi"")"),"आनंद परोटा")</f>
        <v>आनंद परोटा</v>
      </c>
      <c r="D2648" s="5"/>
      <c r="E2648" s="2" t="s">
        <v>2649</v>
      </c>
      <c r="F2648" s="1">
        <v>4.0</v>
      </c>
      <c r="G2648" s="3" t="s">
        <v>7969</v>
      </c>
    </row>
    <row r="2649">
      <c r="A2649" s="3" t="s">
        <v>8362</v>
      </c>
      <c r="B2649" s="4" t="str">
        <f>IFERROR(__xludf.DUMMYFUNCTION("GOOGLETRANSLATE(A2649, ""en"", ""te"")"),"ఆనంద్ మలబార్ పరాఠా")</f>
        <v>ఆనంద్ మలబార్ పరాఠా</v>
      </c>
      <c r="C2649" s="4" t="str">
        <f>IFERROR(__xludf.DUMMYFUNCTION("GOOGLETRANSLATE(A2649, ""en"", ""hi"")"),"आनंद मालाबार पराठा")</f>
        <v>आनंद मालाबार पराठा</v>
      </c>
      <c r="D2649" s="2" t="s">
        <v>8082</v>
      </c>
      <c r="E2649" s="2" t="s">
        <v>4100</v>
      </c>
      <c r="F2649" s="1">
        <v>4.0</v>
      </c>
      <c r="G2649" s="3" t="s">
        <v>7969</v>
      </c>
    </row>
    <row r="2650">
      <c r="A2650" s="3" t="s">
        <v>8363</v>
      </c>
      <c r="B2650" s="4" t="str">
        <f>IFERROR(__xludf.DUMMYFUNCTION("GOOGLETRANSLATE(A2650, ""en"", ""te"")"),"శ్వేత తెలుగు కార్న్ సమోసా")</f>
        <v>శ్వేత తెలుగు కార్న్ సమోసా</v>
      </c>
      <c r="C2650" s="4" t="str">
        <f>IFERROR(__xludf.DUMMYFUNCTION("GOOGLETRANSLATE(A2650, ""en"", ""hi"")"),"श्वेता तेलुगु कॉर्न समोसा")</f>
        <v>श्वेता तेलुगु कॉर्न समोसा</v>
      </c>
      <c r="D2650" s="2" t="s">
        <v>38</v>
      </c>
      <c r="E2650" s="2" t="s">
        <v>1294</v>
      </c>
      <c r="F2650" s="1">
        <v>4.0</v>
      </c>
      <c r="G2650" s="3" t="s">
        <v>7969</v>
      </c>
    </row>
    <row r="2651">
      <c r="A2651" s="3" t="s">
        <v>8364</v>
      </c>
      <c r="B2651" s="4" t="str">
        <f>IFERROR(__xludf.DUMMYFUNCTION("GOOGLETRANSLATE(A2651, ""en"", ""te"")"),"శ్వేత తెలుగు హైదరాబాదీ ఆనియన్ సమోసా")</f>
        <v>శ్వేత తెలుగు హైదరాబాదీ ఆనియన్ సమోసా</v>
      </c>
      <c r="C2651" s="4" t="str">
        <f>IFERROR(__xludf.DUMMYFUNCTION("GOOGLETRANSLATE(A2651, ""en"", ""hi"")"),"स्वेता तेलुगु हैदराबादी प्याज समोसा")</f>
        <v>स्वेता तेलुगु हैदराबादी प्याज समोसा</v>
      </c>
      <c r="D2651" s="5"/>
      <c r="E2651" s="2" t="s">
        <v>1294</v>
      </c>
      <c r="F2651" s="1">
        <v>4.0</v>
      </c>
      <c r="G2651" s="3" t="s">
        <v>7969</v>
      </c>
    </row>
    <row r="2652">
      <c r="A2652" s="3" t="s">
        <v>8350</v>
      </c>
      <c r="B2652" s="4" t="str">
        <f>IFERROR(__xludf.DUMMYFUNCTION("GOOGLETRANSLATE(A2652, ""en"", ""te"")"),"శ్వేత వెరుసెనగా చట్నీ")</f>
        <v>శ్వేత వెరుసెనగా చట్నీ</v>
      </c>
      <c r="C2652" s="4" t="str">
        <f>IFERROR(__xludf.DUMMYFUNCTION("GOOGLETRANSLATE(A2652, ""en"", ""hi"")"),"श्वेता वेरुसेनागा चटनी")</f>
        <v>श्वेता वेरुसेनागा चटनी</v>
      </c>
      <c r="D2652" s="2" t="s">
        <v>8231</v>
      </c>
      <c r="E2652" s="2" t="s">
        <v>996</v>
      </c>
      <c r="F2652" s="1">
        <v>4.0</v>
      </c>
      <c r="G2652" s="3" t="s">
        <v>7969</v>
      </c>
    </row>
    <row r="2653">
      <c r="A2653" s="3" t="s">
        <v>8365</v>
      </c>
      <c r="B2653" s="4" t="str">
        <f>IFERROR(__xludf.DUMMYFUNCTION("GOOGLETRANSLATE(A2653, ""en"", ""te"")"),"అశోక స్వీట్ కార్న్ టిక్కీ")</f>
        <v>అశోక స్వీట్ కార్న్ టిక్కీ</v>
      </c>
      <c r="C2653" s="4" t="str">
        <f>IFERROR(__xludf.DUMMYFUNCTION("GOOGLETRANSLATE(A2653, ""en"", ""hi"")"),"अशोका स्वीट कॉर्न टिक्की")</f>
        <v>अशोका स्वीट कॉर्न टिक्की</v>
      </c>
      <c r="D2653" s="5"/>
      <c r="E2653" s="2" t="s">
        <v>1294</v>
      </c>
      <c r="F2653" s="1">
        <v>4.0</v>
      </c>
      <c r="G2653" s="3" t="s">
        <v>7969</v>
      </c>
    </row>
    <row r="2654">
      <c r="A2654" s="3" t="s">
        <v>8308</v>
      </c>
      <c r="B2654" s="4" t="str">
        <f>IFERROR(__xludf.DUMMYFUNCTION("GOOGLETRANSLATE(A2654, ""en"", ""te"")"),"కవాన్ పరాఠా ఉల్లిపాయ")</f>
        <v>కవాన్ పరాఠా ఉల్లిపాయ</v>
      </c>
      <c r="C2654" s="4" t="str">
        <f>IFERROR(__xludf.DUMMYFUNCTION("GOOGLETRANSLATE(A2654, ""en"", ""hi"")"),"कवान पराठा प्याज")</f>
        <v>कवान पराठा प्याज</v>
      </c>
      <c r="D2654" s="5"/>
      <c r="E2654" s="2" t="s">
        <v>2649</v>
      </c>
      <c r="F2654" s="1">
        <v>4.0</v>
      </c>
      <c r="G2654" s="3" t="s">
        <v>7969</v>
      </c>
    </row>
    <row r="2655">
      <c r="A2655" s="3" t="s">
        <v>8366</v>
      </c>
      <c r="B2655" s="4" t="str">
        <f>IFERROR(__xludf.DUMMYFUNCTION("GOOGLETRANSLATE(A2655, ""en"", ""te"")"),"డీప్ హోమ్‌స్టైల్ రోటీ")</f>
        <v>డీప్ హోమ్‌స్టైల్ రోటీ</v>
      </c>
      <c r="C2655" s="4" t="str">
        <f>IFERROR(__xludf.DUMMYFUNCTION("GOOGLETRANSLATE(A2655, ""en"", ""hi"")"),"डीप होमस्टाइल रोटी")</f>
        <v>डीप होमस्टाइल रोटी</v>
      </c>
      <c r="D2655" s="2" t="s">
        <v>8079</v>
      </c>
      <c r="E2655" s="2" t="s">
        <v>2649</v>
      </c>
      <c r="F2655" s="1">
        <v>4.0</v>
      </c>
      <c r="G2655" s="3" t="s">
        <v>7969</v>
      </c>
    </row>
    <row r="2656">
      <c r="A2656" s="3" t="s">
        <v>8367</v>
      </c>
      <c r="B2656" s="4" t="str">
        <f>IFERROR(__xludf.DUMMYFUNCTION("GOOGLETRANSLATE(A2656, ""en"", ""te"")"),"అమ్మ వంటగది ఇడ్లీ చట్నీతో")</f>
        <v>అమ్మ వంటగది ఇడ్లీ చట్నీతో</v>
      </c>
      <c r="C2656" s="4" t="str">
        <f>IFERROR(__xludf.DUMMYFUNCTION("GOOGLETRANSLATE(A2656, ""en"", ""hi"")"),"अम्मा की रसोई की इडली चटनी के साथ")</f>
        <v>अम्मा की रसोई की इडली चटनी के साथ</v>
      </c>
      <c r="D2656" s="5"/>
      <c r="E2656" s="2" t="s">
        <v>940</v>
      </c>
      <c r="F2656" s="1">
        <v>4.0</v>
      </c>
      <c r="G2656" s="3" t="s">
        <v>5854</v>
      </c>
    </row>
    <row r="2657">
      <c r="A2657" s="3" t="s">
        <v>8368</v>
      </c>
      <c r="B2657" s="4" t="str">
        <f>IFERROR(__xludf.DUMMYFUNCTION("GOOGLETRANSLATE(A2657, ""en"", ""te"")"),"అమ్మ వంటగది రవ్వ ఇడ్లీ చట్నీతో")</f>
        <v>అమ్మ వంటగది రవ్వ ఇడ్లీ చట్నీతో</v>
      </c>
      <c r="C2657" s="4" t="str">
        <f>IFERROR(__xludf.DUMMYFUNCTION("GOOGLETRANSLATE(A2657, ""en"", ""hi"")"),"अम्मा की रसोई की रवा इडली चटनी के साथ")</f>
        <v>अम्मा की रसोई की रवा इडली चटनी के साथ</v>
      </c>
      <c r="D2657" s="2" t="s">
        <v>1356</v>
      </c>
      <c r="E2657" s="2" t="s">
        <v>940</v>
      </c>
      <c r="F2657" s="1">
        <v>4.0</v>
      </c>
      <c r="G2657" s="3" t="s">
        <v>5854</v>
      </c>
    </row>
    <row r="2658">
      <c r="A2658" s="3" t="s">
        <v>8369</v>
      </c>
      <c r="B2658" s="4" t="str">
        <f>IFERROR(__xludf.DUMMYFUNCTION("GOOGLETRANSLATE(A2658, ""en"", ""te"")"),"హల్దీరామ్ యొక్క నిమిషం ఖానా మట్టర్ కచోరీ")</f>
        <v>హల్దీరామ్ యొక్క నిమిషం ఖానా మట్టర్ కచోరీ</v>
      </c>
      <c r="C2658" s="4" t="str">
        <f>IFERROR(__xludf.DUMMYFUNCTION("GOOGLETRANSLATE(A2658, ""en"", ""hi"")"),"हल्दीराम मिनट खाना मटर कचौरी")</f>
        <v>हल्दीराम मिनट खाना मटर कचौरी</v>
      </c>
      <c r="D2658" s="2" t="s">
        <v>7569</v>
      </c>
      <c r="E2658" s="2" t="s">
        <v>1294</v>
      </c>
      <c r="F2658" s="1">
        <v>4.0</v>
      </c>
      <c r="G2658" s="3" t="s">
        <v>5859</v>
      </c>
    </row>
    <row r="2659">
      <c r="A2659" s="3" t="s">
        <v>8370</v>
      </c>
      <c r="B2659" s="4" t="str">
        <f>IFERROR(__xludf.DUMMYFUNCTION("GOOGLETRANSLATE(A2659, ""en"", ""te"")"),"హల్దీరామ్ యొక్క నిమిషం ఖానా బీట్‌రూట్ కబాబ్")</f>
        <v>హల్దీరామ్ యొక్క నిమిషం ఖానా బీట్‌రూట్ కబాబ్</v>
      </c>
      <c r="C2659" s="4" t="str">
        <f>IFERROR(__xludf.DUMMYFUNCTION("GOOGLETRANSLATE(A2659, ""en"", ""hi"")"),"हल्दीराम मिनट खाना चुकंदर कबाब")</f>
        <v>हल्दीराम मिनट खाना चुकंदर कबाब</v>
      </c>
      <c r="D2659" s="2" t="s">
        <v>8002</v>
      </c>
      <c r="E2659" s="2" t="s">
        <v>940</v>
      </c>
      <c r="F2659" s="1">
        <v>4.0</v>
      </c>
      <c r="G2659" s="3" t="s">
        <v>5859</v>
      </c>
    </row>
    <row r="2660">
      <c r="A2660" s="3" t="s">
        <v>8371</v>
      </c>
      <c r="B2660" s="4" t="str">
        <f>IFERROR(__xludf.DUMMYFUNCTION("GOOGLETRANSLATE(A2660, ""en"", ""te"")"),"హల్దీరామ్ యొక్క నిమిషం ఖానా దాల్ పాలక్ కబాబ్")</f>
        <v>హల్దీరామ్ యొక్క నిమిషం ఖానా దాల్ పాలక్ కబాబ్</v>
      </c>
      <c r="C2660" s="4" t="str">
        <f>IFERROR(__xludf.DUMMYFUNCTION("GOOGLETRANSLATE(A2660, ""en"", ""hi"")"),"हल्दीराम मिनट खाना दाल पालक कबाब")</f>
        <v>हल्दीराम मिनट खाना दाल पालक कबाब</v>
      </c>
      <c r="D2660" s="2" t="s">
        <v>8002</v>
      </c>
      <c r="E2660" s="2" t="s">
        <v>940</v>
      </c>
      <c r="F2660" s="1">
        <v>4.0</v>
      </c>
      <c r="G2660" s="3" t="s">
        <v>5859</v>
      </c>
    </row>
    <row r="2661">
      <c r="A2661" s="3" t="s">
        <v>8372</v>
      </c>
      <c r="B2661" s="4" t="str">
        <f>IFERROR(__xludf.DUMMYFUNCTION("GOOGLETRANSLATE(A2661, ""en"", ""te"")"),"హల్దీరామ్ యొక్క నిమిషం ఖానా హర భార కబాబ్")</f>
        <v>హల్దీరామ్ యొక్క నిమిషం ఖానా హర భార కబాబ్</v>
      </c>
      <c r="C2661" s="4" t="str">
        <f>IFERROR(__xludf.DUMMYFUNCTION("GOOGLETRANSLATE(A2661, ""en"", ""hi"")"),"हल्दीराम मिनट खाना हरा भरा कबाब")</f>
        <v>हल्दीराम मिनट खाना हरा भरा कबाब</v>
      </c>
      <c r="D2661" s="2" t="s">
        <v>8002</v>
      </c>
      <c r="E2661" s="2" t="s">
        <v>940</v>
      </c>
      <c r="F2661" s="1">
        <v>4.0</v>
      </c>
      <c r="G2661" s="3" t="s">
        <v>5859</v>
      </c>
    </row>
    <row r="2662">
      <c r="A2662" s="3" t="s">
        <v>8373</v>
      </c>
      <c r="B2662" s="4" t="str">
        <f>IFERROR(__xludf.DUMMYFUNCTION("GOOGLETRANSLATE(A2662, ""en"", ""te"")"),"హల్దీరామ్ యొక్క నిమిషం ఖానా వేజ్ షామీ కబాబ్")</f>
        <v>హల్దీరామ్ యొక్క నిమిషం ఖానా వేజ్ షామీ కబాబ్</v>
      </c>
      <c r="C2662" s="4" t="str">
        <f>IFERROR(__xludf.DUMMYFUNCTION("GOOGLETRANSLATE(A2662, ""en"", ""hi"")"),"हल्दीराम मिनट खाना वेज शामी कबाब")</f>
        <v>हल्दीराम मिनट खाना वेज शामी कबाब</v>
      </c>
      <c r="D2662" s="2" t="s">
        <v>8002</v>
      </c>
      <c r="E2662" s="2" t="s">
        <v>1294</v>
      </c>
      <c r="F2662" s="1">
        <v>4.0</v>
      </c>
      <c r="G2662" s="3" t="s">
        <v>5859</v>
      </c>
    </row>
    <row r="2663">
      <c r="A2663" s="3" t="s">
        <v>8374</v>
      </c>
      <c r="B2663" s="4" t="str">
        <f>IFERROR(__xludf.DUMMYFUNCTION("GOOGLETRANSLATE(A2663, ""en"", ""te"")"),"హల్దీరామ్ యొక్క నిమిషం ఖానా ఉల్లిపాయ పరాటా")</f>
        <v>హల్దీరామ్ యొక్క నిమిషం ఖానా ఉల్లిపాయ పరాటా</v>
      </c>
      <c r="C2663" s="4" t="str">
        <f>IFERROR(__xludf.DUMMYFUNCTION("GOOGLETRANSLATE(A2663, ""en"", ""hi"")"),"हल्दीराम मिनट खाना प्याज पराठा")</f>
        <v>हल्दीराम मिनट खाना प्याज पराठा</v>
      </c>
      <c r="D2663" s="2" t="s">
        <v>8375</v>
      </c>
      <c r="E2663" s="2" t="s">
        <v>1294</v>
      </c>
      <c r="F2663" s="1">
        <v>4.0</v>
      </c>
      <c r="G2663" s="3" t="s">
        <v>5989</v>
      </c>
    </row>
    <row r="2664">
      <c r="A2664" s="3" t="s">
        <v>8376</v>
      </c>
      <c r="B2664" s="4" t="str">
        <f>IFERROR(__xludf.DUMMYFUNCTION("GOOGLETRANSLATE(A2664, ""en"", ""te"")"),"హల్దీరామ్ యొక్క నిమిషం ఖానా సబుదానా టిక్కీ")</f>
        <v>హల్దీరామ్ యొక్క నిమిషం ఖానా సబుదానా టిక్కీ</v>
      </c>
      <c r="C2664" s="4" t="str">
        <f>IFERROR(__xludf.DUMMYFUNCTION("GOOGLETRANSLATE(A2664, ""en"", ""hi"")"),"हल्दीराम मिनट खाना साबूदाना टिक्की")</f>
        <v>हल्दीराम मिनट खाना साबूदाना टिक्की</v>
      </c>
      <c r="D2664" s="2" t="s">
        <v>8377</v>
      </c>
      <c r="E2664" s="2" t="s">
        <v>1294</v>
      </c>
      <c r="F2664" s="1">
        <v>4.0</v>
      </c>
      <c r="G2664" s="3" t="s">
        <v>5989</v>
      </c>
    </row>
    <row r="2665">
      <c r="A2665" s="3" t="s">
        <v>8378</v>
      </c>
      <c r="B2665" s="4" t="str">
        <f>IFERROR(__xludf.DUMMYFUNCTION("GOOGLETRANSLATE(A2665, ""en"", ""te"")"),"హల్దీరామ్ యొక్క నిమిషం ఖానా టిక్కీ స్నాకర్")</f>
        <v>హల్దీరామ్ యొక్క నిమిషం ఖానా టిక్కీ స్నాకర్</v>
      </c>
      <c r="C2665" s="4" t="str">
        <f>IFERROR(__xludf.DUMMYFUNCTION("GOOGLETRANSLATE(A2665, ""en"", ""hi"")"),"हल्दीराम का मिनट खाना टिक्की स्नैकर")</f>
        <v>हल्दीराम का मिनट खाना टिक्की स्नैकर</v>
      </c>
      <c r="D2665" s="2" t="s">
        <v>4054</v>
      </c>
      <c r="E2665" s="2" t="s">
        <v>1294</v>
      </c>
      <c r="F2665" s="1">
        <v>4.0</v>
      </c>
      <c r="G2665" s="3" t="s">
        <v>5989</v>
      </c>
    </row>
    <row r="2666">
      <c r="A2666" s="3" t="s">
        <v>8379</v>
      </c>
      <c r="B2666" s="4" t="str">
        <f>IFERROR(__xludf.DUMMYFUNCTION("GOOGLETRANSLATE(A2666, ""en"", ""te"")"),"హల్దీరామ్ యొక్క నిమిషం ఖానా చోలే కుల్చా")</f>
        <v>హల్దీరామ్ యొక్క నిమిషం ఖానా చోలే కుల్చా</v>
      </c>
      <c r="C2666" s="4" t="str">
        <f>IFERROR(__xludf.DUMMYFUNCTION("GOOGLETRANSLATE(A2666, ""en"", ""hi"")"),"हल्दीराम मिनट खाना छोले कुलचा")</f>
        <v>हल्दीराम मिनट खाना छोले कुलचा</v>
      </c>
      <c r="D2666" s="2" t="s">
        <v>8380</v>
      </c>
      <c r="E2666" s="2" t="s">
        <v>1294</v>
      </c>
      <c r="F2666" s="1">
        <v>4.0</v>
      </c>
      <c r="G2666" s="3" t="s">
        <v>6452</v>
      </c>
    </row>
    <row r="2667">
      <c r="A2667" s="3" t="s">
        <v>8381</v>
      </c>
      <c r="B2667" s="4" t="str">
        <f>IFERROR(__xludf.DUMMYFUNCTION("GOOGLETRANSLATE(A2667, ""en"", ""te"")"),"ఆనంద్ దాల్ వడ")</f>
        <v>ఆనంద్ దాల్ వడ</v>
      </c>
      <c r="C2667" s="4" t="str">
        <f>IFERROR(__xludf.DUMMYFUNCTION("GOOGLETRANSLATE(A2667, ""en"", ""hi"")"),"आनंद दाल वड़ा")</f>
        <v>आनंद दाल वड़ा</v>
      </c>
      <c r="D2667" s="2" t="s">
        <v>7569</v>
      </c>
      <c r="E2667" s="2" t="s">
        <v>1294</v>
      </c>
      <c r="F2667" s="1">
        <v>4.0</v>
      </c>
      <c r="G2667" s="3" t="s">
        <v>6452</v>
      </c>
    </row>
    <row r="2668">
      <c r="A2668" s="3" t="s">
        <v>8265</v>
      </c>
      <c r="B2668" s="4" t="str">
        <f>IFERROR(__xludf.DUMMYFUNCTION("GOOGLETRANSLATE(A2668, ""en"", ""te"")"),"ఆనంద్ కోజుక్కట్ట")</f>
        <v>ఆనంద్ కోజుక్కట్ట</v>
      </c>
      <c r="C2668" s="4" t="str">
        <f>IFERROR(__xludf.DUMMYFUNCTION("GOOGLETRANSLATE(A2668, ""en"", ""hi"")"),"आनंद कोझुक्कट्टा")</f>
        <v>आनंद कोझुक्कट्टा</v>
      </c>
      <c r="D2668" s="5"/>
      <c r="E2668" s="2" t="s">
        <v>940</v>
      </c>
      <c r="F2668" s="1">
        <v>4.0</v>
      </c>
      <c r="G2668" s="3" t="s">
        <v>6452</v>
      </c>
    </row>
    <row r="2669">
      <c r="A2669" s="3" t="s">
        <v>8382</v>
      </c>
      <c r="B2669" s="4" t="str">
        <f>IFERROR(__xludf.DUMMYFUNCTION("GOOGLETRANSLATE(A2669, ""en"", ""te"")"),"ఆనంద్ మినీ పొడి ఇడ్లీ")</f>
        <v>ఆనంద్ మినీ పొడి ఇడ్లీ</v>
      </c>
      <c r="C2669" s="4" t="str">
        <f>IFERROR(__xludf.DUMMYFUNCTION("GOOGLETRANSLATE(A2669, ""en"", ""hi"")"),"आनंद मिनी पोडी इडली")</f>
        <v>आनंद मिनी पोडी इडली</v>
      </c>
      <c r="D2669" s="5"/>
      <c r="E2669" s="2" t="s">
        <v>940</v>
      </c>
      <c r="F2669" s="1">
        <v>4.0</v>
      </c>
      <c r="G2669" s="3" t="s">
        <v>6452</v>
      </c>
    </row>
    <row r="2670">
      <c r="A2670" s="3" t="s">
        <v>8383</v>
      </c>
      <c r="B2670" s="4" t="str">
        <f>IFERROR(__xludf.DUMMYFUNCTION("GOOGLETRANSLATE(A2670, ""en"", ""te"")"),"హల్దీరామ్స్ క్లాసిక్ వెజ్జీ మోమోస్")</f>
        <v>హల్దీరామ్స్ క్లాసిక్ వెజ్జీ మోమోస్</v>
      </c>
      <c r="C2670" s="4" t="str">
        <f>IFERROR(__xludf.DUMMYFUNCTION("GOOGLETRANSLATE(A2670, ""en"", ""hi"")"),"हल्दिराम के क्लासिक वेजी मोमोज")</f>
        <v>हल्दिराम के क्लासिक वेजी मोमोज</v>
      </c>
      <c r="D2670" s="5"/>
      <c r="E2670" s="2" t="s">
        <v>351</v>
      </c>
      <c r="F2670" s="1">
        <v>4.0</v>
      </c>
      <c r="G2670" s="3" t="s">
        <v>6452</v>
      </c>
    </row>
    <row r="2671">
      <c r="A2671" s="3" t="s">
        <v>8384</v>
      </c>
      <c r="B2671" s="4" t="str">
        <f>IFERROR(__xludf.DUMMYFUNCTION("GOOGLETRANSLATE(A2671, ""en"", ""te"")"),"హల్దీరామ్స్ క్లాసిక్ వెజ్జీ &amp; పనీర్ మోమోస్")</f>
        <v>హల్దీరామ్స్ క్లాసిక్ వెజ్జీ &amp; పనీర్ మోమోస్</v>
      </c>
      <c r="C2671" s="4" t="str">
        <f>IFERROR(__xludf.DUMMYFUNCTION("GOOGLETRANSLATE(A2671, ""en"", ""hi"")"),"हल्दीराम के क्लासिक वेजी और पनीर मोमोज")</f>
        <v>हल्दीराम के क्लासिक वेजी और पनीर मोमोज</v>
      </c>
      <c r="D2671" s="5"/>
      <c r="E2671" s="2" t="s">
        <v>351</v>
      </c>
      <c r="F2671" s="1">
        <v>4.0</v>
      </c>
      <c r="G2671" s="3" t="s">
        <v>6452</v>
      </c>
    </row>
    <row r="2672">
      <c r="A2672" s="3" t="s">
        <v>8385</v>
      </c>
      <c r="B2672" s="4" t="str">
        <f>IFERROR(__xludf.DUMMYFUNCTION("GOOGLETRANSLATE(A2672, ""en"", ""te"")"),"హల్దీరామ్ యొక్క నిమిషం ఖానా తందూరి ప్లెయిన్ నాన్")</f>
        <v>హల్దీరామ్ యొక్క నిమిషం ఖానా తందూరి ప్లెయిన్ నాన్</v>
      </c>
      <c r="C2672" s="4" t="str">
        <f>IFERROR(__xludf.DUMMYFUNCTION("GOOGLETRANSLATE(A2672, ""en"", ""hi"")"),"हल्दीराम मिनट खाना तंदूरी प्लेन नान")</f>
        <v>हल्दीराम मिनट खाना तंदूरी प्लेन नान</v>
      </c>
      <c r="D2672" s="2" t="s">
        <v>6866</v>
      </c>
      <c r="E2672" s="2" t="s">
        <v>4100</v>
      </c>
      <c r="F2672" s="1">
        <v>4.0</v>
      </c>
      <c r="G2672" s="3" t="s">
        <v>7969</v>
      </c>
    </row>
    <row r="2673">
      <c r="A2673" s="3" t="s">
        <v>8386</v>
      </c>
      <c r="B2673" s="4" t="str">
        <f>IFERROR(__xludf.DUMMYFUNCTION("GOOGLETRANSLATE(A2673, ""en"", ""te"")"),"హల్దీరామ్ యొక్క నిమిషం ఖానా తందూరి నాన్")</f>
        <v>హల్దీరామ్ యొక్క నిమిషం ఖానా తందూరి నాన్</v>
      </c>
      <c r="C2673" s="4" t="str">
        <f>IFERROR(__xludf.DUMMYFUNCTION("GOOGLETRANSLATE(A2673, ""en"", ""hi"")"),"हल्दीराम मिनट खाना तंदूरी नान")</f>
        <v>हल्दीराम मिनट खाना तंदूरी नान</v>
      </c>
      <c r="D2673" s="2" t="s">
        <v>8387</v>
      </c>
      <c r="E2673" s="2" t="s">
        <v>4100</v>
      </c>
      <c r="F2673" s="1">
        <v>4.0</v>
      </c>
      <c r="G2673" s="3" t="s">
        <v>7969</v>
      </c>
    </row>
    <row r="2674">
      <c r="A2674" s="3" t="s">
        <v>8388</v>
      </c>
      <c r="B2674" s="4" t="str">
        <f>IFERROR(__xludf.DUMMYFUNCTION("GOOGLETRANSLATE(A2674, ""en"", ""te"")"),"హల్దీరామ్ ఉల్లిపాయ పరాఠా")</f>
        <v>హల్దీరామ్ ఉల్లిపాయ పరాఠా</v>
      </c>
      <c r="C2674" s="4" t="str">
        <f>IFERROR(__xludf.DUMMYFUNCTION("GOOGLETRANSLATE(A2674, ""en"", ""hi"")"),"हल्दीराम का प्याज पराठा")</f>
        <v>हल्दीराम का प्याज पराठा</v>
      </c>
      <c r="D2674" s="2" t="s">
        <v>8389</v>
      </c>
      <c r="E2674" s="2" t="s">
        <v>4100</v>
      </c>
      <c r="F2674" s="1">
        <v>4.0</v>
      </c>
      <c r="G2674" s="3" t="s">
        <v>7969</v>
      </c>
    </row>
    <row r="2675">
      <c r="A2675" s="3" t="s">
        <v>8390</v>
      </c>
      <c r="B2675" s="4" t="str">
        <f>IFERROR(__xludf.DUMMYFUNCTION("GOOGLETRANSLATE(A2675, ""en"", ""te"")"),"హల్దీరామ్ సబుదానా వడ")</f>
        <v>హల్దీరామ్ సబుదానా వడ</v>
      </c>
      <c r="C2675" s="4" t="str">
        <f>IFERROR(__xludf.DUMMYFUNCTION("GOOGLETRANSLATE(A2675, ""en"", ""hi"")"),"हल्दीराम का साबूदाना वड़ा")</f>
        <v>हल्दीराम का साबूदाना वड़ा</v>
      </c>
      <c r="D2675" s="2" t="s">
        <v>8264</v>
      </c>
      <c r="E2675" s="2" t="s">
        <v>1294</v>
      </c>
      <c r="F2675" s="1">
        <v>4.0</v>
      </c>
      <c r="G2675" s="3" t="s">
        <v>7969</v>
      </c>
    </row>
    <row r="2676">
      <c r="A2676" s="3" t="s">
        <v>8391</v>
      </c>
      <c r="B2676" s="4" t="str">
        <f>IFERROR(__xludf.DUMMYFUNCTION("GOOGLETRANSLATE(A2676, ""en"", ""te"")"),"హల్దీరామ్స్ టిక్కీ స్నాకర్")</f>
        <v>హల్దీరామ్స్ టిక్కీ స్నాకర్</v>
      </c>
      <c r="C2676" s="4" t="str">
        <f>IFERROR(__xludf.DUMMYFUNCTION("GOOGLETRANSLATE(A2676, ""en"", ""hi"")"),"हल्दीराम की टिक्की स्नैकर")</f>
        <v>हल्दीराम की टिक्की स्नैकर</v>
      </c>
      <c r="D2676" s="2" t="s">
        <v>8377</v>
      </c>
      <c r="E2676" s="2" t="s">
        <v>1294</v>
      </c>
      <c r="F2676" s="1">
        <v>4.0</v>
      </c>
      <c r="G2676" s="3" t="s">
        <v>7969</v>
      </c>
    </row>
    <row r="2677">
      <c r="A2677" s="3" t="s">
        <v>8392</v>
      </c>
      <c r="B2677" s="4" t="str">
        <f>IFERROR(__xludf.DUMMYFUNCTION("GOOGLETRANSLATE(A2677, ""en"", ""te"")"),"హల్దీరామ్స్ చోలే కుల్చా")</f>
        <v>హల్దీరామ్స్ చోలే కుల్చా</v>
      </c>
      <c r="C2677" s="4" t="str">
        <f>IFERROR(__xludf.DUMMYFUNCTION("GOOGLETRANSLATE(A2677, ""en"", ""hi"")"),"हल्दीराम का छोले कुलचा")</f>
        <v>हल्दीराम का छोले कुलचा</v>
      </c>
      <c r="D2677" s="2" t="s">
        <v>8393</v>
      </c>
      <c r="E2677" s="2" t="s">
        <v>4100</v>
      </c>
      <c r="F2677" s="1">
        <v>4.0</v>
      </c>
      <c r="G2677" s="3" t="s">
        <v>5989</v>
      </c>
    </row>
    <row r="2678">
      <c r="A2678" s="3" t="s">
        <v>8381</v>
      </c>
      <c r="B2678" s="4" t="str">
        <f>IFERROR(__xludf.DUMMYFUNCTION("GOOGLETRANSLATE(A2678, ""en"", ""te"")"),"ఆనంద్ దాల్ వడ")</f>
        <v>ఆనంద్ దాల్ వడ</v>
      </c>
      <c r="C2678" s="4" t="str">
        <f>IFERROR(__xludf.DUMMYFUNCTION("GOOGLETRANSLATE(A2678, ""en"", ""hi"")"),"आनंद दाल वड़ा")</f>
        <v>आनंद दाल वड़ा</v>
      </c>
      <c r="D2678" s="2" t="s">
        <v>7569</v>
      </c>
      <c r="E2678" s="2" t="s">
        <v>1294</v>
      </c>
      <c r="F2678" s="1">
        <v>4.0</v>
      </c>
      <c r="G2678" s="3" t="s">
        <v>8394</v>
      </c>
    </row>
    <row r="2679">
      <c r="A2679" s="3" t="s">
        <v>8395</v>
      </c>
      <c r="B2679" s="4" t="str">
        <f>IFERROR(__xludf.DUMMYFUNCTION("GOOGLETRANSLATE(A2679, ""en"", ""te"")"),"ఆనంద్ కోజుకట్ట")</f>
        <v>ఆనంద్ కోజుకట్ట</v>
      </c>
      <c r="C2679" s="4" t="str">
        <f>IFERROR(__xludf.DUMMYFUNCTION("GOOGLETRANSLATE(A2679, ""en"", ""hi"")"),"आनंद कोझुकट्टा")</f>
        <v>आनंद कोझुकट्टा</v>
      </c>
      <c r="D2679" s="2" t="s">
        <v>8086</v>
      </c>
      <c r="E2679" s="2" t="s">
        <v>2649</v>
      </c>
      <c r="F2679" s="1">
        <v>4.0</v>
      </c>
      <c r="G2679" s="3" t="s">
        <v>8394</v>
      </c>
    </row>
    <row r="2680">
      <c r="A2680" s="3" t="s">
        <v>8396</v>
      </c>
      <c r="B2680" s="4" t="str">
        <f>IFERROR(__xludf.DUMMYFUNCTION("GOOGLETRANSLATE(A2680, ""en"", ""te"")"),"హల్దీరామ్స్ మినీ పొడి ఇడ్లీ")</f>
        <v>హల్దీరామ్స్ మినీ పొడి ఇడ్లీ</v>
      </c>
      <c r="C2680" s="4" t="str">
        <f>IFERROR(__xludf.DUMMYFUNCTION("GOOGLETRANSLATE(A2680, ""en"", ""hi"")"),"हल्दीराम की मिनी पोडी इडली")</f>
        <v>हल्दीराम की मिनी पोडी इडली</v>
      </c>
      <c r="D2680" s="2" t="s">
        <v>8397</v>
      </c>
      <c r="E2680" s="2" t="s">
        <v>940</v>
      </c>
      <c r="F2680" s="1">
        <v>4.0</v>
      </c>
      <c r="G2680" s="3" t="s">
        <v>8394</v>
      </c>
    </row>
    <row r="2681">
      <c r="A2681" s="3" t="s">
        <v>8398</v>
      </c>
      <c r="B2681" s="4" t="str">
        <f>IFERROR(__xludf.DUMMYFUNCTION("GOOGLETRANSLATE(A2681, ""en"", ""te"")"),"ఆనంద్ రాగి ఎలా అడా")</f>
        <v>ఆనంద్ రాగి ఎలా అడా</v>
      </c>
      <c r="C2681" s="4" t="str">
        <f>IFERROR(__xludf.DUMMYFUNCTION("GOOGLETRANSLATE(A2681, ""en"", ""hi"")"),"आनंद रागी एला अदा")</f>
        <v>आनंद रागी एला अदा</v>
      </c>
      <c r="D2681" s="2" t="s">
        <v>8399</v>
      </c>
      <c r="E2681" s="2" t="s">
        <v>2649</v>
      </c>
      <c r="F2681" s="1">
        <v>4.0</v>
      </c>
      <c r="G2681" s="3" t="s">
        <v>8394</v>
      </c>
    </row>
    <row r="2682">
      <c r="A2682" s="3" t="s">
        <v>8400</v>
      </c>
      <c r="B2682" s="4" t="str">
        <f>IFERROR(__xludf.DUMMYFUNCTION("GOOGLETRANSLATE(A2682, ""en"", ""te"")"),"హల్దీరామ్ మలయన్ మోమోస్")</f>
        <v>హల్దీరామ్ మలయన్ మోమోస్</v>
      </c>
      <c r="C2682" s="4" t="str">
        <f>IFERROR(__xludf.DUMMYFUNCTION("GOOGLETRANSLATE(A2682, ""en"", ""hi"")"),"हल्दिराम के मलयन मोमोज")</f>
        <v>हल्दिराम के मलयन मोमोज</v>
      </c>
      <c r="D2682" s="2" t="s">
        <v>8401</v>
      </c>
      <c r="E2682" s="2" t="s">
        <v>351</v>
      </c>
      <c r="F2682" s="1">
        <v>4.0</v>
      </c>
      <c r="G2682" s="3" t="s">
        <v>6452</v>
      </c>
    </row>
    <row r="2683">
      <c r="A2683" s="3" t="s">
        <v>8402</v>
      </c>
      <c r="B2683" s="4" t="str">
        <f>IFERROR(__xludf.DUMMYFUNCTION("GOOGLETRANSLATE(A2683, ""en"", ""te"")"),"లక్ష్మి తందూరి ప్లెయిన్ నాన్")</f>
        <v>లక్ష్మి తందూరి ప్లెయిన్ నాన్</v>
      </c>
      <c r="C2683" s="4" t="str">
        <f>IFERROR(__xludf.DUMMYFUNCTION("GOOGLETRANSLATE(A2683, ""en"", ""hi"")"),"लक्ष्मी तंदूरी प्लेन नान")</f>
        <v>लक्ष्मी तंदूरी प्लेन नान</v>
      </c>
      <c r="D2683" s="2" t="s">
        <v>8403</v>
      </c>
      <c r="E2683" s="2" t="s">
        <v>4100</v>
      </c>
      <c r="F2683" s="1">
        <v>4.0</v>
      </c>
      <c r="G2683" s="3" t="s">
        <v>6556</v>
      </c>
    </row>
    <row r="2684">
      <c r="A2684" s="3" t="s">
        <v>8404</v>
      </c>
      <c r="B2684" s="4" t="str">
        <f>IFERROR(__xludf.DUMMYFUNCTION("GOOGLETRANSLATE(A2684, ""en"", ""te"")"),"హల్దీరామ్స్ తందూరి నాన్")</f>
        <v>హల్దీరామ్స్ తందూరి నాన్</v>
      </c>
      <c r="C2684" s="4" t="str">
        <f>IFERROR(__xludf.DUMMYFUNCTION("GOOGLETRANSLATE(A2684, ""en"", ""hi"")"),"हल्दीराम का तंदूरी नान")</f>
        <v>हल्दीराम का तंदूरी नान</v>
      </c>
      <c r="D2684" s="2" t="s">
        <v>8387</v>
      </c>
      <c r="E2684" s="2" t="s">
        <v>4100</v>
      </c>
      <c r="F2684" s="1">
        <v>4.0</v>
      </c>
      <c r="G2684" s="3" t="s">
        <v>6556</v>
      </c>
    </row>
    <row r="2685">
      <c r="A2685" s="3" t="s">
        <v>8405</v>
      </c>
      <c r="B2685" s="4" t="str">
        <f>IFERROR(__xludf.DUMMYFUNCTION("GOOGLETRANSLATE(A2685, ""en"", ""te"")"),"శ్వేత కార్న్ సమోసా")</f>
        <v>శ్వేత కార్న్ సమోసా</v>
      </c>
      <c r="C2685" s="4" t="str">
        <f>IFERROR(__xludf.DUMMYFUNCTION("GOOGLETRANSLATE(A2685, ""en"", ""hi"")"),"श्वेता कॉर्न समोसा")</f>
        <v>श्वेता कॉर्न समोसा</v>
      </c>
      <c r="D2685" s="2" t="s">
        <v>4932</v>
      </c>
      <c r="E2685" s="2" t="s">
        <v>1294</v>
      </c>
      <c r="F2685" s="1">
        <v>4.0</v>
      </c>
      <c r="G2685" s="3" t="s">
        <v>7969</v>
      </c>
    </row>
    <row r="2686">
      <c r="A2686" s="3" t="s">
        <v>8406</v>
      </c>
      <c r="B2686" s="4" t="str">
        <f>IFERROR(__xludf.DUMMYFUNCTION("GOOGLETRANSLATE(A2686, ""en"", ""te"")"),"వడిలాల్ మలై పనీర్")</f>
        <v>వడిలాల్ మలై పనీర్</v>
      </c>
      <c r="C2686" s="4" t="str">
        <f>IFERROR(__xludf.DUMMYFUNCTION("GOOGLETRANSLATE(A2686, ""en"", ""hi"")"),"वडीलाल मलाई पनीर")</f>
        <v>वडीलाल मलाई पनीर</v>
      </c>
      <c r="D2686" s="2" t="s">
        <v>1961</v>
      </c>
      <c r="E2686" s="2" t="s">
        <v>2369</v>
      </c>
      <c r="F2686" s="1">
        <v>4.0</v>
      </c>
      <c r="G2686" s="3" t="s">
        <v>7969</v>
      </c>
    </row>
    <row r="2687">
      <c r="A2687" s="3" t="s">
        <v>8407</v>
      </c>
      <c r="B2687" s="4" t="str">
        <f>IFERROR(__xludf.DUMMYFUNCTION("GOOGLETRANSLATE(A2687, ""en"", ""te"")"),"హల్దీరామ్ దాల్ కచోరీ")</f>
        <v>హల్దీరామ్ దాల్ కచోరీ</v>
      </c>
      <c r="C2687" s="4" t="str">
        <f>IFERROR(__xludf.DUMMYFUNCTION("GOOGLETRANSLATE(A2687, ""en"", ""hi"")"),"हल्दीराम की दाल कचौरी")</f>
        <v>हल्दीराम की दाल कचौरी</v>
      </c>
      <c r="D2687" s="2" t="s">
        <v>7569</v>
      </c>
      <c r="E2687" s="2" t="s">
        <v>1294</v>
      </c>
      <c r="F2687" s="1">
        <v>4.0</v>
      </c>
      <c r="G2687" s="3" t="s">
        <v>7969</v>
      </c>
    </row>
    <row r="2688">
      <c r="A2688" s="3" t="s">
        <v>8408</v>
      </c>
      <c r="B2688" s="4" t="str">
        <f>IFERROR(__xludf.DUMMYFUNCTION("GOOGLETRANSLATE(A2688, ""en"", ""te"")"),"హల్దీరామ్ యొక్క నిమిషం ఖానా మసాలా లాచెదర్ పరాఠా")</f>
        <v>హల్దీరామ్ యొక్క నిమిషం ఖానా మసాలా లాచెదర్ పరాఠా</v>
      </c>
      <c r="C2688" s="4" t="str">
        <f>IFERROR(__xludf.DUMMYFUNCTION("GOOGLETRANSLATE(A2688, ""en"", ""hi"")"),"हल्दीराम मिनट खाना मसाला लच्छेदार पराठा")</f>
        <v>हल्दीराम मिनट खाना मसाला लच्छेदार पराठा</v>
      </c>
      <c r="D2688" s="5"/>
      <c r="E2688" s="2" t="s">
        <v>940</v>
      </c>
      <c r="F2688" s="1">
        <v>4.0</v>
      </c>
      <c r="G2688" s="3" t="s">
        <v>8409</v>
      </c>
    </row>
    <row r="2689">
      <c r="A2689" s="3" t="s">
        <v>8410</v>
      </c>
      <c r="B2689" s="4" t="str">
        <f>IFERROR(__xludf.DUMMYFUNCTION("GOOGLETRANSLATE(A2689, ""en"", ""te"")"),"హల్దీరామ్ యొక్క నిమిషం ఖానా మేతి పరాటా")</f>
        <v>హల్దీరామ్ యొక్క నిమిషం ఖానా మేతి పరాటా</v>
      </c>
      <c r="C2689" s="4" t="str">
        <f>IFERROR(__xludf.DUMMYFUNCTION("GOOGLETRANSLATE(A2689, ""en"", ""hi"")"),"हल्दीराम मिनट खाना मेथी पराठा")</f>
        <v>हल्दीराम मिनट खाना मेथी पराठा</v>
      </c>
      <c r="D2689" s="2" t="s">
        <v>7569</v>
      </c>
      <c r="E2689" s="2" t="s">
        <v>1294</v>
      </c>
      <c r="F2689" s="1">
        <v>4.0</v>
      </c>
      <c r="G2689" s="3" t="s">
        <v>8409</v>
      </c>
    </row>
    <row r="2690">
      <c r="A2690" s="3" t="s">
        <v>8411</v>
      </c>
      <c r="B2690" s="4" t="str">
        <f>IFERROR(__xludf.DUMMYFUNCTION("GOOGLETRANSLATE(A2690, ""en"", ""te"")"),"హల్దీరామ్ యొక్క నిమిషం ఖానా ములి పరాటా")</f>
        <v>హల్దీరామ్ యొక్క నిమిషం ఖానా ములి పరాటా</v>
      </c>
      <c r="C2690" s="4" t="str">
        <f>IFERROR(__xludf.DUMMYFUNCTION("GOOGLETRANSLATE(A2690, ""en"", ""hi"")"),"हल्दीराम मिनट खाना मुली पराठा")</f>
        <v>हल्दीराम मिनट खाना मुली पराठा</v>
      </c>
      <c r="D2690" s="5"/>
      <c r="E2690" s="2" t="s">
        <v>1294</v>
      </c>
      <c r="F2690" s="1">
        <v>4.0</v>
      </c>
      <c r="G2690" s="3" t="s">
        <v>6651</v>
      </c>
    </row>
    <row r="2691">
      <c r="A2691" s="3" t="s">
        <v>8412</v>
      </c>
      <c r="B2691" s="4" t="str">
        <f>IFERROR(__xludf.DUMMYFUNCTION("GOOGLETRANSLATE(A2691, ""en"", ""te"")"),"హల్దీరామ్ యొక్క నిమిషం ఖానా మల్టీగ్రెయిన్ చపాతీ")</f>
        <v>హల్దీరామ్ యొక్క నిమిషం ఖానా మల్టీగ్రెయిన్ చపాతీ</v>
      </c>
      <c r="C2691" s="4" t="str">
        <f>IFERROR(__xludf.DUMMYFUNCTION("GOOGLETRANSLATE(A2691, ""en"", ""hi"")"),"हल्दीराम मिनट खाना मल्टीग्रेन चपाती")</f>
        <v>हल्दीराम मिनट खाना मल्टीग्रेन चपाती</v>
      </c>
      <c r="D2691" s="2" t="s">
        <v>8321</v>
      </c>
      <c r="E2691" s="2" t="s">
        <v>67</v>
      </c>
      <c r="F2691" s="1">
        <v>4.0</v>
      </c>
      <c r="G2691" s="3" t="s">
        <v>8413</v>
      </c>
    </row>
    <row r="2692">
      <c r="A2692" s="3" t="s">
        <v>8178</v>
      </c>
      <c r="B2692" s="4" t="str">
        <f>IFERROR(__xludf.DUMMYFUNCTION("GOOGLETRANSLATE(A2692, ""en"", ""te"")"),"వాదిలాల్ రుమాలి రోటి")</f>
        <v>వాదిలాల్ రుమాలి రోటి</v>
      </c>
      <c r="C2692" s="4" t="str">
        <f>IFERROR(__xludf.DUMMYFUNCTION("GOOGLETRANSLATE(A2692, ""en"", ""hi"")"),"वडीलाल रुमाली रोटी")</f>
        <v>वडीलाल रुमाली रोटी</v>
      </c>
      <c r="D2692" s="5"/>
      <c r="E2692" s="2" t="s">
        <v>2649</v>
      </c>
      <c r="F2692" s="1">
        <v>4.0</v>
      </c>
      <c r="G2692" s="3" t="s">
        <v>7969</v>
      </c>
    </row>
    <row r="2693">
      <c r="A2693" s="3" t="s">
        <v>8414</v>
      </c>
      <c r="B2693" s="4" t="str">
        <f>IFERROR(__xludf.DUMMYFUNCTION("GOOGLETRANSLATE(A2693, ""en"", ""te"")"),"హల్దీరామ్ యొక్క నిమిషం ఖానా హక్కీ కి రోటీ &amp; సర్సన్ కా సాగ్")</f>
        <v>హల్దీరామ్ యొక్క నిమిషం ఖానా హక్కీ కి రోటీ &amp; సర్సన్ కా సాగ్</v>
      </c>
      <c r="C2693" s="4" t="str">
        <f>IFERROR(__xludf.DUMMYFUNCTION("GOOGLETRANSLATE(A2693, ""en"", ""hi"")"),"हल्दीराम का मिनट खाना हकीकी की रोटी और सरसों का साग")</f>
        <v>हल्दीराम का मिनट खाना हकीकी की रोटी और सरसों का साग</v>
      </c>
      <c r="D2693" s="5"/>
      <c r="E2693" s="2" t="s">
        <v>940</v>
      </c>
      <c r="F2693" s="1">
        <v>4.0</v>
      </c>
      <c r="G2693" s="3" t="s">
        <v>7436</v>
      </c>
    </row>
    <row r="2694">
      <c r="A2694" s="3" t="s">
        <v>8415</v>
      </c>
      <c r="B2694" s="4" t="str">
        <f>IFERROR(__xludf.DUMMYFUNCTION("GOOGLETRANSLATE(A2694, ""en"", ""te"")"),"హల్దీరామ్ యొక్క నిమిషం ఖానా చోలే భాతురే")</f>
        <v>హల్దీరామ్ యొక్క నిమిషం ఖానా చోలే భాతురే</v>
      </c>
      <c r="C2694" s="4" t="str">
        <f>IFERROR(__xludf.DUMMYFUNCTION("GOOGLETRANSLATE(A2694, ""en"", ""hi"")"),"हल्दीराम मिनट खाना छोले भटूरे")</f>
        <v>हल्दीराम मिनट खाना छोले भटूरे</v>
      </c>
      <c r="D2694" s="2" t="s">
        <v>8416</v>
      </c>
      <c r="E2694" s="2" t="s">
        <v>1294</v>
      </c>
      <c r="F2694" s="1">
        <v>4.0</v>
      </c>
      <c r="G2694" s="3" t="s">
        <v>7436</v>
      </c>
    </row>
    <row r="2695">
      <c r="A2695" s="3" t="s">
        <v>8417</v>
      </c>
      <c r="B2695" s="4" t="str">
        <f>IFERROR(__xludf.DUMMYFUNCTION("GOOGLETRANSLATE(A2695, ""en"", ""te"")"),"మంత్ర ఆర్గానిక్ గార్లిక్ నాన్")</f>
        <v>మంత్ర ఆర్గానిక్ గార్లిక్ నాన్</v>
      </c>
      <c r="C2695" s="4" t="str">
        <f>IFERROR(__xludf.DUMMYFUNCTION("GOOGLETRANSLATE(A2695, ""en"", ""hi"")"),"मंत्रा ऑर्गेनिक लहसुन नान")</f>
        <v>मंत्रा ऑर्गेनिक लहसुन नान</v>
      </c>
      <c r="D2695" s="2" t="s">
        <v>2604</v>
      </c>
      <c r="E2695" s="2" t="s">
        <v>4100</v>
      </c>
      <c r="F2695" s="1">
        <v>4.0</v>
      </c>
      <c r="G2695" s="3" t="s">
        <v>7969</v>
      </c>
    </row>
    <row r="2696">
      <c r="A2696" s="3" t="s">
        <v>8418</v>
      </c>
      <c r="B2696" s="4" t="str">
        <f>IFERROR(__xludf.DUMMYFUNCTION("GOOGLETRANSLATE(A2696, ""en"", ""te"")"),"మంత్ర ఆర్గానిక్ ఫుల్కా")</f>
        <v>మంత్ర ఆర్గానిక్ ఫుల్కా</v>
      </c>
      <c r="C2696" s="4" t="str">
        <f>IFERROR(__xludf.DUMMYFUNCTION("GOOGLETRANSLATE(A2696, ""en"", ""hi"")"),"मंत्रा ऑर्गेनिक फुल्का")</f>
        <v>मंत्रा ऑर्गेनिक फुल्का</v>
      </c>
      <c r="D2696" s="2" t="s">
        <v>8419</v>
      </c>
      <c r="E2696" s="2" t="s">
        <v>4100</v>
      </c>
      <c r="F2696" s="1">
        <v>4.0</v>
      </c>
      <c r="G2696" s="3" t="s">
        <v>7969</v>
      </c>
    </row>
    <row r="2697">
      <c r="A2697" s="3" t="s">
        <v>8420</v>
      </c>
      <c r="B2697" s="4" t="str">
        <f>IFERROR(__xludf.DUMMYFUNCTION("GOOGLETRANSLATE(A2697, ""en"", ""te"")"),"మిర్చ్ మసాలా మలబారి పరాఠా మైదానం")</f>
        <v>మిర్చ్ మసాలా మలబారి పరాఠా మైదానం</v>
      </c>
      <c r="C2697" s="4" t="str">
        <f>IFERROR(__xludf.DUMMYFUNCTION("GOOGLETRANSLATE(A2697, ""en"", ""hi"")"),"मिर्च मसाला मालाबारी पराठा सादा")</f>
        <v>मिर्च मसाला मालाबारी पराठा सादा</v>
      </c>
      <c r="D2697" s="5"/>
      <c r="E2697" s="2" t="s">
        <v>4100</v>
      </c>
      <c r="F2697" s="1">
        <v>4.0</v>
      </c>
      <c r="G2697" s="3" t="s">
        <v>7969</v>
      </c>
    </row>
    <row r="2698">
      <c r="A2698" s="3" t="s">
        <v>8421</v>
      </c>
      <c r="B2698" s="4" t="str">
        <f>IFERROR(__xludf.DUMMYFUNCTION("GOOGLETRANSLATE(A2698, ""en"", ""te"")"),"మిర్చ్ మసాలా పరాఠా ఆలూ")</f>
        <v>మిర్చ్ మసాలా పరాఠా ఆలూ</v>
      </c>
      <c r="C2698" s="4" t="str">
        <f>IFERROR(__xludf.DUMMYFUNCTION("GOOGLETRANSLATE(A2698, ""en"", ""hi"")"),"मिर्च मसाला पराठा आलू")</f>
        <v>मिर्च मसाला पराठा आलू</v>
      </c>
      <c r="D2698" s="5"/>
      <c r="E2698" s="2" t="s">
        <v>4100</v>
      </c>
      <c r="F2698" s="1">
        <v>4.0</v>
      </c>
      <c r="G2698" s="3" t="s">
        <v>6856</v>
      </c>
    </row>
    <row r="2699">
      <c r="A2699" s="3" t="s">
        <v>8422</v>
      </c>
      <c r="B2699" s="4" t="str">
        <f>IFERROR(__xludf.DUMMYFUNCTION("GOOGLETRANSLATE(A2699, ""en"", ""te"")"),"హల్దీరామ్ మినిట్ ఖానా మిక్స్ వెజ్ పరాటా")</f>
        <v>హల్దీరామ్ మినిట్ ఖానా మిక్స్ వెజ్ పరాటా</v>
      </c>
      <c r="C2699" s="4" t="str">
        <f>IFERROR(__xludf.DUMMYFUNCTION("GOOGLETRANSLATE(A2699, ""en"", ""hi"")"),"हल्दीराम मिनट खाना मिक्स वेज पराठा")</f>
        <v>हल्दीराम मिनट खाना मिक्स वेज पराठा</v>
      </c>
      <c r="D2699" s="2" t="s">
        <v>8258</v>
      </c>
      <c r="E2699" s="2" t="s">
        <v>4100</v>
      </c>
      <c r="F2699" s="1">
        <v>4.0</v>
      </c>
      <c r="G2699" s="3" t="s">
        <v>7969</v>
      </c>
    </row>
    <row r="2700">
      <c r="A2700" s="3" t="s">
        <v>8423</v>
      </c>
      <c r="B2700" s="4" t="str">
        <f>IFERROR(__xludf.DUMMYFUNCTION("GOOGLETRANSLATE(A2700, ""en"", ""te"")"),"హల్దీరామ్ యొక్క నిమిషం ఖానా ఆలూ పరాటా")</f>
        <v>హల్దీరామ్ యొక్క నిమిషం ఖానా ఆలూ పరాటా</v>
      </c>
      <c r="C2700" s="4" t="str">
        <f>IFERROR(__xludf.DUMMYFUNCTION("GOOGLETRANSLATE(A2700, ""en"", ""hi"")"),"हल्दीराम मिनट खाना आलू पराठा")</f>
        <v>हल्दीराम मिनट खाना आलू पराठा</v>
      </c>
      <c r="D2700" s="2" t="s">
        <v>8424</v>
      </c>
      <c r="E2700" s="2" t="s">
        <v>1294</v>
      </c>
      <c r="F2700" s="1">
        <v>4.0</v>
      </c>
      <c r="G2700" s="3" t="s">
        <v>6867</v>
      </c>
    </row>
    <row r="2701">
      <c r="A2701" s="3" t="s">
        <v>8425</v>
      </c>
      <c r="B2701" s="4" t="str">
        <f>IFERROR(__xludf.DUMMYFUNCTION("GOOGLETRANSLATE(A2701, ""en"", ""te"")"),"హల్దీరామ్ యొక్క నిమిషం ఖానా ఆలూ ప్యాజ్ పరాఠా")</f>
        <v>హల్దీరామ్ యొక్క నిమిషం ఖానా ఆలూ ప్యాజ్ పరాఠా</v>
      </c>
      <c r="C2701" s="4" t="str">
        <f>IFERROR(__xludf.DUMMYFUNCTION("GOOGLETRANSLATE(A2701, ""en"", ""hi"")"),"हल्दीराम मिनट खाना आलू प्याज़ पराठा")</f>
        <v>हल्दीराम मिनट खाना आलू प्याज़ पराठा</v>
      </c>
      <c r="D2701" s="2" t="s">
        <v>8426</v>
      </c>
      <c r="E2701" s="2" t="s">
        <v>1294</v>
      </c>
      <c r="F2701" s="1">
        <v>4.0</v>
      </c>
      <c r="G2701" s="3" t="s">
        <v>6867</v>
      </c>
    </row>
    <row r="2702">
      <c r="A2702" s="3" t="s">
        <v>8427</v>
      </c>
      <c r="B2702" s="4" t="str">
        <f>IFERROR(__xludf.DUMMYFUNCTION("GOOGLETRANSLATE(A2702, ""en"", ""te"")"),"హల్దీరామ్ యొక్క నిమిషం ఖానా పకోరా")</f>
        <v>హల్దీరామ్ యొక్క నిమిషం ఖానా పకోరా</v>
      </c>
      <c r="C2702" s="4" t="str">
        <f>IFERROR(__xludf.DUMMYFUNCTION("GOOGLETRANSLATE(A2702, ""en"", ""hi"")"),"हल्दीराम मिनट खाना पकौड़ा")</f>
        <v>हल्दीराम मिनट खाना पकौड़ा</v>
      </c>
      <c r="D2702" s="5"/>
      <c r="E2702" s="2" t="s">
        <v>1294</v>
      </c>
      <c r="F2702" s="1">
        <v>4.0</v>
      </c>
      <c r="G2702" s="3" t="s">
        <v>7969</v>
      </c>
    </row>
    <row r="2703">
      <c r="A2703" s="3" t="s">
        <v>8376</v>
      </c>
      <c r="B2703" s="4" t="str">
        <f>IFERROR(__xludf.DUMMYFUNCTION("GOOGLETRANSLATE(A2703, ""en"", ""te"")"),"హల్దీరామ్ యొక్క నిమిషం ఖానా సబుదానా టిక్కీ")</f>
        <v>హల్దీరామ్ యొక్క నిమిషం ఖానా సబుదానా టిక్కీ</v>
      </c>
      <c r="C2703" s="4" t="str">
        <f>IFERROR(__xludf.DUMMYFUNCTION("GOOGLETRANSLATE(A2703, ""en"", ""hi"")"),"हल्दीराम मिनट खाना साबूदाना टिक्की")</f>
        <v>हल्दीराम मिनट खाना साबूदाना टिक्की</v>
      </c>
      <c r="D2703" s="2" t="s">
        <v>8377</v>
      </c>
      <c r="E2703" s="2" t="s">
        <v>1294</v>
      </c>
      <c r="F2703" s="1">
        <v>4.0</v>
      </c>
      <c r="G2703" s="3" t="s">
        <v>7969</v>
      </c>
    </row>
    <row r="2704">
      <c r="A2704" s="3" t="s">
        <v>8344</v>
      </c>
      <c r="B2704" s="4" t="str">
        <f>IFERROR(__xludf.DUMMYFUNCTION("GOOGLETRANSLATE(A2704, ""en"", ""te"")"),"శ్వేత తెలుగు ఫుడ్స్ కార్న్ సమోసా")</f>
        <v>శ్వేత తెలుగు ఫుడ్స్ కార్న్ సమోసా</v>
      </c>
      <c r="C2704" s="4" t="str">
        <f>IFERROR(__xludf.DUMMYFUNCTION("GOOGLETRANSLATE(A2704, ""en"", ""hi"")"),"स्वेता तेलुगु फूड्स कॉर्न समोसा")</f>
        <v>स्वेता तेलुगु फूड्स कॉर्न समोसा</v>
      </c>
      <c r="D2704" s="5"/>
      <c r="E2704" s="2" t="s">
        <v>1294</v>
      </c>
      <c r="F2704" s="1">
        <v>4.0</v>
      </c>
      <c r="G2704" s="3" t="s">
        <v>6605</v>
      </c>
    </row>
    <row r="2705">
      <c r="A2705" s="3" t="s">
        <v>8428</v>
      </c>
      <c r="B2705" s="4" t="str">
        <f>IFERROR(__xludf.DUMMYFUNCTION("GOOGLETRANSLATE(A2705, ""en"", ""te"")"),"అన్నం మసాలా ఇడ్లీ")</f>
        <v>అన్నం మసాలా ఇడ్లీ</v>
      </c>
      <c r="C2705" s="4" t="str">
        <f>IFERROR(__xludf.DUMMYFUNCTION("GOOGLETRANSLATE(A2705, ""en"", ""hi"")"),"अन्नम मसाला इडली")</f>
        <v>अन्नम मसाला इडली</v>
      </c>
      <c r="D2705" s="2" t="s">
        <v>8429</v>
      </c>
      <c r="E2705" s="2" t="s">
        <v>2649</v>
      </c>
      <c r="F2705" s="1">
        <v>4.0</v>
      </c>
      <c r="G2705" s="3" t="s">
        <v>6605</v>
      </c>
    </row>
    <row r="2706">
      <c r="A2706" s="3" t="s">
        <v>8430</v>
      </c>
      <c r="B2706" s="4" t="str">
        <f>IFERROR(__xludf.DUMMYFUNCTION("GOOGLETRANSLATE(A2706, ""en"", ""te"")"),"అన్నం ఇడ్లీ సాంబార్")</f>
        <v>అన్నం ఇడ్లీ సాంబార్</v>
      </c>
      <c r="C2706" s="4" t="str">
        <f>IFERROR(__xludf.DUMMYFUNCTION("GOOGLETRANSLATE(A2706, ""en"", ""hi"")"),"अन्नम इडली सांभर")</f>
        <v>अन्नम इडली सांभर</v>
      </c>
      <c r="D2706" s="5"/>
      <c r="E2706" s="2" t="s">
        <v>940</v>
      </c>
      <c r="F2706" s="1">
        <v>4.0</v>
      </c>
      <c r="G2706" s="3" t="s">
        <v>6605</v>
      </c>
    </row>
    <row r="2707">
      <c r="A2707" s="3" t="s">
        <v>8431</v>
      </c>
      <c r="B2707" s="4" t="str">
        <f>IFERROR(__xludf.DUMMYFUNCTION("GOOGLETRANSLATE(A2707, ""en"", ""te"")"),"హల్దీరామ్ యొక్క నిమిషం ఖానా మలై పనీర్")</f>
        <v>హల్దీరామ్ యొక్క నిమిషం ఖానా మలై పనీర్</v>
      </c>
      <c r="C2707" s="4" t="str">
        <f>IFERROR(__xludf.DUMMYFUNCTION("GOOGLETRANSLATE(A2707, ""en"", ""hi"")"),"हल्दीराम मिनट खाना मलाई पनीर")</f>
        <v>हल्दीराम मिनट खाना मलाई पनीर</v>
      </c>
      <c r="D2707" s="2" t="s">
        <v>1961</v>
      </c>
      <c r="E2707" s="2" t="s">
        <v>940</v>
      </c>
      <c r="F2707" s="1">
        <v>4.0</v>
      </c>
      <c r="G2707" s="3" t="s">
        <v>6628</v>
      </c>
    </row>
    <row r="2708">
      <c r="A2708" s="3" t="s">
        <v>8432</v>
      </c>
      <c r="B2708" s="4" t="str">
        <f>IFERROR(__xludf.DUMMYFUNCTION("GOOGLETRANSLATE(A2708, ""en"", ""te"")"),"హల్దీరామ్ యొక్క నిమిషం ఖానా దాల్ కచోరి")</f>
        <v>హల్దీరామ్ యొక్క నిమిషం ఖానా దాల్ కచోరి</v>
      </c>
      <c r="C2708" s="4" t="str">
        <f>IFERROR(__xludf.DUMMYFUNCTION("GOOGLETRANSLATE(A2708, ""en"", ""hi"")"),"हल्दीराम मिनट खाना दाल कचौरी")</f>
        <v>हल्दीराम मिनट खाना दाल कचौरी</v>
      </c>
      <c r="D2708" s="5"/>
      <c r="E2708" s="2" t="s">
        <v>940</v>
      </c>
      <c r="F2708" s="1">
        <v>4.0</v>
      </c>
      <c r="G2708" s="3" t="s">
        <v>6628</v>
      </c>
    </row>
    <row r="2709">
      <c r="A2709" s="3" t="s">
        <v>8433</v>
      </c>
      <c r="B2709" s="4" t="str">
        <f>IFERROR(__xludf.DUMMYFUNCTION("GOOGLETRANSLATE(A2709, ""en"", ""te"")"),"హల్దీరామ్ యొక్క నిమిషం ఖానా మసాలా లచ్చా పరాఠా")</f>
        <v>హల్దీరామ్ యొక్క నిమిషం ఖానా మసాలా లచ్చా పరాఠా</v>
      </c>
      <c r="C2709" s="4" t="str">
        <f>IFERROR(__xludf.DUMMYFUNCTION("GOOGLETRANSLATE(A2709, ""en"", ""hi"")"),"हल्दीराम मिनट खाना मसाला लच्छा पराठा")</f>
        <v>हल्दीराम मिनट खाना मसाला लच्छा पराठा</v>
      </c>
      <c r="D2709" s="5"/>
      <c r="E2709" s="2" t="s">
        <v>940</v>
      </c>
      <c r="F2709" s="1">
        <v>4.0</v>
      </c>
      <c r="G2709" s="3" t="s">
        <v>6651</v>
      </c>
    </row>
    <row r="2710">
      <c r="A2710" s="3" t="s">
        <v>8410</v>
      </c>
      <c r="B2710" s="4" t="str">
        <f>IFERROR(__xludf.DUMMYFUNCTION("GOOGLETRANSLATE(A2710, ""en"", ""te"")"),"హల్దీరామ్ యొక్క నిమిషం ఖానా మేతి పరాటా")</f>
        <v>హల్దీరామ్ యొక్క నిమిషం ఖానా మేతి పరాటా</v>
      </c>
      <c r="C2710" s="4" t="str">
        <f>IFERROR(__xludf.DUMMYFUNCTION("GOOGLETRANSLATE(A2710, ""en"", ""hi"")"),"हल्दीराम मिनट खाना मेथी पराठा")</f>
        <v>हल्दीराम मिनट खाना मेथी पराठा</v>
      </c>
      <c r="D2710" s="2" t="s">
        <v>7569</v>
      </c>
      <c r="E2710" s="2" t="s">
        <v>1294</v>
      </c>
      <c r="F2710" s="1">
        <v>4.0</v>
      </c>
      <c r="G2710" s="3" t="s">
        <v>6651</v>
      </c>
    </row>
    <row r="2711">
      <c r="A2711" s="3" t="s">
        <v>8178</v>
      </c>
      <c r="B2711" s="4" t="str">
        <f>IFERROR(__xludf.DUMMYFUNCTION("GOOGLETRANSLATE(A2711, ""en"", ""te"")"),"వాదిలాల్ రుమాలి రోటి")</f>
        <v>వాదిలాల్ రుమాలి రోటి</v>
      </c>
      <c r="C2711" s="4" t="str">
        <f>IFERROR(__xludf.DUMMYFUNCTION("GOOGLETRANSLATE(A2711, ""en"", ""hi"")"),"वडीलाल रुमाली रोटी")</f>
        <v>वडीलाल रुमाली रोटी</v>
      </c>
      <c r="D2711" s="5"/>
      <c r="E2711" s="2" t="s">
        <v>2649</v>
      </c>
      <c r="F2711" s="1">
        <v>4.0</v>
      </c>
      <c r="G2711" s="3" t="s">
        <v>7436</v>
      </c>
    </row>
    <row r="2712">
      <c r="A2712" s="3" t="s">
        <v>8434</v>
      </c>
      <c r="B2712" s="4" t="str">
        <f>IFERROR(__xludf.DUMMYFUNCTION("GOOGLETRANSLATE(A2712, ""en"", ""te"")"),"24 మంత్ర ఆర్గానిక్ ఫుల్కా")</f>
        <v>24 మంత్ర ఆర్గానిక్ ఫుల్కా</v>
      </c>
      <c r="C2712" s="4" t="str">
        <f>IFERROR(__xludf.DUMMYFUNCTION("GOOGLETRANSLATE(A2712, ""en"", ""hi"")"),"24 मंत्रा ऑर्गेनिक फुल्का")</f>
        <v>24 मंत्रा ऑर्गेनिक फुल्का</v>
      </c>
      <c r="D2712" s="2" t="s">
        <v>8419</v>
      </c>
      <c r="E2712" s="2" t="s">
        <v>4100</v>
      </c>
      <c r="F2712" s="1">
        <v>4.0</v>
      </c>
      <c r="G2712" s="3" t="s">
        <v>6856</v>
      </c>
    </row>
    <row r="2713">
      <c r="A2713" s="3" t="s">
        <v>8435</v>
      </c>
      <c r="B2713" s="4" t="str">
        <f>IFERROR(__xludf.DUMMYFUNCTION("GOOGLETRANSLATE(A2713, ""en"", ""te"")"),"మిర్చ్ మసాలా మలయాసియన్ పరాఠా మైదానం")</f>
        <v>మిర్చ్ మసాలా మలయాసియన్ పరాఠా మైదానం</v>
      </c>
      <c r="C2713" s="4" t="str">
        <f>IFERROR(__xludf.DUMMYFUNCTION("GOOGLETRANSLATE(A2713, ""en"", ""hi"")"),"मिर्च मसाला मलयशियाई पराठा सादा")</f>
        <v>मिर्च मसाला मलयशियाई पराठा सादा</v>
      </c>
      <c r="D2713" s="5"/>
      <c r="E2713" s="2" t="s">
        <v>940</v>
      </c>
      <c r="F2713" s="1">
        <v>4.0</v>
      </c>
      <c r="G2713" s="3" t="s">
        <v>6856</v>
      </c>
    </row>
    <row r="2714">
      <c r="A2714" s="3" t="s">
        <v>8436</v>
      </c>
      <c r="B2714" s="4" t="str">
        <f>IFERROR(__xludf.DUMMYFUNCTION("GOOGLETRANSLATE(A2714, ""en"", ""te"")"),"మిర్చ్ మసాలా మలయాసియన్ పరాటా ఆలూ")</f>
        <v>మిర్చ్ మసాలా మలయాసియన్ పరాటా ఆలూ</v>
      </c>
      <c r="C2714" s="4" t="str">
        <f>IFERROR(__xludf.DUMMYFUNCTION("GOOGLETRANSLATE(A2714, ""en"", ""hi"")"),"मिर्च मसाला मलयशियाई पराठा आलू")</f>
        <v>मिर्च मसाला मलयशियाई पराठा आलू</v>
      </c>
      <c r="D2714" s="5"/>
      <c r="E2714" s="2" t="s">
        <v>940</v>
      </c>
      <c r="F2714" s="1">
        <v>4.0</v>
      </c>
      <c r="G2714" s="3" t="s">
        <v>6856</v>
      </c>
    </row>
    <row r="2715">
      <c r="A2715" s="3" t="s">
        <v>8437</v>
      </c>
      <c r="B2715" s="4" t="str">
        <f>IFERROR(__xludf.DUMMYFUNCTION("GOOGLETRANSLATE(A2715, ""en"", ""te"")"),"హిమాలయన్ మోమోస్")</f>
        <v>హిమాలయన్ మోమోస్</v>
      </c>
      <c r="C2715" s="4" t="str">
        <f>IFERROR(__xludf.DUMMYFUNCTION("GOOGLETRANSLATE(A2715, ""en"", ""hi"")"),"हिमालयन मोमोज")</f>
        <v>हिमालयन मोमोज</v>
      </c>
      <c r="D2715" s="5"/>
      <c r="E2715" s="2" t="s">
        <v>351</v>
      </c>
      <c r="F2715" s="1">
        <v>4.0</v>
      </c>
      <c r="G2715" s="3" t="s">
        <v>6856</v>
      </c>
    </row>
    <row r="2716">
      <c r="A2716" s="3" t="s">
        <v>8438</v>
      </c>
      <c r="B2716" s="4" t="str">
        <f>IFERROR(__xludf.DUMMYFUNCTION("GOOGLETRANSLATE(A2716, ""en"", ""te"")"),"హల్దీరామ్ యొక్క మినిట్ ఖానా వాల్యూ ప్యాక్")</f>
        <v>హల్దీరామ్ యొక్క మినిట్ ఖానా వాల్యూ ప్యాక్</v>
      </c>
      <c r="C2716" s="4" t="str">
        <f>IFERROR(__xludf.DUMMYFUNCTION("GOOGLETRANSLATE(A2716, ""en"", ""hi"")"),"हल्दीराम का मिनट खाना वैल्यू पैक")</f>
        <v>हल्दीराम का मिनट खाना वैल्यू पैक</v>
      </c>
      <c r="D2716" s="5"/>
      <c r="E2716" s="2" t="s">
        <v>940</v>
      </c>
      <c r="F2716" s="1">
        <v>4.0</v>
      </c>
      <c r="G2716" s="3" t="s">
        <v>7969</v>
      </c>
    </row>
    <row r="2717">
      <c r="A2717" s="3" t="s">
        <v>3482</v>
      </c>
      <c r="B2717" s="4" t="str">
        <f>IFERROR(__xludf.DUMMYFUNCTION("GOOGLETRANSLATE(A2717, ""en"", ""te"")"),"హల్దీరామ్స్ ఆలూ టిక్కీ")</f>
        <v>హల్దీరామ్స్ ఆలూ టిక్కీ</v>
      </c>
      <c r="C2717" s="4" t="str">
        <f>IFERROR(__xludf.DUMMYFUNCTION("GOOGLETRANSLATE(A2717, ""en"", ""hi"")"),"हल्दीराम की आलू टिक्की")</f>
        <v>हल्दीराम की आलू टिक्की</v>
      </c>
      <c r="D2717" s="2" t="s">
        <v>8439</v>
      </c>
      <c r="E2717" s="2" t="s">
        <v>1294</v>
      </c>
      <c r="F2717" s="1">
        <v>4.0</v>
      </c>
      <c r="G2717" s="3" t="s">
        <v>7969</v>
      </c>
    </row>
    <row r="2718">
      <c r="A2718" s="3" t="s">
        <v>8440</v>
      </c>
      <c r="B2718" s="4" t="str">
        <f>IFERROR(__xludf.DUMMYFUNCTION("GOOGLETRANSLATE(A2718, ""en"", ""te"")"),"హల్దీరామ్ పనీర్ వేలు")</f>
        <v>హల్దీరామ్ పనీర్ వేలు</v>
      </c>
      <c r="C2718" s="4" t="str">
        <f>IFERROR(__xludf.DUMMYFUNCTION("GOOGLETRANSLATE(A2718, ""en"", ""hi"")"),"हल्दीराम का पनीर फिंगर")</f>
        <v>हल्दीराम का पनीर फिंगर</v>
      </c>
      <c r="D2718" s="2" t="s">
        <v>8104</v>
      </c>
      <c r="E2718" s="2" t="s">
        <v>2369</v>
      </c>
      <c r="F2718" s="1">
        <v>4.0</v>
      </c>
      <c r="G2718" s="3" t="s">
        <v>7969</v>
      </c>
    </row>
    <row r="2719">
      <c r="A2719" s="3" t="s">
        <v>8441</v>
      </c>
      <c r="B2719" s="4" t="str">
        <f>IFERROR(__xludf.DUMMYFUNCTION("GOOGLETRANSLATE(A2719, ""en"", ""te"")"),"హల్దీరామ్స్ మిర్చి పకోడా")</f>
        <v>హల్దీరామ్స్ మిర్చి పకోడా</v>
      </c>
      <c r="C2719" s="4" t="str">
        <f>IFERROR(__xludf.DUMMYFUNCTION("GOOGLETRANSLATE(A2719, ""en"", ""hi"")"),"हल्दीराम का मिर्ची पकोड़ा")</f>
        <v>हल्दीराम का मिर्ची पकोड़ा</v>
      </c>
      <c r="D2719" s="5"/>
      <c r="E2719" s="2" t="s">
        <v>1294</v>
      </c>
      <c r="F2719" s="1">
        <v>4.0</v>
      </c>
      <c r="G2719" s="3" t="s">
        <v>7969</v>
      </c>
    </row>
    <row r="2720">
      <c r="A2720" s="3" t="s">
        <v>8442</v>
      </c>
      <c r="B2720" s="4" t="str">
        <f>IFERROR(__xludf.DUMMYFUNCTION("GOOGLETRANSLATE(A2720, ""en"", ""te"")"),"హల్దీరామ్ యొక్క మటర్ కచోరి")</f>
        <v>హల్దీరామ్ యొక్క మటర్ కచోరి</v>
      </c>
      <c r="C2720" s="4" t="str">
        <f>IFERROR(__xludf.DUMMYFUNCTION("GOOGLETRANSLATE(A2720, ""en"", ""hi"")"),"हल्दीराम की मटर कचौरी")</f>
        <v>हल्दीराम की मटर कचौरी</v>
      </c>
      <c r="D2720" s="5"/>
      <c r="E2720" s="2" t="s">
        <v>1294</v>
      </c>
      <c r="F2720" s="1">
        <v>4.0</v>
      </c>
      <c r="G2720" s="3" t="s">
        <v>7969</v>
      </c>
    </row>
    <row r="2721">
      <c r="A2721" s="3" t="s">
        <v>8443</v>
      </c>
      <c r="B2721" s="4" t="str">
        <f>IFERROR(__xludf.DUMMYFUNCTION("GOOGLETRANSLATE(A2721, ""en"", ""te"")"),"హల్దీరామ్ సబుదానా టిక్కీ")</f>
        <v>హల్దీరామ్ సబుదానా టిక్కీ</v>
      </c>
      <c r="C2721" s="4" t="str">
        <f>IFERROR(__xludf.DUMMYFUNCTION("GOOGLETRANSLATE(A2721, ""en"", ""hi"")"),"हल्दीराम की साबूदाना टिक्की")</f>
        <v>हल्दीराम की साबूदाना टिक्की</v>
      </c>
      <c r="D2721" s="2" t="s">
        <v>8377</v>
      </c>
      <c r="E2721" s="2" t="s">
        <v>1294</v>
      </c>
      <c r="F2721" s="1">
        <v>4.0</v>
      </c>
      <c r="G2721" s="3" t="s">
        <v>7969</v>
      </c>
    </row>
    <row r="2722">
      <c r="A2722" s="3" t="s">
        <v>8444</v>
      </c>
      <c r="B2722" s="4" t="str">
        <f>IFERROR(__xludf.DUMMYFUNCTION("GOOGLETRANSLATE(A2722, ""en"", ""te"")"),"హల్దీరామ్ పనీర్")</f>
        <v>హల్దీరామ్ పనీర్</v>
      </c>
      <c r="C2722" s="4" t="str">
        <f>IFERROR(__xludf.DUMMYFUNCTION("GOOGLETRANSLATE(A2722, ""en"", ""hi"")"),"हल्दीराम का पनीर")</f>
        <v>हल्दीराम का पनीर</v>
      </c>
      <c r="D2722" s="2" t="s">
        <v>1961</v>
      </c>
      <c r="E2722" s="2" t="s">
        <v>2369</v>
      </c>
      <c r="F2722" s="1">
        <v>4.0</v>
      </c>
      <c r="G2722" s="3" t="s">
        <v>7969</v>
      </c>
    </row>
    <row r="2723">
      <c r="A2723" s="3" t="s">
        <v>8445</v>
      </c>
      <c r="B2723" s="4" t="str">
        <f>IFERROR(__xludf.DUMMYFUNCTION("GOOGLETRANSLATE(A2723, ""en"", ""te"")"),"హల్దీరామ్స్ ఆలూ గోబీ పరాఠా")</f>
        <v>హల్దీరామ్స్ ఆలూ గోబీ పరాఠా</v>
      </c>
      <c r="C2723" s="4" t="str">
        <f>IFERROR(__xludf.DUMMYFUNCTION("GOOGLETRANSLATE(A2723, ""en"", ""hi"")"),"हल्दीराम का आलू गोभी पराठा")</f>
        <v>हल्दीराम का आलू गोभी पराठा</v>
      </c>
      <c r="D2723" s="5"/>
      <c r="E2723" s="2" t="s">
        <v>2649</v>
      </c>
      <c r="F2723" s="1">
        <v>4.0</v>
      </c>
      <c r="G2723" s="3" t="s">
        <v>7969</v>
      </c>
    </row>
    <row r="2724">
      <c r="A2724" s="3" t="s">
        <v>8446</v>
      </c>
      <c r="B2724" s="4" t="str">
        <f>IFERROR(__xludf.DUMMYFUNCTION("GOOGLETRANSLATE(A2724, ""en"", ""te"")"),"హల్దీరామ్ గోబీ పరాఠా")</f>
        <v>హల్దీరామ్ గోబీ పరాఠా</v>
      </c>
      <c r="C2724" s="4" t="str">
        <f>IFERROR(__xludf.DUMMYFUNCTION("GOOGLETRANSLATE(A2724, ""en"", ""hi"")"),"हल्दीराम का गोभी पराठा")</f>
        <v>हल्दीराम का गोभी पराठा</v>
      </c>
      <c r="D2724" s="2" t="s">
        <v>8447</v>
      </c>
      <c r="E2724" s="2" t="s">
        <v>2649</v>
      </c>
      <c r="F2724" s="1">
        <v>4.0</v>
      </c>
      <c r="G2724" s="3" t="s">
        <v>7969</v>
      </c>
    </row>
    <row r="2725">
      <c r="A2725" s="3" t="s">
        <v>8448</v>
      </c>
      <c r="B2725" s="4" t="str">
        <f>IFERROR(__xludf.DUMMYFUNCTION("GOOGLETRANSLATE(A2725, ""en"", ""te"")"),"హల్దీరామ్స్ హోమ్‌స్టైల్ పరాఠా")</f>
        <v>హల్దీరామ్స్ హోమ్‌స్టైల్ పరాఠా</v>
      </c>
      <c r="C2725" s="4" t="str">
        <f>IFERROR(__xludf.DUMMYFUNCTION("GOOGLETRANSLATE(A2725, ""en"", ""hi"")"),"हल्दीराम का होमस्टाइल पराठा")</f>
        <v>हल्दीराम का होमस्टाइल पराठा</v>
      </c>
      <c r="D2725" s="2" t="s">
        <v>8449</v>
      </c>
      <c r="E2725" s="2" t="s">
        <v>2649</v>
      </c>
      <c r="F2725" s="1">
        <v>4.0</v>
      </c>
      <c r="G2725" s="3" t="s">
        <v>7969</v>
      </c>
    </row>
    <row r="2726">
      <c r="A2726" s="3" t="s">
        <v>8450</v>
      </c>
      <c r="B2726" s="4" t="str">
        <f>IFERROR(__xludf.DUMMYFUNCTION("GOOGLETRANSLATE(A2726, ""en"", ""te"")"),"హల్దీరామ్ లచ్చా పరాఠా")</f>
        <v>హల్దీరామ్ లచ్చా పరాఠా</v>
      </c>
      <c r="C2726" s="4" t="str">
        <f>IFERROR(__xludf.DUMMYFUNCTION("GOOGLETRANSLATE(A2726, ""en"", ""hi"")"),"हल्दीराम का लच्छा पराठा")</f>
        <v>हल्दीराम का लच्छा पराठा</v>
      </c>
      <c r="D2726" s="2" t="s">
        <v>8162</v>
      </c>
      <c r="E2726" s="2" t="s">
        <v>2649</v>
      </c>
      <c r="F2726" s="1">
        <v>4.0</v>
      </c>
      <c r="G2726" s="3" t="s">
        <v>7969</v>
      </c>
    </row>
    <row r="2727">
      <c r="A2727" s="3" t="s">
        <v>8451</v>
      </c>
      <c r="B2727" s="4" t="str">
        <f>IFERROR(__xludf.DUMMYFUNCTION("GOOGLETRANSLATE(A2727, ""en"", ""te"")"),"హల్దీరామ్ మెంతి పరాఠా")</f>
        <v>హల్దీరామ్ మెంతి పరాఠా</v>
      </c>
      <c r="C2727" s="4" t="str">
        <f>IFERROR(__xludf.DUMMYFUNCTION("GOOGLETRANSLATE(A2727, ""en"", ""hi"")"),"हल्दीराम का मेथी पराठा")</f>
        <v>हल्दीराम का मेथी पराठा</v>
      </c>
      <c r="D2727" s="2" t="s">
        <v>8162</v>
      </c>
      <c r="E2727" s="2" t="s">
        <v>2649</v>
      </c>
      <c r="F2727" s="1">
        <v>4.0</v>
      </c>
      <c r="G2727" s="3" t="s">
        <v>7969</v>
      </c>
    </row>
    <row r="2728">
      <c r="A2728" s="3" t="s">
        <v>8452</v>
      </c>
      <c r="B2728" s="4" t="str">
        <f>IFERROR(__xludf.DUMMYFUNCTION("GOOGLETRANSLATE(A2728, ""en"", ""te"")"),"హల్దీరామ్ పుదీనా పరాఠా")</f>
        <v>హల్దీరామ్ పుదీనా పరాఠా</v>
      </c>
      <c r="C2728" s="4" t="str">
        <f>IFERROR(__xludf.DUMMYFUNCTION("GOOGLETRANSLATE(A2728, ""en"", ""hi"")"),"हल्दीराम का पुदीना पराठा")</f>
        <v>हल्दीराम का पुदीना पराठा</v>
      </c>
      <c r="D2728" s="2" t="s">
        <v>8162</v>
      </c>
      <c r="E2728" s="2" t="s">
        <v>2649</v>
      </c>
      <c r="F2728" s="1">
        <v>4.0</v>
      </c>
      <c r="G2728" s="3" t="s">
        <v>7969</v>
      </c>
    </row>
    <row r="2729">
      <c r="A2729" s="3" t="s">
        <v>8453</v>
      </c>
      <c r="B2729" s="4" t="str">
        <f>IFERROR(__xludf.DUMMYFUNCTION("GOOGLETRANSLATE(A2729, ""en"", ""te"")"),"హల్దీరామ్స్ రాగి రోటీ")</f>
        <v>హల్దీరామ్స్ రాగి రోటీ</v>
      </c>
      <c r="C2729" s="4" t="str">
        <f>IFERROR(__xludf.DUMMYFUNCTION("GOOGLETRANSLATE(A2729, ""en"", ""hi"")"),"हल्दीराम की रागी रोटी")</f>
        <v>हल्दीराम की रागी रोटी</v>
      </c>
      <c r="D2729" s="2" t="s">
        <v>8079</v>
      </c>
      <c r="E2729" s="2" t="s">
        <v>2649</v>
      </c>
      <c r="F2729" s="1">
        <v>4.0</v>
      </c>
      <c r="G2729" s="3" t="s">
        <v>7969</v>
      </c>
    </row>
    <row r="2730">
      <c r="A2730" s="3" t="s">
        <v>8454</v>
      </c>
      <c r="B2730" s="4" t="str">
        <f>IFERROR(__xludf.DUMMYFUNCTION("GOOGLETRANSLATE(A2730, ""en"", ""te"")"),"హల్దీరామ్స్ మల్టీగ్రెయిన్ చపాతీ")</f>
        <v>హల్దీరామ్స్ మల్టీగ్రెయిన్ చపాతీ</v>
      </c>
      <c r="C2730" s="4" t="str">
        <f>IFERROR(__xludf.DUMMYFUNCTION("GOOGLETRANSLATE(A2730, ""en"", ""hi"")"),"हल्दीराम की मल्टीग्रेन चपाती")</f>
        <v>हल्दीराम की मल्टीग्रेन चपाती</v>
      </c>
      <c r="D2730" s="2" t="s">
        <v>8455</v>
      </c>
      <c r="E2730" s="2" t="s">
        <v>67</v>
      </c>
      <c r="F2730" s="1">
        <v>4.0</v>
      </c>
      <c r="G2730" s="3" t="s">
        <v>7969</v>
      </c>
    </row>
    <row r="2731">
      <c r="A2731" s="3" t="s">
        <v>8456</v>
      </c>
      <c r="B2731" s="4" t="str">
        <f>IFERROR(__xludf.DUMMYFUNCTION("GOOGLETRANSLATE(A2731, ""en"", ""te"")"),"హల్దీరామ్ యొక్క హక్కీ కి రోటీ &amp; సర్సన్ కా సాగ్")</f>
        <v>హల్దీరామ్ యొక్క హక్కీ కి రోటీ &amp; సర్సన్ కా సాగ్</v>
      </c>
      <c r="C2731" s="4" t="str">
        <f>IFERROR(__xludf.DUMMYFUNCTION("GOOGLETRANSLATE(A2731, ""en"", ""hi"")"),"हल्दीराम की हक्की की रोटी और सरसों का साग")</f>
        <v>हल्दीराम की हक्की की रोटी और सरसों का साग</v>
      </c>
      <c r="D2731" s="2" t="s">
        <v>2314</v>
      </c>
      <c r="E2731" s="2" t="s">
        <v>940</v>
      </c>
      <c r="F2731" s="1">
        <v>4.0</v>
      </c>
      <c r="G2731" s="3" t="s">
        <v>7969</v>
      </c>
    </row>
    <row r="2732">
      <c r="A2732" s="3" t="s">
        <v>8457</v>
      </c>
      <c r="B2732" s="4" t="str">
        <f>IFERROR(__xludf.DUMMYFUNCTION("GOOGLETRANSLATE(A2732, ""en"", ""te"")"),"హల్దీరామ్స్ హోల్ వీట్ నాన్")</f>
        <v>హల్దీరామ్స్ హోల్ వీట్ నాన్</v>
      </c>
      <c r="C2732" s="4" t="str">
        <f>IFERROR(__xludf.DUMMYFUNCTION("GOOGLETRANSLATE(A2732, ""en"", ""hi"")"),"हल्दीराम का होल व्हीट नान")</f>
        <v>हल्दीराम का होल व्हीट नान</v>
      </c>
      <c r="D2732" s="2" t="s">
        <v>8458</v>
      </c>
      <c r="E2732" s="2" t="s">
        <v>4100</v>
      </c>
      <c r="F2732" s="1">
        <v>4.0</v>
      </c>
      <c r="G2732" s="3" t="s">
        <v>7969</v>
      </c>
    </row>
    <row r="2733">
      <c r="A2733" s="3" t="s">
        <v>8459</v>
      </c>
      <c r="B2733" s="4" t="str">
        <f>IFERROR(__xludf.DUMMYFUNCTION("GOOGLETRANSLATE(A2733, ""en"", ""te"")"),"హల్దీరామ్స్ ఆలూ కుల్చా")</f>
        <v>హల్దీరామ్స్ ఆలూ కుల్చా</v>
      </c>
      <c r="C2733" s="4" t="str">
        <f>IFERROR(__xludf.DUMMYFUNCTION("GOOGLETRANSLATE(A2733, ""en"", ""hi"")"),"हल्दीराम का आलू कुलचा")</f>
        <v>हल्दीराम का आलू कुलचा</v>
      </c>
      <c r="D2733" s="2" t="s">
        <v>8460</v>
      </c>
      <c r="E2733" s="2" t="s">
        <v>4100</v>
      </c>
      <c r="F2733" s="1">
        <v>4.0</v>
      </c>
      <c r="G2733" s="3" t="s">
        <v>7969</v>
      </c>
    </row>
    <row r="2734">
      <c r="A2734" s="3" t="s">
        <v>8461</v>
      </c>
      <c r="B2734" s="4" t="str">
        <f>IFERROR(__xludf.DUMMYFUNCTION("GOOGLETRANSLATE(A2734, ""en"", ""te"")"),"హల్దీరామ్స్ పనీర్ కుల్చా")</f>
        <v>హల్దీరామ్స్ పనీర్ కుల్చా</v>
      </c>
      <c r="C2734" s="4" t="str">
        <f>IFERROR(__xludf.DUMMYFUNCTION("GOOGLETRANSLATE(A2734, ""en"", ""hi"")"),"हल्दीराम का पनीर कुलचा")</f>
        <v>हल्दीराम का पनीर कुलचा</v>
      </c>
      <c r="D2734" s="2" t="s">
        <v>8462</v>
      </c>
      <c r="E2734" s="2" t="s">
        <v>4100</v>
      </c>
      <c r="F2734" s="1">
        <v>4.0</v>
      </c>
      <c r="G2734" s="3" t="s">
        <v>7969</v>
      </c>
    </row>
    <row r="2735">
      <c r="A2735" s="3" t="s">
        <v>8463</v>
      </c>
      <c r="B2735" s="4" t="str">
        <f>IFERROR(__xludf.DUMMYFUNCTION("GOOGLETRANSLATE(A2735, ""en"", ""te"")"),"మంత్రం ఆర్గానిక్ తందూరి వెల్లుల్లి నాన్")</f>
        <v>మంత్రం ఆర్గానిక్ తందూరి వెల్లుల్లి నాన్</v>
      </c>
      <c r="C2735" s="4" t="str">
        <f>IFERROR(__xludf.DUMMYFUNCTION("GOOGLETRANSLATE(A2735, ""en"", ""hi"")"),"मंत्र ऑर्गेनिक तंदूरी लहसुन नान")</f>
        <v>मंत्र ऑर्गेनिक तंदूरी लहसुन नान</v>
      </c>
      <c r="D2735" s="2" t="s">
        <v>2604</v>
      </c>
      <c r="E2735" s="2" t="s">
        <v>4100</v>
      </c>
      <c r="F2735" s="1">
        <v>4.0</v>
      </c>
      <c r="G2735" s="3" t="s">
        <v>7969</v>
      </c>
    </row>
    <row r="2736">
      <c r="A2736" s="3" t="s">
        <v>8464</v>
      </c>
      <c r="B2736" s="4" t="str">
        <f>IFERROR(__xludf.DUMMYFUNCTION("GOOGLETRANSLATE(A2736, ""en"", ""te"")"),"మంత్ర ఆర్గానిక్ తందూరి నాన్")</f>
        <v>మంత్ర ఆర్గానిక్ తందూరి నాన్</v>
      </c>
      <c r="C2736" s="4" t="str">
        <f>IFERROR(__xludf.DUMMYFUNCTION("GOOGLETRANSLATE(A2736, ""en"", ""hi"")"),"मंत्रा ऑर्गेनिक तंदूरी नान")</f>
        <v>मंत्रा ऑर्गेनिक तंदूरी नान</v>
      </c>
      <c r="D2736" s="2" t="s">
        <v>6866</v>
      </c>
      <c r="E2736" s="2" t="s">
        <v>4100</v>
      </c>
      <c r="F2736" s="1">
        <v>4.0</v>
      </c>
      <c r="G2736" s="3" t="s">
        <v>7969</v>
      </c>
    </row>
    <row r="2737">
      <c r="A2737" s="3" t="s">
        <v>8465</v>
      </c>
      <c r="B2737" s="4" t="str">
        <f>IFERROR(__xludf.DUMMYFUNCTION("GOOGLETRANSLATE(A2737, ""en"", ""te"")"),"మంత్ర ఆర్గానిక్ రోటీ")</f>
        <v>మంత్ర ఆర్గానిక్ రోటీ</v>
      </c>
      <c r="C2737" s="4" t="str">
        <f>IFERROR(__xludf.DUMMYFUNCTION("GOOGLETRANSLATE(A2737, ""en"", ""hi"")"),"मंत्रा ऑर्गेनिक रोटी")</f>
        <v>मंत्रा ऑर्गेनिक रोटी</v>
      </c>
      <c r="D2737" s="2" t="s">
        <v>8079</v>
      </c>
      <c r="E2737" s="2" t="s">
        <v>4100</v>
      </c>
      <c r="F2737" s="1">
        <v>4.0</v>
      </c>
      <c r="G2737" s="3" t="s">
        <v>7969</v>
      </c>
    </row>
    <row r="2738">
      <c r="A2738" s="3" t="s">
        <v>8466</v>
      </c>
      <c r="B2738" s="4" t="str">
        <f>IFERROR(__xludf.DUMMYFUNCTION("GOOGLETRANSLATE(A2738, ""en"", ""te"")"),"మిర్చ్ మసాలా మలయన్ పరాఠా")</f>
        <v>మిర్చ్ మసాలా మలయన్ పరాఠా</v>
      </c>
      <c r="C2738" s="4" t="str">
        <f>IFERROR(__xludf.DUMMYFUNCTION("GOOGLETRANSLATE(A2738, ""en"", ""hi"")"),"मिर्च मसाला मलाईयन पराठा")</f>
        <v>मिर्च मसाला मलाईयन पराठा</v>
      </c>
      <c r="D2738" s="5"/>
      <c r="E2738" s="2" t="s">
        <v>4100</v>
      </c>
      <c r="F2738" s="1">
        <v>4.0</v>
      </c>
      <c r="G2738" s="3" t="s">
        <v>7969</v>
      </c>
    </row>
    <row r="2739">
      <c r="A2739" s="3" t="s">
        <v>8467</v>
      </c>
      <c r="B2739" s="4" t="str">
        <f>IFERROR(__xludf.DUMMYFUNCTION("GOOGLETRANSLATE(A2739, ""en"", ""te"")"),"హల్దీరామ్ కుటుంబ విలువ ప్యాక్ నాన్")</f>
        <v>హల్దీరామ్ కుటుంబ విలువ ప్యాక్ నాన్</v>
      </c>
      <c r="C2739" s="4" t="str">
        <f>IFERROR(__xludf.DUMMYFUNCTION("GOOGLETRANSLATE(A2739, ""en"", ""hi"")"),"हल्दीराम का फैमिली वैल्यू पैक नान")</f>
        <v>हल्दीराम का फैमिली वैल्यू पैक नान</v>
      </c>
      <c r="D2739" s="5"/>
      <c r="E2739" s="2" t="s">
        <v>4100</v>
      </c>
      <c r="F2739" s="1">
        <v>4.0</v>
      </c>
      <c r="G2739" s="3" t="s">
        <v>7969</v>
      </c>
    </row>
    <row r="2740">
      <c r="A2740" s="3" t="s">
        <v>8468</v>
      </c>
      <c r="B2740" s="4" t="str">
        <f>IFERROR(__xludf.DUMMYFUNCTION("GOOGLETRANSLATE(A2740, ""en"", ""te"")"),"హల్దీరామ్స్ మిక్స్ వెజ్ పరాఠా")</f>
        <v>హల్దీరామ్స్ మిక్స్ వెజ్ పరాఠా</v>
      </c>
      <c r="C2740" s="4" t="str">
        <f>IFERROR(__xludf.DUMMYFUNCTION("GOOGLETRANSLATE(A2740, ""en"", ""hi"")"),"हल्दीराम का मिक्स वेज पराठा")</f>
        <v>हल्दीराम का मिक्स वेज पराठा</v>
      </c>
      <c r="D2740" s="5"/>
      <c r="E2740" s="2" t="s">
        <v>4100</v>
      </c>
      <c r="F2740" s="1">
        <v>4.0</v>
      </c>
      <c r="G2740" s="3" t="s">
        <v>7969</v>
      </c>
    </row>
    <row r="2741">
      <c r="A2741" s="3" t="s">
        <v>8469</v>
      </c>
      <c r="B2741" s="4" t="str">
        <f>IFERROR(__xludf.DUMMYFUNCTION("GOOGLETRANSLATE(A2741, ""en"", ""te"")"),"హల్దీరామ్ యొక్క నిమిషం ఖానా ఆలూ గోబీ పరాఠా")</f>
        <v>హల్దీరామ్ యొక్క నిమిషం ఖానా ఆలూ గోబీ పరాఠా</v>
      </c>
      <c r="C2741" s="4" t="str">
        <f>IFERROR(__xludf.DUMMYFUNCTION("GOOGLETRANSLATE(A2741, ""en"", ""hi"")"),"हल्दीराम मिनट खाना आलू गोभी पराठा")</f>
        <v>हल्दीराम मिनट खाना आलू गोभी पराठा</v>
      </c>
      <c r="D2741" s="2" t="s">
        <v>7569</v>
      </c>
      <c r="E2741" s="2" t="s">
        <v>1294</v>
      </c>
      <c r="F2741" s="1">
        <v>4.0</v>
      </c>
      <c r="G2741" s="3" t="s">
        <v>8409</v>
      </c>
    </row>
    <row r="2742">
      <c r="A2742" s="3" t="s">
        <v>8470</v>
      </c>
      <c r="B2742" s="4" t="str">
        <f>IFERROR(__xludf.DUMMYFUNCTION("GOOGLETRANSLATE(A2742, ""en"", ""te"")"),"హల్దీరామ్ యొక్క నిమిషం ఖానా గోబీ పరాఠా")</f>
        <v>హల్దీరామ్ యొక్క నిమిషం ఖానా గోబీ పరాఠా</v>
      </c>
      <c r="C2742" s="4" t="str">
        <f>IFERROR(__xludf.DUMMYFUNCTION("GOOGLETRANSLATE(A2742, ""en"", ""hi"")"),"हल्दीराम मिनट खाना गोभी पराठा")</f>
        <v>हल्दीराम मिनट खाना गोभी पराठा</v>
      </c>
      <c r="D2742" s="2" t="s">
        <v>7569</v>
      </c>
      <c r="E2742" s="2" t="s">
        <v>1294</v>
      </c>
      <c r="F2742" s="1">
        <v>4.0</v>
      </c>
      <c r="G2742" s="3" t="s">
        <v>8409</v>
      </c>
    </row>
    <row r="2743">
      <c r="A2743" s="3" t="s">
        <v>8471</v>
      </c>
      <c r="B2743" s="4" t="str">
        <f>IFERROR(__xludf.DUMMYFUNCTION("GOOGLETRANSLATE(A2743, ""en"", ""te"")"),"హల్దీరామ్ యొక్క నిమిషం ఖానా లచ్చా పరాఠా")</f>
        <v>హల్దీరామ్ యొక్క నిమిషం ఖానా లచ్చా పరాఠా</v>
      </c>
      <c r="C2743" s="4" t="str">
        <f>IFERROR(__xludf.DUMMYFUNCTION("GOOGLETRANSLATE(A2743, ""en"", ""hi"")"),"हल्दीराम मिनट खाना लच्छा पराठा")</f>
        <v>हल्दीराम मिनट खाना लच्छा पराठा</v>
      </c>
      <c r="D2743" s="2" t="s">
        <v>7569</v>
      </c>
      <c r="E2743" s="2" t="s">
        <v>1294</v>
      </c>
      <c r="F2743" s="1">
        <v>4.0</v>
      </c>
      <c r="G2743" s="3" t="s">
        <v>8409</v>
      </c>
    </row>
    <row r="2744">
      <c r="A2744" s="3" t="s">
        <v>8472</v>
      </c>
      <c r="B2744" s="4" t="str">
        <f>IFERROR(__xludf.DUMMYFUNCTION("GOOGLETRANSLATE(A2744, ""en"", ""te"")"),"హల్దీరామ్ యొక్క నిమిషం ఖానా ఆలూ కుల్చా")</f>
        <v>హల్దీరామ్ యొక్క నిమిషం ఖానా ఆలూ కుల్చా</v>
      </c>
      <c r="C2744" s="4" t="str">
        <f>IFERROR(__xludf.DUMMYFUNCTION("GOOGLETRANSLATE(A2744, ""en"", ""hi"")"),"हल्दीराम मिनट खाना आलू कुलचा")</f>
        <v>हल्दीराम मिनट खाना आलू कुलचा</v>
      </c>
      <c r="D2744" s="2" t="s">
        <v>8473</v>
      </c>
      <c r="E2744" s="2" t="s">
        <v>1294</v>
      </c>
      <c r="F2744" s="1">
        <v>4.0</v>
      </c>
      <c r="G2744" s="3" t="s">
        <v>8413</v>
      </c>
    </row>
    <row r="2745">
      <c r="A2745" s="3" t="s">
        <v>8474</v>
      </c>
      <c r="B2745" s="4" t="str">
        <f>IFERROR(__xludf.DUMMYFUNCTION("GOOGLETRANSLATE(A2745, ""en"", ""te"")"),"24 మంత్ర ఆర్గానిక్ గార్లిక్ నాన్")</f>
        <v>24 మంత్ర ఆర్గానిక్ గార్లిక్ నాన్</v>
      </c>
      <c r="C2745" s="4" t="str">
        <f>IFERROR(__xludf.DUMMYFUNCTION("GOOGLETRANSLATE(A2745, ""en"", ""hi"")"),"24 मंत्रा ऑर्गेनिक गार्लिक नान")</f>
        <v>24 मंत्रा ऑर्गेनिक गार्लिक नान</v>
      </c>
      <c r="D2745" s="2" t="s">
        <v>2604</v>
      </c>
      <c r="E2745" s="2" t="s">
        <v>4100</v>
      </c>
      <c r="F2745" s="1">
        <v>4.0</v>
      </c>
      <c r="G2745" s="3" t="s">
        <v>8413</v>
      </c>
    </row>
    <row r="2746">
      <c r="A2746" s="3" t="s">
        <v>8475</v>
      </c>
      <c r="B2746" s="4" t="str">
        <f>IFERROR(__xludf.DUMMYFUNCTION("GOOGLETRANSLATE(A2746, ""en"", ""te"")"),"24 మంత్ర సేంద్రీయ తందూరి నాన్")</f>
        <v>24 మంత్ర సేంద్రీయ తందూరి నాన్</v>
      </c>
      <c r="C2746" s="4" t="str">
        <f>IFERROR(__xludf.DUMMYFUNCTION("GOOGLETRANSLATE(A2746, ""en"", ""hi"")"),"24 मंत्र ऑर्गेनिक तंदूरी नान")</f>
        <v>24 मंत्र ऑर्गेनिक तंदूरी नान</v>
      </c>
      <c r="D2746" s="2" t="s">
        <v>6866</v>
      </c>
      <c r="E2746" s="2" t="s">
        <v>4100</v>
      </c>
      <c r="F2746" s="1">
        <v>4.0</v>
      </c>
      <c r="G2746" s="3" t="s">
        <v>8413</v>
      </c>
    </row>
    <row r="2747">
      <c r="A2747" s="3" t="s">
        <v>8476</v>
      </c>
      <c r="B2747" s="4" t="str">
        <f>IFERROR(__xludf.DUMMYFUNCTION("GOOGLETRANSLATE(A2747, ""en"", ""te"")"),"హల్దీరామ్ యొక్క నిమిషం ఖానా పనీర్ ఉల్లిపాయ పరాటా")</f>
        <v>హల్దీరామ్ యొక్క నిమిషం ఖానా పనీర్ ఉల్లిపాయ పరాటా</v>
      </c>
      <c r="C2747" s="4" t="str">
        <f>IFERROR(__xludf.DUMMYFUNCTION("GOOGLETRANSLATE(A2747, ""en"", ""hi"")"),"हल्दीराम मिनट खाना पनीर प्याज पराठा")</f>
        <v>हल्दीराम मिनट खाना पनीर प्याज पराठा</v>
      </c>
      <c r="D2747" s="5"/>
      <c r="E2747" s="2" t="s">
        <v>1294</v>
      </c>
      <c r="F2747" s="1">
        <v>4.0</v>
      </c>
      <c r="G2747" s="3" t="s">
        <v>7969</v>
      </c>
    </row>
    <row r="2748">
      <c r="A2748" s="3" t="s">
        <v>8423</v>
      </c>
      <c r="B2748" s="4" t="str">
        <f>IFERROR(__xludf.DUMMYFUNCTION("GOOGLETRANSLATE(A2748, ""en"", ""te"")"),"హల్దీరామ్ యొక్క నిమిషం ఖానా ఆలూ పరాటా")</f>
        <v>హల్దీరామ్ యొక్క నిమిషం ఖానా ఆలూ పరాటా</v>
      </c>
      <c r="C2748" s="4" t="str">
        <f>IFERROR(__xludf.DUMMYFUNCTION("GOOGLETRANSLATE(A2748, ""en"", ""hi"")"),"हल्दीराम मिनट खाना आलू पराठा")</f>
        <v>हल्दीराम मिनट खाना आलू पराठा</v>
      </c>
      <c r="D2748" s="2" t="s">
        <v>8424</v>
      </c>
      <c r="E2748" s="2" t="s">
        <v>1294</v>
      </c>
      <c r="F2748" s="1">
        <v>4.0</v>
      </c>
      <c r="G2748" s="3" t="s">
        <v>7969</v>
      </c>
    </row>
    <row r="2749">
      <c r="A2749" s="3" t="s">
        <v>8406</v>
      </c>
      <c r="B2749" s="4" t="str">
        <f>IFERROR(__xludf.DUMMYFUNCTION("GOOGLETRANSLATE(A2749, ""en"", ""te"")"),"వడిలాల్ మలై పనీర్")</f>
        <v>వడిలాల్ మలై పనీర్</v>
      </c>
      <c r="C2749" s="4" t="str">
        <f>IFERROR(__xludf.DUMMYFUNCTION("GOOGLETRANSLATE(A2749, ""en"", ""hi"")"),"वडीलाल मलाई पनीर")</f>
        <v>वडीलाल मलाई पनीर</v>
      </c>
      <c r="D2749" s="2" t="s">
        <v>1961</v>
      </c>
      <c r="E2749" s="2" t="s">
        <v>2369</v>
      </c>
      <c r="F2749" s="1">
        <v>4.0</v>
      </c>
      <c r="G2749" s="3" t="s">
        <v>6894</v>
      </c>
    </row>
    <row r="2750">
      <c r="A2750" s="3" t="s">
        <v>8477</v>
      </c>
      <c r="B2750" s="4" t="str">
        <f>IFERROR(__xludf.DUMMYFUNCTION("GOOGLETRANSLATE(A2750, ""en"", ""te"")"),"వాదిలాల్ పరాఠా")</f>
        <v>వాదిలాల్ పరాఠా</v>
      </c>
      <c r="C2750" s="4" t="str">
        <f>IFERROR(__xludf.DUMMYFUNCTION("GOOGLETRANSLATE(A2750, ""en"", ""hi"")"),"वडीलाल पराठा")</f>
        <v>वडीलाल पराठा</v>
      </c>
      <c r="D2750" s="2" t="s">
        <v>8254</v>
      </c>
      <c r="E2750" s="2" t="s">
        <v>2649</v>
      </c>
      <c r="F2750" s="1">
        <v>4.0</v>
      </c>
      <c r="G2750" s="3" t="s">
        <v>8409</v>
      </c>
    </row>
    <row r="2751">
      <c r="A2751" s="3" t="s">
        <v>8478</v>
      </c>
      <c r="B2751" s="4" t="str">
        <f>IFERROR(__xludf.DUMMYFUNCTION("GOOGLETRANSLATE(A2751, ""en"", ""te"")"),"వాదిలాల్ రాగి రోటి")</f>
        <v>వాదిలాల్ రాగి రోటి</v>
      </c>
      <c r="C2751" s="4" t="str">
        <f>IFERROR(__xludf.DUMMYFUNCTION("GOOGLETRANSLATE(A2751, ""en"", ""hi"")"),"वडीलाल रागी रोटी")</f>
        <v>वडीलाल रागी रोटी</v>
      </c>
      <c r="D2751" s="5"/>
      <c r="E2751" s="2" t="s">
        <v>2649</v>
      </c>
      <c r="F2751" s="1">
        <v>4.0</v>
      </c>
      <c r="G2751" s="3" t="s">
        <v>8413</v>
      </c>
    </row>
    <row r="2752">
      <c r="A2752" s="3" t="s">
        <v>8479</v>
      </c>
      <c r="B2752" s="4" t="str">
        <f>IFERROR(__xludf.DUMMYFUNCTION("GOOGLETRANSLATE(A2752, ""en"", ""te"")"),"వాదిలాల్ తందూరి రోటి")</f>
        <v>వాదిలాల్ తందూరి రోటి</v>
      </c>
      <c r="C2752" s="4" t="str">
        <f>IFERROR(__xludf.DUMMYFUNCTION("GOOGLETRANSLATE(A2752, ""en"", ""hi"")"),"वडीलाल तंदूरी रोटी")</f>
        <v>वडीलाल तंदूरी रोटी</v>
      </c>
      <c r="D2752" s="5"/>
      <c r="E2752" s="2" t="s">
        <v>2649</v>
      </c>
      <c r="F2752" s="1">
        <v>4.0</v>
      </c>
      <c r="G2752" s="3" t="s">
        <v>8413</v>
      </c>
    </row>
    <row r="2753">
      <c r="A2753" s="3" t="s">
        <v>8480</v>
      </c>
      <c r="B2753" s="4" t="str">
        <f>IFERROR(__xludf.DUMMYFUNCTION("GOOGLETRANSLATE(A2753, ""en"", ""te"")"),"వడిలాల్ చీజ్ నాన్")</f>
        <v>వడిలాల్ చీజ్ నాన్</v>
      </c>
      <c r="C2753" s="4" t="str">
        <f>IFERROR(__xludf.DUMMYFUNCTION("GOOGLETRANSLATE(A2753, ""en"", ""hi"")"),"वडीलाल चीज़ नान")</f>
        <v>वडीलाल चीज़ नान</v>
      </c>
      <c r="D2753" s="2" t="s">
        <v>6866</v>
      </c>
      <c r="E2753" s="2" t="s">
        <v>4100</v>
      </c>
      <c r="F2753" s="1">
        <v>4.0</v>
      </c>
      <c r="G2753" s="3" t="s">
        <v>8413</v>
      </c>
    </row>
    <row r="2754">
      <c r="A2754" s="3" t="s">
        <v>8481</v>
      </c>
      <c r="B2754" s="4" t="str">
        <f>IFERROR(__xludf.DUMMYFUNCTION("GOOGLETRANSLATE(A2754, ""en"", ""te"")"),"వడిలాల్ ఆలూ కుల్చా")</f>
        <v>వడిలాల్ ఆలూ కుల్చా</v>
      </c>
      <c r="C2754" s="4" t="str">
        <f>IFERROR(__xludf.DUMMYFUNCTION("GOOGLETRANSLATE(A2754, ""en"", ""hi"")"),"वडीलाल आलू कुलचा")</f>
        <v>वडीलाल आलू कुलचा</v>
      </c>
      <c r="D2754" s="5"/>
      <c r="E2754" s="2" t="s">
        <v>4100</v>
      </c>
      <c r="F2754" s="1">
        <v>4.0</v>
      </c>
      <c r="G2754" s="3" t="s">
        <v>8413</v>
      </c>
    </row>
    <row r="2755">
      <c r="A2755" s="3" t="s">
        <v>8482</v>
      </c>
      <c r="B2755" s="4" t="str">
        <f>IFERROR(__xludf.DUMMYFUNCTION("GOOGLETRANSLATE(A2755, ""en"", ""te"")"),"వడిలాల్ ఆలూ పరాఠా")</f>
        <v>వడిలాల్ ఆలూ పరాఠా</v>
      </c>
      <c r="C2755" s="4" t="str">
        <f>IFERROR(__xludf.DUMMYFUNCTION("GOOGLETRANSLATE(A2755, ""en"", ""hi"")"),"वडीलाल आलू पराठा")</f>
        <v>वडीलाल आलू पराठा</v>
      </c>
      <c r="D2755" s="2" t="s">
        <v>8483</v>
      </c>
      <c r="E2755" s="2" t="s">
        <v>1294</v>
      </c>
      <c r="F2755" s="1">
        <v>4.0</v>
      </c>
      <c r="G2755" s="3" t="s">
        <v>8413</v>
      </c>
    </row>
    <row r="2756">
      <c r="A2756" s="3" t="s">
        <v>8484</v>
      </c>
      <c r="B2756" s="4" t="str">
        <f>IFERROR(__xludf.DUMMYFUNCTION("GOOGLETRANSLATE(A2756, ""en"", ""te"")"),"మిర్చ్ మసాలా మలేషియా స్టైల్ పరాఠా ప్లెయిన్")</f>
        <v>మిర్చ్ మసాలా మలేషియా స్టైల్ పరాఠా ప్లెయిన్</v>
      </c>
      <c r="C2756" s="4" t="str">
        <f>IFERROR(__xludf.DUMMYFUNCTION("GOOGLETRANSLATE(A2756, ""en"", ""hi"")"),"मिर्च मसाला मलेशियन स्टाइल पराठा सादा")</f>
        <v>मिर्च मसाला मलेशियन स्टाइल पराठा सादा</v>
      </c>
      <c r="D2756" s="5"/>
      <c r="E2756" s="2" t="s">
        <v>1294</v>
      </c>
      <c r="F2756" s="1">
        <v>4.0</v>
      </c>
      <c r="G2756" s="3" t="s">
        <v>8413</v>
      </c>
    </row>
    <row r="2757">
      <c r="A2757" s="3" t="s">
        <v>8485</v>
      </c>
      <c r="B2757" s="4" t="str">
        <f>IFERROR(__xludf.DUMMYFUNCTION("GOOGLETRANSLATE(A2757, ""en"", ""te"")"),"వాడిలాల్ మక్కీ కి రోటీ &amp; సర్సన్ కా సాగ్")</f>
        <v>వాడిలాల్ మక్కీ కి రోటీ &amp; సర్సన్ కా సాగ్</v>
      </c>
      <c r="C2757" s="4" t="str">
        <f>IFERROR(__xludf.DUMMYFUNCTION("GOOGLETRANSLATE(A2757, ""en"", ""hi"")"),"वाडीलाल मक्की की रोटी और सरसों का साग")</f>
        <v>वाडीलाल मक्की की रोटी और सरसों का साग</v>
      </c>
      <c r="D2757" s="5"/>
      <c r="E2757" s="2" t="s">
        <v>940</v>
      </c>
      <c r="F2757" s="1">
        <v>4.0</v>
      </c>
      <c r="G2757" s="3" t="s">
        <v>8413</v>
      </c>
    </row>
    <row r="2758">
      <c r="A2758" s="3" t="s">
        <v>8486</v>
      </c>
      <c r="B2758" s="4" t="str">
        <f>IFERROR(__xludf.DUMMYFUNCTION("GOOGLETRANSLATE(A2758, ""en"", ""te"")"),"నానక్ పనీర్")</f>
        <v>నానక్ పనీర్</v>
      </c>
      <c r="C2758" s="4" t="str">
        <f>IFERROR(__xludf.DUMMYFUNCTION("GOOGLETRANSLATE(A2758, ""en"", ""hi"")"),"नानक पनीर")</f>
        <v>नानक पनीर</v>
      </c>
      <c r="D2758" s="2" t="s">
        <v>1961</v>
      </c>
      <c r="E2758" s="2" t="s">
        <v>2369</v>
      </c>
      <c r="F2758" s="1">
        <v>4.0</v>
      </c>
      <c r="G2758" s="3" t="s">
        <v>7969</v>
      </c>
    </row>
    <row r="2759">
      <c r="A2759" s="3" t="s">
        <v>420</v>
      </c>
      <c r="B2759" s="4" t="str">
        <f>IFERROR(__xludf.DUMMYFUNCTION("GOOGLETRANSLATE(A2759, ""en"", ""te"")"),"అముల్ పనీర్")</f>
        <v>అముల్ పనీర్</v>
      </c>
      <c r="C2759" s="4" t="str">
        <f>IFERROR(__xludf.DUMMYFUNCTION("GOOGLETRANSLATE(A2759, ""en"", ""hi"")"),"अमूल पनीर")</f>
        <v>अमूल पनीर</v>
      </c>
      <c r="D2759" s="2" t="s">
        <v>8487</v>
      </c>
      <c r="E2759" s="2" t="s">
        <v>2369</v>
      </c>
      <c r="F2759" s="1">
        <v>4.0</v>
      </c>
      <c r="G2759" s="3" t="s">
        <v>7969</v>
      </c>
    </row>
    <row r="2760">
      <c r="A2760" s="3" t="s">
        <v>8488</v>
      </c>
      <c r="B2760" s="4" t="str">
        <f>IFERROR(__xludf.DUMMYFUNCTION("GOOGLETRANSLATE(A2760, ""en"", ""te"")"),"డీప్ పనీర్")</f>
        <v>డీప్ పనీర్</v>
      </c>
      <c r="C2760" s="4" t="str">
        <f>IFERROR(__xludf.DUMMYFUNCTION("GOOGLETRANSLATE(A2760, ""en"", ""hi"")"),"डीप पनीर")</f>
        <v>डीप पनीर</v>
      </c>
      <c r="D2760" s="2" t="s">
        <v>8104</v>
      </c>
      <c r="E2760" s="2" t="s">
        <v>2369</v>
      </c>
      <c r="F2760" s="1">
        <v>4.0</v>
      </c>
      <c r="G2760" s="3" t="s">
        <v>7969</v>
      </c>
    </row>
    <row r="2761">
      <c r="A2761" s="3" t="s">
        <v>8489</v>
      </c>
      <c r="B2761" s="4" t="str">
        <f>IFERROR(__xludf.DUMMYFUNCTION("GOOGLETRANSLATE(A2761, ""en"", ""te"")"),"తాజా పనీర్")</f>
        <v>తాజా పనీర్</v>
      </c>
      <c r="C2761" s="4" t="str">
        <f>IFERROR(__xludf.DUMMYFUNCTION("GOOGLETRANSLATE(A2761, ""en"", ""hi"")"),"ताज़ा पनीर")</f>
        <v>ताज़ा पनीर</v>
      </c>
      <c r="D2761" s="2" t="s">
        <v>8104</v>
      </c>
      <c r="E2761" s="2" t="s">
        <v>2369</v>
      </c>
      <c r="F2761" s="1">
        <v>4.0</v>
      </c>
      <c r="G2761" s="3" t="s">
        <v>7969</v>
      </c>
    </row>
    <row r="2762">
      <c r="A2762" s="3" t="s">
        <v>8425</v>
      </c>
      <c r="B2762" s="4" t="str">
        <f>IFERROR(__xludf.DUMMYFUNCTION("GOOGLETRANSLATE(A2762, ""en"", ""te"")"),"హల్దీరామ్ యొక్క నిమిషం ఖానా ఆలూ ప్యాజ్ పరాఠా")</f>
        <v>హల్దీరామ్ యొక్క నిమిషం ఖానా ఆలూ ప్యాజ్ పరాఠా</v>
      </c>
      <c r="C2762" s="4" t="str">
        <f>IFERROR(__xludf.DUMMYFUNCTION("GOOGLETRANSLATE(A2762, ""en"", ""hi"")"),"हल्दीराम मिनट खाना आलू प्याज़ पराठा")</f>
        <v>हल्दीराम मिनट खाना आलू प्याज़ पराठा</v>
      </c>
      <c r="D2762" s="2" t="s">
        <v>8426</v>
      </c>
      <c r="E2762" s="2" t="s">
        <v>1294</v>
      </c>
      <c r="F2762" s="1">
        <v>4.0</v>
      </c>
      <c r="G2762" s="3" t="s">
        <v>7969</v>
      </c>
    </row>
    <row r="2763">
      <c r="A2763" s="3" t="s">
        <v>8490</v>
      </c>
      <c r="B2763" s="4" t="str">
        <f>IFERROR(__xludf.DUMMYFUNCTION("GOOGLETRANSLATE(A2763, ""en"", ""te"")"),"హల్దీరామ్ యొక్క నిమిషం ఖానా ఆలూ ఆచారి పరాఠా")</f>
        <v>హల్దీరామ్ యొక్క నిమిషం ఖానా ఆలూ ఆచారి పరాఠా</v>
      </c>
      <c r="C2763" s="4" t="str">
        <f>IFERROR(__xludf.DUMMYFUNCTION("GOOGLETRANSLATE(A2763, ""en"", ""hi"")"),"हल्दीराम मिनट खाना आलू अचारी पराठा")</f>
        <v>हल्दीराम मिनट खाना आलू अचारी पराठा</v>
      </c>
      <c r="D2763" s="5"/>
      <c r="E2763" s="2" t="s">
        <v>940</v>
      </c>
      <c r="F2763" s="1">
        <v>4.0</v>
      </c>
      <c r="G2763" s="3" t="s">
        <v>7969</v>
      </c>
    </row>
    <row r="2764">
      <c r="A2764" s="3" t="s">
        <v>8491</v>
      </c>
      <c r="B2764" s="4" t="str">
        <f>IFERROR(__xludf.DUMMYFUNCTION("GOOGLETRANSLATE(A2764, ""en"", ""te"")"),"హల్దీరామ్ యొక్క నిమిషం ఖానా గోభి పరాఠా")</f>
        <v>హల్దీరామ్ యొక్క నిమిషం ఖానా గోభి పరాఠా</v>
      </c>
      <c r="C2764" s="4" t="str">
        <f>IFERROR(__xludf.DUMMYFUNCTION("GOOGLETRANSLATE(A2764, ""en"", ""hi"")"),"हल्दीराम मिनट खाना गोभी पराठा")</f>
        <v>हल्दीराम मिनट खाना गोभी पराठा</v>
      </c>
      <c r="D2764" s="5"/>
      <c r="E2764" s="2" t="s">
        <v>940</v>
      </c>
      <c r="F2764" s="1">
        <v>4.0</v>
      </c>
      <c r="G2764" s="3" t="s">
        <v>7969</v>
      </c>
    </row>
    <row r="2765">
      <c r="A2765" s="3" t="s">
        <v>8492</v>
      </c>
      <c r="B2765" s="4" t="str">
        <f>IFERROR(__xludf.DUMMYFUNCTION("GOOGLETRANSLATE(A2765, ""en"", ""te"")"),"హల్దీరామ్ యొక్క నిమిషం ఖానా తందూరి పరాటా")</f>
        <v>హల్దీరామ్ యొక్క నిమిషం ఖానా తందూరి పరాటా</v>
      </c>
      <c r="C2765" s="4" t="str">
        <f>IFERROR(__xludf.DUMMYFUNCTION("GOOGLETRANSLATE(A2765, ""en"", ""hi"")"),"हल्दीराम मिनट खाना तंदूरी पराठा")</f>
        <v>हल्दीराम मिनट खाना तंदूरी पराठा</v>
      </c>
      <c r="D2765" s="5"/>
      <c r="E2765" s="2" t="s">
        <v>940</v>
      </c>
      <c r="F2765" s="1">
        <v>4.0</v>
      </c>
      <c r="G2765" s="3" t="s">
        <v>7969</v>
      </c>
    </row>
    <row r="2766">
      <c r="A2766" s="3" t="s">
        <v>8493</v>
      </c>
      <c r="B2766" s="4" t="str">
        <f>IFERROR(__xludf.DUMMYFUNCTION("GOOGLETRANSLATE(A2766, ""en"", ""te"")"),"హల్దీరామ్ యొక్క నిమిషం ఖానా పుదీనా పరాటా")</f>
        <v>హల్దీరామ్ యొక్క నిమిషం ఖానా పుదీనా పరాటా</v>
      </c>
      <c r="C2766" s="4" t="str">
        <f>IFERROR(__xludf.DUMMYFUNCTION("GOOGLETRANSLATE(A2766, ""en"", ""hi"")"),"हल्दीराम मिनट खाना पुदीना पराठा")</f>
        <v>हल्दीराम मिनट खाना पुदीना पराठा</v>
      </c>
      <c r="D2766" s="2" t="s">
        <v>7569</v>
      </c>
      <c r="E2766" s="2" t="s">
        <v>1294</v>
      </c>
      <c r="F2766" s="1">
        <v>4.0</v>
      </c>
      <c r="G2766" s="3" t="s">
        <v>7969</v>
      </c>
    </row>
    <row r="2767">
      <c r="A2767" s="3" t="s">
        <v>8494</v>
      </c>
      <c r="B2767" s="4" t="str">
        <f>IFERROR(__xludf.DUMMYFUNCTION("GOOGLETRANSLATE(A2767, ""en"", ""te"")"),"హల్దీరామ్ యొక్క నిమిషం ఖానా ఫుల్కా రోటీ")</f>
        <v>హల్దీరామ్ యొక్క నిమిషం ఖానా ఫుల్కా రోటీ</v>
      </c>
      <c r="C2767" s="4" t="str">
        <f>IFERROR(__xludf.DUMMYFUNCTION("GOOGLETRANSLATE(A2767, ""en"", ""hi"")"),"हल्दीराम मिनट खाना फुल्का रोटी")</f>
        <v>हल्दीराम मिनट खाना फुल्का रोटी</v>
      </c>
      <c r="D2767" s="2" t="s">
        <v>8495</v>
      </c>
      <c r="E2767" s="2" t="s">
        <v>2649</v>
      </c>
      <c r="F2767" s="1">
        <v>4.0</v>
      </c>
      <c r="G2767" s="3" t="s">
        <v>7969</v>
      </c>
    </row>
    <row r="2768">
      <c r="A2768" s="3" t="s">
        <v>8496</v>
      </c>
      <c r="B2768" s="4" t="str">
        <f>IFERROR(__xludf.DUMMYFUNCTION("GOOGLETRANSLATE(A2768, ""en"", ""te"")"),"అగి రోటి")</f>
        <v>అగి రోటి</v>
      </c>
      <c r="C2768" s="4" t="str">
        <f>IFERROR(__xludf.DUMMYFUNCTION("GOOGLETRANSLATE(A2768, ""en"", ""hi"")"),"अगी रोटी")</f>
        <v>अगी रोटी</v>
      </c>
      <c r="D2768" s="2" t="s">
        <v>8079</v>
      </c>
      <c r="E2768" s="2" t="s">
        <v>2649</v>
      </c>
      <c r="F2768" s="1">
        <v>4.0</v>
      </c>
      <c r="G2768" s="3" t="s">
        <v>7969</v>
      </c>
    </row>
    <row r="2769">
      <c r="A2769" s="3" t="s">
        <v>8497</v>
      </c>
      <c r="B2769" s="4" t="str">
        <f>IFERROR(__xludf.DUMMYFUNCTION("GOOGLETRANSLATE(A2769, ""en"", ""te"")"),"హల్దీరామ్ యొక్క నిమిషం ఖానా తందూరి గార్లిక్ నాన్")</f>
        <v>హల్దీరామ్ యొక్క నిమిషం ఖానా తందూరి గార్లిక్ నాన్</v>
      </c>
      <c r="C2769" s="4" t="str">
        <f>IFERROR(__xludf.DUMMYFUNCTION("GOOGLETRANSLATE(A2769, ""en"", ""hi"")"),"हल्दीराम मिनट खाना तंदूरी लहसुन नान")</f>
        <v>हल्दीराम मिनट खाना तंदूरी लहसुन नान</v>
      </c>
      <c r="D2769" s="2" t="s">
        <v>8498</v>
      </c>
      <c r="E2769" s="2" t="s">
        <v>4100</v>
      </c>
      <c r="F2769" s="1">
        <v>4.0</v>
      </c>
      <c r="G2769" s="3" t="s">
        <v>7969</v>
      </c>
    </row>
    <row r="2770">
      <c r="A2770" s="3" t="s">
        <v>8499</v>
      </c>
      <c r="B2770" s="4" t="str">
        <f>IFERROR(__xludf.DUMMYFUNCTION("GOOGLETRANSLATE(A2770, ""en"", ""te"")"),"హల్దీరామ్ యొక్క నిమిషం ఖానా హోల్ వీట్ నాన్")</f>
        <v>హల్దీరామ్ యొక్క నిమిషం ఖానా హోల్ వీట్ నాన్</v>
      </c>
      <c r="C2770" s="4" t="str">
        <f>IFERROR(__xludf.DUMMYFUNCTION("GOOGLETRANSLATE(A2770, ""en"", ""hi"")"),"हल्दीराम मिनट खाना होल व्हीट नान")</f>
        <v>हल्दीराम मिनट खाना होल व्हीट नान</v>
      </c>
      <c r="D2770" s="2" t="s">
        <v>8500</v>
      </c>
      <c r="E2770" s="2" t="s">
        <v>4100</v>
      </c>
      <c r="F2770" s="1">
        <v>4.0</v>
      </c>
      <c r="G2770" s="3" t="s">
        <v>7969</v>
      </c>
    </row>
    <row r="2771">
      <c r="A2771" s="3" t="s">
        <v>8501</v>
      </c>
      <c r="B2771" s="4" t="str">
        <f>IFERROR(__xludf.DUMMYFUNCTION("GOOGLETRANSLATE(A2771, ""en"", ""te"")"),"హల్దీరామ్ యొక్క నిమిషం ఖానా అమృతసరి కుల్చా")</f>
        <v>హల్దీరామ్ యొక్క నిమిషం ఖానా అమృతసరి కుల్చా</v>
      </c>
      <c r="C2771" s="4" t="str">
        <f>IFERROR(__xludf.DUMMYFUNCTION("GOOGLETRANSLATE(A2771, ""en"", ""hi"")"),"हल्दीराम मिनट खाना अमृतसरी कुलचा")</f>
        <v>हल्दीराम मिनट खाना अमृतसरी कुलचा</v>
      </c>
      <c r="D2771" s="2" t="s">
        <v>8086</v>
      </c>
      <c r="E2771" s="2" t="s">
        <v>4100</v>
      </c>
      <c r="F2771" s="1">
        <v>4.0</v>
      </c>
      <c r="G2771" s="3" t="s">
        <v>7969</v>
      </c>
    </row>
    <row r="2772">
      <c r="A2772" s="3" t="s">
        <v>8472</v>
      </c>
      <c r="B2772" s="4" t="str">
        <f>IFERROR(__xludf.DUMMYFUNCTION("GOOGLETRANSLATE(A2772, ""en"", ""te"")"),"హల్దీరామ్ యొక్క నిమిషం ఖానా ఆలూ కుల్చా")</f>
        <v>హల్దీరామ్ యొక్క నిమిషం ఖానా ఆలూ కుల్చా</v>
      </c>
      <c r="C2772" s="4" t="str">
        <f>IFERROR(__xludf.DUMMYFUNCTION("GOOGLETRANSLATE(A2772, ""en"", ""hi"")"),"हल्दीराम मिनट खाना आलू कुलचा")</f>
        <v>हल्दीराम मिनट खाना आलू कुलचा</v>
      </c>
      <c r="D2772" s="2" t="s">
        <v>8473</v>
      </c>
      <c r="E2772" s="2" t="s">
        <v>1294</v>
      </c>
      <c r="F2772" s="1">
        <v>4.0</v>
      </c>
      <c r="G2772" s="3" t="s">
        <v>7969</v>
      </c>
    </row>
    <row r="2773">
      <c r="A2773" s="3" t="s">
        <v>2846</v>
      </c>
      <c r="B2773" s="4" t="str">
        <f>IFERROR(__xludf.DUMMYFUNCTION("GOOGLETRANSLATE(A2773, ""en"", ""te"")"),"డీప్ తందూరి నాన్")</f>
        <v>డీప్ తందూరి నాన్</v>
      </c>
      <c r="C2773" s="4" t="str">
        <f>IFERROR(__xludf.DUMMYFUNCTION("GOOGLETRANSLATE(A2773, ""en"", ""hi"")"),"डीप तंदूरी नान")</f>
        <v>डीप तंदूरी नान</v>
      </c>
      <c r="D2773" s="2" t="s">
        <v>8502</v>
      </c>
      <c r="E2773" s="2" t="s">
        <v>4100</v>
      </c>
      <c r="F2773" s="1">
        <v>4.0</v>
      </c>
      <c r="G2773" s="3" t="s">
        <v>7969</v>
      </c>
    </row>
    <row r="2774">
      <c r="A2774" s="3" t="s">
        <v>8503</v>
      </c>
      <c r="B2774" s="4" t="str">
        <f>IFERROR(__xludf.DUMMYFUNCTION("GOOGLETRANSLATE(A2774, ""en"", ""te"")"),"హల్దీరామ్ యొక్క నిమిషం ఖానా మిర్చి పకోడా")</f>
        <v>హల్దీరామ్ యొక్క నిమిషం ఖానా మిర్చి పకోడా</v>
      </c>
      <c r="C2774" s="4" t="str">
        <f>IFERROR(__xludf.DUMMYFUNCTION("GOOGLETRANSLATE(A2774, ""en"", ""hi"")"),"हल्दीराम मिनट खाना मिर्ची पकौड़ा")</f>
        <v>हल्दीराम मिनट खाना मिर्ची पकौड़ा</v>
      </c>
      <c r="D2774" s="2" t="s">
        <v>7569</v>
      </c>
      <c r="E2774" s="2" t="s">
        <v>1294</v>
      </c>
      <c r="F2774" s="1">
        <v>4.0</v>
      </c>
      <c r="G2774" s="3" t="s">
        <v>7969</v>
      </c>
    </row>
    <row r="2775">
      <c r="A2775" s="3" t="s">
        <v>8504</v>
      </c>
      <c r="B2775" s="4" t="str">
        <f>IFERROR(__xludf.DUMMYFUNCTION("GOOGLETRANSLATE(A2775, ""en"", ""te"")"),"హల్దీరామ్ యొక్క నిమిషం ఖానా పనీర్ పకోడా")</f>
        <v>హల్దీరామ్ యొక్క నిమిషం ఖానా పనీర్ పకోడా</v>
      </c>
      <c r="C2775" s="4" t="str">
        <f>IFERROR(__xludf.DUMMYFUNCTION("GOOGLETRANSLATE(A2775, ""en"", ""hi"")"),"हल्दीराम मिनट खाना पनीर पकोड़ा")</f>
        <v>हल्दीराम मिनट खाना पनीर पकोड़ा</v>
      </c>
      <c r="D2775" s="5"/>
      <c r="E2775" s="2" t="s">
        <v>1294</v>
      </c>
      <c r="F2775" s="1">
        <v>4.0</v>
      </c>
      <c r="G2775" s="3" t="s">
        <v>7969</v>
      </c>
    </row>
    <row r="2776">
      <c r="A2776" s="3" t="s">
        <v>8505</v>
      </c>
      <c r="B2776" s="4" t="str">
        <f>IFERROR(__xludf.DUMMYFUNCTION("GOOGLETRANSLATE(A2776, ""en"", ""te"")"),"హల్దీరామ్ యొక్క నిమిషం ఖానా మసాలా దాల్")</f>
        <v>హల్దీరామ్ యొక్క నిమిషం ఖానా మసాలా దాల్</v>
      </c>
      <c r="C2776" s="4" t="str">
        <f>IFERROR(__xludf.DUMMYFUNCTION("GOOGLETRANSLATE(A2776, ""en"", ""hi"")"),"हल्दीराम मिनट खाना मसाला दाल")</f>
        <v>हल्दीराम मिनट खाना मसाला दाल</v>
      </c>
      <c r="D2776" s="5"/>
      <c r="E2776" s="2" t="s">
        <v>1038</v>
      </c>
      <c r="F2776" s="1">
        <v>4.0</v>
      </c>
      <c r="G2776" s="3" t="s">
        <v>7969</v>
      </c>
    </row>
    <row r="2777">
      <c r="A2777" s="3" t="s">
        <v>8506</v>
      </c>
      <c r="B2777" s="4" t="str">
        <f>IFERROR(__xludf.DUMMYFUNCTION("GOOGLETRANSLATE(A2777, ""en"", ""te"")"),"హల్దీరామ్ యొక్క నిమిషం ఖానా దాల్ మఖానీ")</f>
        <v>హల్దీరామ్ యొక్క నిమిషం ఖానా దాల్ మఖానీ</v>
      </c>
      <c r="C2777" s="4" t="str">
        <f>IFERROR(__xludf.DUMMYFUNCTION("GOOGLETRANSLATE(A2777, ""en"", ""hi"")"),"हल्दीराम मिनट खाना दाल मखनी")</f>
        <v>हल्दीराम मिनट खाना दाल मखनी</v>
      </c>
      <c r="D2777" s="5"/>
      <c r="E2777" s="2" t="s">
        <v>1038</v>
      </c>
      <c r="F2777" s="1">
        <v>4.0</v>
      </c>
      <c r="G2777" s="3" t="s">
        <v>7969</v>
      </c>
    </row>
    <row r="2778">
      <c r="A2778" s="3" t="s">
        <v>8507</v>
      </c>
      <c r="B2778" s="4" t="str">
        <f>IFERROR(__xludf.DUMMYFUNCTION("GOOGLETRANSLATE(A2778, ""en"", ""te"")"),"హల్దీరామ్ యొక్క నిమిషం ఖానా పనీర్")</f>
        <v>హల్దీరామ్ యొక్క నిమిషం ఖానా పనీర్</v>
      </c>
      <c r="C2778" s="4" t="str">
        <f>IFERROR(__xludf.DUMMYFUNCTION("GOOGLETRANSLATE(A2778, ""en"", ""hi"")"),"हल्दीराम मिनट खाना पनीर")</f>
        <v>हल्दीराम मिनट खाना पनीर</v>
      </c>
      <c r="D2778" s="2" t="s">
        <v>1961</v>
      </c>
      <c r="E2778" s="2" t="s">
        <v>2369</v>
      </c>
      <c r="F2778" s="1">
        <v>4.0</v>
      </c>
      <c r="G2778" s="3" t="s">
        <v>7969</v>
      </c>
    </row>
    <row r="2779">
      <c r="A2779" s="3" t="s">
        <v>8508</v>
      </c>
      <c r="B2779" s="4" t="str">
        <f>IFERROR(__xludf.DUMMYFUNCTION("GOOGLETRANSLATE(A2779, ""en"", ""te"")"),"హల్దీరామ్ యొక్క నిమిషం ఖానా ఒమేస్ పరాఠా")</f>
        <v>హల్దీరామ్ యొక్క నిమిషం ఖానా ఒమేస్ పరాఠా</v>
      </c>
      <c r="C2779" s="4" t="str">
        <f>IFERROR(__xludf.DUMMYFUNCTION("GOOGLETRANSLATE(A2779, ""en"", ""hi"")"),"हल्दीराम मिनट खाना ओमेस पराठा")</f>
        <v>हल्दीराम मिनट खाना ओमेस पराठा</v>
      </c>
      <c r="D2779" s="2" t="s">
        <v>1655</v>
      </c>
      <c r="E2779" s="2" t="s">
        <v>940</v>
      </c>
      <c r="F2779" s="1">
        <v>4.0</v>
      </c>
      <c r="G2779" s="3" t="s">
        <v>7969</v>
      </c>
    </row>
    <row r="2780">
      <c r="A2780" s="3" t="s">
        <v>8509</v>
      </c>
      <c r="B2780" s="4" t="str">
        <f>IFERROR(__xludf.DUMMYFUNCTION("GOOGLETRANSLATE(A2780, ""en"", ""te"")"),"హల్దీరామ్ యొక్క నిమిషం ఖానా రాగి రోటీ")</f>
        <v>హల్దీరామ్ యొక్క నిమిషం ఖానా రాగి రోటీ</v>
      </c>
      <c r="C2780" s="4" t="str">
        <f>IFERROR(__xludf.DUMMYFUNCTION("GOOGLETRANSLATE(A2780, ""en"", ""hi"")"),"हल्दीराम मिनट खाना रागी रोटी")</f>
        <v>हल्दीराम मिनट खाना रागी रोटी</v>
      </c>
      <c r="D2780" s="5"/>
      <c r="E2780" s="2" t="s">
        <v>940</v>
      </c>
      <c r="F2780" s="1">
        <v>4.0</v>
      </c>
      <c r="G2780" s="3" t="s">
        <v>7969</v>
      </c>
    </row>
    <row r="2781">
      <c r="A2781" s="3" t="s">
        <v>2849</v>
      </c>
      <c r="B2781" s="4" t="str">
        <f>IFERROR(__xludf.DUMMYFUNCTION("GOOGLETRANSLATE(A2781, ""en"", ""te"")"),"డీప్ తందూరి రోటీ")</f>
        <v>డీప్ తందూరి రోటీ</v>
      </c>
      <c r="C2781" s="4" t="str">
        <f>IFERROR(__xludf.DUMMYFUNCTION("GOOGLETRANSLATE(A2781, ""en"", ""hi"")"),"डीप तंदूरी रोटी")</f>
        <v>डीप तंदूरी रोटी</v>
      </c>
      <c r="D2781" s="2" t="s">
        <v>8510</v>
      </c>
      <c r="E2781" s="2" t="s">
        <v>940</v>
      </c>
      <c r="F2781" s="1">
        <v>4.0</v>
      </c>
      <c r="G2781" s="3" t="s">
        <v>7969</v>
      </c>
    </row>
    <row r="2782">
      <c r="A2782" s="3" t="s">
        <v>8511</v>
      </c>
      <c r="B2782" s="4" t="str">
        <f>IFERROR(__xludf.DUMMYFUNCTION("GOOGLETRANSLATE(A2782, ""en"", ""te"")"),"మిల్క్ పాక్ హెవీ క్రీమ్")</f>
        <v>మిల్క్ పాక్ హెవీ క్రీమ్</v>
      </c>
      <c r="C2782" s="4" t="str">
        <f>IFERROR(__xludf.DUMMYFUNCTION("GOOGLETRANSLATE(A2782, ""en"", ""hi"")"),"मिल्क पैक हैवी क्रीम")</f>
        <v>मिल्क पैक हैवी क्रीम</v>
      </c>
      <c r="D2782" s="2" t="s">
        <v>8512</v>
      </c>
      <c r="E2782" s="2" t="s">
        <v>2369</v>
      </c>
      <c r="F2782" s="1">
        <v>4.0</v>
      </c>
      <c r="G2782" s="3" t="s">
        <v>7969</v>
      </c>
    </row>
    <row r="2783">
      <c r="A2783" s="3" t="s">
        <v>8513</v>
      </c>
      <c r="B2783" s="4" t="str">
        <f>IFERROR(__xludf.DUMMYFUNCTION("GOOGLETRANSLATE(A2783, ""en"", ""te"")"),"చింతపండు ఖర్జూర చట్నీ")</f>
        <v>చింతపండు ఖర్జూర చట్నీ</v>
      </c>
      <c r="C2783" s="4" t="str">
        <f>IFERROR(__xludf.DUMMYFUNCTION("GOOGLETRANSLATE(A2783, ""en"", ""hi"")"),"इमली खजूर की चटनी")</f>
        <v>इमली खजूर की चटनी</v>
      </c>
      <c r="D2783" s="2" t="s">
        <v>6306</v>
      </c>
      <c r="E2783" s="2" t="s">
        <v>996</v>
      </c>
      <c r="F2783" s="1">
        <v>4.0</v>
      </c>
      <c r="G2783" s="3" t="s">
        <v>7969</v>
      </c>
    </row>
    <row r="2784">
      <c r="A2784" s="3" t="s">
        <v>8514</v>
      </c>
      <c r="B2784" s="4" t="str">
        <f>IFERROR(__xludf.DUMMYFUNCTION("GOOGLETRANSLATE(A2784, ""en"", ""te"")"),"గుడ్లు")</f>
        <v>గుడ్లు</v>
      </c>
      <c r="C2784" s="4" t="str">
        <f>IFERROR(__xludf.DUMMYFUNCTION("GOOGLETRANSLATE(A2784, ""en"", ""hi"")"),"अंडे")</f>
        <v>अंडे</v>
      </c>
      <c r="D2784" s="5"/>
      <c r="E2784" s="2" t="s">
        <v>2369</v>
      </c>
      <c r="F2784" s="1">
        <v>4.0</v>
      </c>
      <c r="G2784" s="3" t="s">
        <v>6955</v>
      </c>
    </row>
    <row r="2785">
      <c r="A2785" s="3" t="s">
        <v>8515</v>
      </c>
      <c r="B2785" s="4" t="str">
        <f>IFERROR(__xludf.DUMMYFUNCTION("GOOGLETRANSLATE(A2785, ""en"", ""te"")"),"తొక్క తీసిన వెల్లుల్లి")</f>
        <v>తొక్క తీసిన వెల్లుల్లి</v>
      </c>
      <c r="C2785" s="4" t="str">
        <f>IFERROR(__xludf.DUMMYFUNCTION("GOOGLETRANSLATE(A2785, ""en"", ""hi"")"),"छिला हुआ लहसुन")</f>
        <v>छिला हुआ लहसुन</v>
      </c>
      <c r="D2785" s="2" t="s">
        <v>2604</v>
      </c>
      <c r="E2785" s="2" t="s">
        <v>442</v>
      </c>
      <c r="F2785" s="1">
        <v>4.0</v>
      </c>
      <c r="G2785" s="3" t="s">
        <v>6955</v>
      </c>
    </row>
    <row r="2786">
      <c r="A2786" s="3" t="s">
        <v>8516</v>
      </c>
      <c r="B2786" s="4" t="str">
        <f>IFERROR(__xludf.DUMMYFUNCTION("GOOGLETRANSLATE(A2786, ""en"", ""te"")"),"ఎర్ర ఉల్లిపాయలు")</f>
        <v>ఎర్ర ఉల్లిపాయలు</v>
      </c>
      <c r="C2786" s="4" t="str">
        <f>IFERROR(__xludf.DUMMYFUNCTION("GOOGLETRANSLATE(A2786, ""en"", ""hi"")"),"लाल प्याज")</f>
        <v>लाल प्याज</v>
      </c>
      <c r="D2786" s="2" t="s">
        <v>3445</v>
      </c>
      <c r="E2786" s="2" t="s">
        <v>442</v>
      </c>
      <c r="F2786" s="1">
        <v>4.0</v>
      </c>
      <c r="G2786" s="3" t="s">
        <v>6955</v>
      </c>
    </row>
    <row r="2787">
      <c r="A2787" s="3" t="s">
        <v>8517</v>
      </c>
      <c r="B2787" s="4" t="str">
        <f>IFERROR(__xludf.DUMMYFUNCTION("GOOGLETRANSLATE(A2787, ""en"", ""te"")"),"ప్లాస్టిక్ కంటైనర్లలో రకరకాల ఆహార పదార్థాలు")</f>
        <v>ప్లాస్టిక్ కంటైనర్లలో రకరకాల ఆహార పదార్థాలు</v>
      </c>
      <c r="C2787" s="4" t="str">
        <f>IFERROR(__xludf.DUMMYFUNCTION("GOOGLETRANSLATE(A2787, ""en"", ""hi"")"),"प्लास्टिक के डिब्बों में रखे विभिन्न प्रकार के खाद्य पदार्थ")</f>
        <v>प्लास्टिक के डिब्बों में रखे विभिन्न प्रकार के खाद्य पदार्थ</v>
      </c>
      <c r="D2787" s="5"/>
      <c r="E2787" s="2" t="s">
        <v>2279</v>
      </c>
      <c r="F2787" s="1">
        <v>4.0</v>
      </c>
      <c r="G2787" s="3" t="s">
        <v>6957</v>
      </c>
    </row>
    <row r="2788">
      <c r="A2788" s="3" t="s">
        <v>8518</v>
      </c>
      <c r="B2788" s="4" t="str">
        <f>IFERROR(__xludf.DUMMYFUNCTION("GOOGLETRANSLATE(A2788, ""en"", ""te"")"),"పచ్చి మిరపకాయలు")</f>
        <v>పచ్చి మిరపకాయలు</v>
      </c>
      <c r="C2788" s="4" t="str">
        <f>IFERROR(__xludf.DUMMYFUNCTION("GOOGLETRANSLATE(A2788, ""en"", ""hi"")"),"हरी मिर्च")</f>
        <v>हरी मिर्च</v>
      </c>
      <c r="D2788" s="5"/>
      <c r="E2788" s="2" t="s">
        <v>442</v>
      </c>
      <c r="F2788" s="1">
        <v>4.0</v>
      </c>
      <c r="G2788" s="3" t="s">
        <v>6960</v>
      </c>
    </row>
    <row r="2789">
      <c r="A2789" s="3" t="s">
        <v>8519</v>
      </c>
      <c r="B2789" s="4" t="str">
        <f>IFERROR(__xludf.DUMMYFUNCTION("GOOGLETRANSLATE(A2789, ""en"", ""te"")"),"ప్లాస్టిక్ డబ్బాలో బెండకాయ")</f>
        <v>ప్లాస్టిక్ డబ్బాలో బెండకాయ</v>
      </c>
      <c r="C2789" s="4" t="str">
        <f>IFERROR(__xludf.DUMMYFUNCTION("GOOGLETRANSLATE(A2789, ""en"", ""hi"")"),"प्लास्टिक के डिब्बे में भिंडी")</f>
        <v>प्लास्टिक के डिब्बे में भिंडी</v>
      </c>
      <c r="D2789" s="2" t="s">
        <v>8520</v>
      </c>
      <c r="E2789" s="2" t="s">
        <v>7005</v>
      </c>
      <c r="F2789" s="1">
        <v>4.0</v>
      </c>
      <c r="G2789" s="3" t="s">
        <v>6960</v>
      </c>
    </row>
    <row r="2790">
      <c r="A2790" s="3" t="s">
        <v>8521</v>
      </c>
      <c r="B2790" s="4" t="str">
        <f>IFERROR(__xludf.DUMMYFUNCTION("GOOGLETRANSLATE(A2790, ""en"", ""te"")"),"వంకాయలు")</f>
        <v>వంకాయలు</v>
      </c>
      <c r="C2790" s="4" t="str">
        <f>IFERROR(__xludf.DUMMYFUNCTION("GOOGLETRANSLATE(A2790, ""en"", ""hi"")"),"बैंगन")</f>
        <v>बैंगन</v>
      </c>
      <c r="D2790" s="2" t="s">
        <v>8522</v>
      </c>
      <c r="E2790" s="2" t="s">
        <v>7005</v>
      </c>
      <c r="F2790" s="1">
        <v>4.0</v>
      </c>
      <c r="G2790" s="3" t="s">
        <v>7969</v>
      </c>
    </row>
    <row r="2791">
      <c r="A2791" s="3" t="s">
        <v>8523</v>
      </c>
      <c r="B2791" s="4" t="str">
        <f>IFERROR(__xludf.DUMMYFUNCTION("GOOGLETRANSLATE(A2791, ""en"", ""te"")"),"పచ్చి బీన్స్")</f>
        <v>పచ్చి బీన్స్</v>
      </c>
      <c r="C2791" s="4" t="str">
        <f>IFERROR(__xludf.DUMMYFUNCTION("GOOGLETRANSLATE(A2791, ""en"", ""hi"")"),"हरी सेम")</f>
        <v>हरी सेम</v>
      </c>
      <c r="D2791" s="2" t="s">
        <v>8524</v>
      </c>
      <c r="E2791" s="2" t="s">
        <v>7005</v>
      </c>
      <c r="F2791" s="1">
        <v>4.0</v>
      </c>
      <c r="G2791" s="3" t="s">
        <v>7969</v>
      </c>
    </row>
    <row r="2792">
      <c r="A2792" s="3" t="s">
        <v>8525</v>
      </c>
      <c r="B2792" s="4" t="str">
        <f>IFERROR(__xludf.DUMMYFUNCTION("GOOGLETRANSLATE(A2792, ""en"", ""te"")"),"నానక్ దహి")</f>
        <v>నానక్ దహి</v>
      </c>
      <c r="C2792" s="4" t="str">
        <f>IFERROR(__xludf.DUMMYFUNCTION("GOOGLETRANSLATE(A2792, ""en"", ""hi"")"),"नानक दही")</f>
        <v>नानक दही</v>
      </c>
      <c r="D2792" s="5"/>
      <c r="E2792" s="2" t="s">
        <v>2369</v>
      </c>
      <c r="F2792" s="1">
        <v>4.0</v>
      </c>
      <c r="G2792" s="3" t="s">
        <v>6984</v>
      </c>
    </row>
    <row r="2793">
      <c r="A2793" s="3" t="s">
        <v>8526</v>
      </c>
      <c r="B2793" s="4" t="str">
        <f>IFERROR(__xludf.DUMMYFUNCTION("GOOGLETRANSLATE(A2793, ""en"", ""te"")"),"గోపీ పెరుగు")</f>
        <v>గోపీ పెరుగు</v>
      </c>
      <c r="C2793" s="4" t="str">
        <f>IFERROR(__xludf.DUMMYFUNCTION("GOOGLETRANSLATE(A2793, ""en"", ""hi"")"),"गोपी योगर्ट")</f>
        <v>गोपी योगर्ट</v>
      </c>
      <c r="D2793" s="2" t="s">
        <v>8527</v>
      </c>
      <c r="E2793" s="2" t="s">
        <v>2369</v>
      </c>
      <c r="F2793" s="1">
        <v>4.0</v>
      </c>
      <c r="G2793" s="3" t="s">
        <v>6984</v>
      </c>
    </row>
    <row r="2794">
      <c r="A2794" s="3" t="s">
        <v>8528</v>
      </c>
      <c r="B2794" s="4" t="str">
        <f>IFERROR(__xludf.DUMMYFUNCTION("GOOGLETRANSLATE(A2794, ""en"", ""te"")"),"దేశీ నాచురల్ దహి")</f>
        <v>దేశీ నాచురల్ దహి</v>
      </c>
      <c r="C2794" s="4" t="str">
        <f>IFERROR(__xludf.DUMMYFUNCTION("GOOGLETRANSLATE(A2794, ""en"", ""hi"")"),"देसी प्राकृतिक दही")</f>
        <v>देसी प्राकृतिक दही</v>
      </c>
      <c r="D2794" s="5"/>
      <c r="E2794" s="2" t="s">
        <v>2369</v>
      </c>
      <c r="F2794" s="1">
        <v>4.0</v>
      </c>
      <c r="G2794" s="3" t="s">
        <v>6986</v>
      </c>
    </row>
    <row r="2795">
      <c r="A2795" s="3" t="s">
        <v>8528</v>
      </c>
      <c r="B2795" s="4" t="str">
        <f>IFERROR(__xludf.DUMMYFUNCTION("GOOGLETRANSLATE(A2795, ""en"", ""te"")"),"దేశీ నాచురల్ దహి")</f>
        <v>దేశీ నాచురల్ దహి</v>
      </c>
      <c r="C2795" s="4" t="str">
        <f>IFERROR(__xludf.DUMMYFUNCTION("GOOGLETRANSLATE(A2795, ""en"", ""hi"")"),"देसी प्राकृतिक दही")</f>
        <v>देसी प्राकृतिक दही</v>
      </c>
      <c r="D2795" s="5"/>
      <c r="E2795" s="2" t="s">
        <v>2369</v>
      </c>
      <c r="F2795" s="1">
        <v>4.0</v>
      </c>
      <c r="G2795" s="3" t="s">
        <v>6990</v>
      </c>
    </row>
    <row r="2796">
      <c r="A2796" s="3" t="s">
        <v>8528</v>
      </c>
      <c r="B2796" s="4" t="str">
        <f>IFERROR(__xludf.DUMMYFUNCTION("GOOGLETRANSLATE(A2796, ""en"", ""te"")"),"దేశీ నాచురల్ దహి")</f>
        <v>దేశీ నాచురల్ దహి</v>
      </c>
      <c r="C2796" s="4" t="str">
        <f>IFERROR(__xludf.DUMMYFUNCTION("GOOGLETRANSLATE(A2796, ""en"", ""hi"")"),"देसी प्राकृतिक दही")</f>
        <v>देसी प्राकृतिक दही</v>
      </c>
      <c r="D2796" s="5"/>
      <c r="E2796" s="2" t="s">
        <v>2369</v>
      </c>
      <c r="F2796" s="1">
        <v>4.0</v>
      </c>
      <c r="G2796" s="3" t="s">
        <v>6976</v>
      </c>
    </row>
    <row r="2797">
      <c r="A2797" s="3" t="s">
        <v>8529</v>
      </c>
      <c r="B2797" s="4" t="str">
        <f>IFERROR(__xludf.DUMMYFUNCTION("GOOGLETRANSLATE(A2797, ""en"", ""te"")"),"ప్రసుమ దోస పిండి")</f>
        <v>ప్రసుమ దోస పిండి</v>
      </c>
      <c r="C2797" s="4" t="str">
        <f>IFERROR(__xludf.DUMMYFUNCTION("GOOGLETRANSLATE(A2797, ""en"", ""hi"")"),"प्रसुमा डोसा बैटर")</f>
        <v>प्रसुमा डोसा बैटर</v>
      </c>
      <c r="D2797" s="5"/>
      <c r="E2797" s="2" t="s">
        <v>2649</v>
      </c>
      <c r="F2797" s="1">
        <v>4.0</v>
      </c>
      <c r="G2797" s="3" t="s">
        <v>6980</v>
      </c>
    </row>
    <row r="2798">
      <c r="A2798" s="3" t="s">
        <v>8530</v>
      </c>
      <c r="B2798" s="4" t="str">
        <f>IFERROR(__xludf.DUMMYFUNCTION("GOOGLETRANSLATE(A2798, ""en"", ""te"")"),"దహి పెరుగు")</f>
        <v>దహి పెరుగు</v>
      </c>
      <c r="C2798" s="4" t="str">
        <f>IFERROR(__xludf.DUMMYFUNCTION("GOOGLETRANSLATE(A2798, ""en"", ""hi"")"),"दही योगर्ट")</f>
        <v>दही योगर्ट</v>
      </c>
      <c r="D2798" s="2" t="s">
        <v>8531</v>
      </c>
      <c r="E2798" s="2" t="s">
        <v>2369</v>
      </c>
      <c r="F2798" s="1">
        <v>4.0</v>
      </c>
      <c r="G2798" s="3" t="s">
        <v>6984</v>
      </c>
    </row>
    <row r="2799">
      <c r="A2799" s="3" t="s">
        <v>8528</v>
      </c>
      <c r="B2799" s="4" t="str">
        <f>IFERROR(__xludf.DUMMYFUNCTION("GOOGLETRANSLATE(A2799, ""en"", ""te"")"),"దేశీ నాచురల్ దహి")</f>
        <v>దేశీ నాచురల్ దహి</v>
      </c>
      <c r="C2799" s="4" t="str">
        <f>IFERROR(__xludf.DUMMYFUNCTION("GOOGLETRANSLATE(A2799, ""en"", ""hi"")"),"देसी प्राकृतिक दही")</f>
        <v>देसी प्राकृतिक दही</v>
      </c>
      <c r="D2799" s="5"/>
      <c r="E2799" s="2" t="s">
        <v>2369</v>
      </c>
      <c r="F2799" s="1">
        <v>4.0</v>
      </c>
      <c r="G2799" s="3" t="s">
        <v>6984</v>
      </c>
    </row>
    <row r="2800">
      <c r="A2800" s="3" t="s">
        <v>8532</v>
      </c>
      <c r="B2800" s="4" t="str">
        <f>IFERROR(__xludf.DUMMYFUNCTION("GOOGLETRANSLATE(A2800, ""en"", ""te"")"),"పిఆర్‌యమ్స్ దోస పిండి")</f>
        <v>పిఆర్‌యమ్స్ దోస పిండి</v>
      </c>
      <c r="C2800" s="4" t="str">
        <f>IFERROR(__xludf.DUMMYFUNCTION("GOOGLETRANSLATE(A2800, ""en"", ""hi"")"),"PRYems डोसा बैटर")</f>
        <v>PRYems डोसा बैटर</v>
      </c>
      <c r="D2800" s="5"/>
      <c r="E2800" s="2" t="s">
        <v>2649</v>
      </c>
      <c r="F2800" s="1">
        <v>4.0</v>
      </c>
      <c r="G2800" s="3" t="s">
        <v>7009</v>
      </c>
    </row>
    <row r="2801">
      <c r="A2801" s="3" t="s">
        <v>8533</v>
      </c>
      <c r="B2801" s="4" t="str">
        <f>IFERROR(__xludf.DUMMYFUNCTION("GOOGLETRANSLATE(A2801, ""en"", ""te"")"),"పిఆర్‌యమ్స్ రాగి పిండి")</f>
        <v>పిఆర్‌యమ్స్ రాగి పిండి</v>
      </c>
      <c r="C2801" s="4" t="str">
        <f>IFERROR(__xludf.DUMMYFUNCTION("GOOGLETRANSLATE(A2801, ""en"", ""hi"")"),"PRYems रागी बैटर")</f>
        <v>PRYems रागी बैटर</v>
      </c>
      <c r="D2801" s="2" t="s">
        <v>8534</v>
      </c>
      <c r="E2801" s="2" t="s">
        <v>2649</v>
      </c>
      <c r="F2801" s="1">
        <v>4.0</v>
      </c>
      <c r="G2801" s="3" t="s">
        <v>7041</v>
      </c>
    </row>
    <row r="2802">
      <c r="A2802" s="3" t="s">
        <v>8535</v>
      </c>
      <c r="B2802" s="4" t="str">
        <f>IFERROR(__xludf.DUMMYFUNCTION("GOOGLETRANSLATE(A2802, ""en"", ""te"")"),"పిఆర్‌వైఎమ్స్ అడై బాటర్")</f>
        <v>పిఆర్‌వైఎమ్స్ అడై బాటర్</v>
      </c>
      <c r="C2802" s="4" t="str">
        <f>IFERROR(__xludf.DUMMYFUNCTION("GOOGLETRANSLATE(A2802, ""en"", ""hi"")"),"PRYems Adai Batter")</f>
        <v>PRYems Adai Batter</v>
      </c>
      <c r="D2802" s="5"/>
      <c r="E2802" s="2" t="s">
        <v>2649</v>
      </c>
      <c r="F2802" s="1">
        <v>4.0</v>
      </c>
      <c r="G2802" s="3" t="s">
        <v>7041</v>
      </c>
    </row>
    <row r="2803">
      <c r="A2803" s="3" t="s">
        <v>8536</v>
      </c>
      <c r="B2803" s="4" t="str">
        <f>IFERROR(__xludf.DUMMYFUNCTION("GOOGLETRANSLATE(A2803, ""en"", ""te"")"),"PRYems పెసరట్టు బ్యాటర్")</f>
        <v>PRYems పెసరట్టు బ్యాటర్</v>
      </c>
      <c r="C2803" s="4" t="str">
        <f>IFERROR(__xludf.DUMMYFUNCTION("GOOGLETRANSLATE(A2803, ""en"", ""hi"")"),"PRYems Pesarattu Batter")</f>
        <v>PRYems Pesarattu Batter</v>
      </c>
      <c r="D2803" s="5"/>
      <c r="E2803" s="2" t="s">
        <v>2649</v>
      </c>
      <c r="F2803" s="1">
        <v>4.0</v>
      </c>
      <c r="G2803" s="3" t="s">
        <v>7041</v>
      </c>
    </row>
    <row r="2804">
      <c r="A2804" s="3" t="s">
        <v>8537</v>
      </c>
      <c r="B2804" s="4" t="str">
        <f>IFERROR(__xludf.DUMMYFUNCTION("GOOGLETRANSLATE(A2804, ""en"", ""te"")"),"దేశీ పెరుగు")</f>
        <v>దేశీ పెరుగు</v>
      </c>
      <c r="C2804" s="4" t="str">
        <f>IFERROR(__xludf.DUMMYFUNCTION("GOOGLETRANSLATE(A2804, ""en"", ""hi"")"),"देसी दही")</f>
        <v>देसी दही</v>
      </c>
      <c r="D2804" s="5"/>
      <c r="E2804" s="2" t="s">
        <v>2369</v>
      </c>
      <c r="F2804" s="1">
        <v>4.0</v>
      </c>
      <c r="G2804" s="3" t="s">
        <v>7047</v>
      </c>
    </row>
    <row r="2805">
      <c r="A2805" s="3" t="s">
        <v>8532</v>
      </c>
      <c r="B2805" s="4" t="str">
        <f>IFERROR(__xludf.DUMMYFUNCTION("GOOGLETRANSLATE(A2805, ""en"", ""te"")"),"పిఆర్‌యమ్స్ దోస పిండి")</f>
        <v>పిఆర్‌యమ్స్ దోస పిండి</v>
      </c>
      <c r="C2805" s="4" t="str">
        <f>IFERROR(__xludf.DUMMYFUNCTION("GOOGLETRANSLATE(A2805, ""en"", ""hi"")"),"PRYems डोसा बैटर")</f>
        <v>PRYems डोसा बैटर</v>
      </c>
      <c r="D2805" s="5"/>
      <c r="E2805" s="2" t="s">
        <v>2649</v>
      </c>
      <c r="F2805" s="1">
        <v>4.0</v>
      </c>
      <c r="G2805" s="3" t="s">
        <v>7047</v>
      </c>
    </row>
    <row r="2806">
      <c r="A2806" s="3" t="s">
        <v>8538</v>
      </c>
      <c r="B2806" s="4" t="str">
        <f>IFERROR(__xludf.DUMMYFUNCTION("GOOGLETRANSLATE(A2806, ""en"", ""te"")"),"PRYems ఇడ్లీ-దోస పిండి")</f>
        <v>PRYems ఇడ్లీ-దోస పిండి</v>
      </c>
      <c r="C2806" s="4" t="str">
        <f>IFERROR(__xludf.DUMMYFUNCTION("GOOGLETRANSLATE(A2806, ""en"", ""hi"")"),"PRYems इडली-डोसा बैटर")</f>
        <v>PRYems इडली-डोसा बैटर</v>
      </c>
      <c r="D2806" s="2" t="s">
        <v>8429</v>
      </c>
      <c r="E2806" s="2" t="s">
        <v>2649</v>
      </c>
      <c r="F2806" s="1">
        <v>4.0</v>
      </c>
      <c r="G2806" s="3" t="s">
        <v>7047</v>
      </c>
    </row>
    <row r="2807">
      <c r="A2807" s="3" t="s">
        <v>8528</v>
      </c>
      <c r="B2807" s="4" t="str">
        <f>IFERROR(__xludf.DUMMYFUNCTION("GOOGLETRANSLATE(A2807, ""en"", ""te"")"),"దేశీ నాచురల్ దహి")</f>
        <v>దేశీ నాచురల్ దహి</v>
      </c>
      <c r="C2807" s="4" t="str">
        <f>IFERROR(__xludf.DUMMYFUNCTION("GOOGLETRANSLATE(A2807, ""en"", ""hi"")"),"देसी प्राकृतिक दही")</f>
        <v>देसी प्राकृतिक दही</v>
      </c>
      <c r="D2807" s="5"/>
      <c r="E2807" s="2" t="s">
        <v>2369</v>
      </c>
      <c r="F2807" s="1">
        <v>4.0</v>
      </c>
      <c r="G2807" s="3" t="s">
        <v>7009</v>
      </c>
    </row>
    <row r="2808">
      <c r="A2808" s="3" t="s">
        <v>8539</v>
      </c>
      <c r="B2808" s="4" t="str">
        <f>IFERROR(__xludf.DUMMYFUNCTION("GOOGLETRANSLATE(A2808, ""en"", ""te"")"),"ప్రియెమ్స్ దోస పిండి")</f>
        <v>ప్రియెమ్స్ దోస పిండి</v>
      </c>
      <c r="C2808" s="4" t="str">
        <f>IFERROR(__xludf.DUMMYFUNCTION("GOOGLETRANSLATE(A2808, ""en"", ""hi"")"),"प्रियम्स डोसा बैटर")</f>
        <v>प्रियम्स डोसा बैटर</v>
      </c>
      <c r="D2808" s="5"/>
      <c r="E2808" s="2" t="s">
        <v>2649</v>
      </c>
      <c r="F2808" s="1">
        <v>4.0</v>
      </c>
      <c r="G2808" s="3" t="s">
        <v>7019</v>
      </c>
    </row>
    <row r="2809">
      <c r="A2809" s="3" t="s">
        <v>8540</v>
      </c>
      <c r="B2809" s="4" t="str">
        <f>IFERROR(__xludf.DUMMYFUNCTION("GOOGLETRANSLATE(A2809, ""en"", ""te"")"),"ప్రియెమ్స్ రాగి బ్యాటర్")</f>
        <v>ప్రియెమ్స్ రాగి బ్యాటర్</v>
      </c>
      <c r="C2809" s="4" t="str">
        <f>IFERROR(__xludf.DUMMYFUNCTION("GOOGLETRANSLATE(A2809, ""en"", ""hi"")"),"प्रियम्स रागी बैटर")</f>
        <v>प्रियम्स रागी बैटर</v>
      </c>
      <c r="D2809" s="2" t="s">
        <v>8534</v>
      </c>
      <c r="E2809" s="2" t="s">
        <v>2649</v>
      </c>
      <c r="F2809" s="1">
        <v>4.0</v>
      </c>
      <c r="G2809" s="3" t="s">
        <v>7041</v>
      </c>
    </row>
    <row r="2810">
      <c r="A2810" s="3" t="s">
        <v>8541</v>
      </c>
      <c r="B2810" s="4" t="str">
        <f>IFERROR(__xludf.DUMMYFUNCTION("GOOGLETRANSLATE(A2810, ""en"", ""te"")"),"ప్రియెమ్స్ అడై బ్యాటర్")</f>
        <v>ప్రియెమ్స్ అడై బ్యాటర్</v>
      </c>
      <c r="C2810" s="4" t="str">
        <f>IFERROR(__xludf.DUMMYFUNCTION("GOOGLETRANSLATE(A2810, ""en"", ""hi"")"),"प्रियम्स अदाई बैटर")</f>
        <v>प्रियम्स अदाई बैटर</v>
      </c>
      <c r="D2810" s="5"/>
      <c r="E2810" s="2" t="s">
        <v>940</v>
      </c>
      <c r="F2810" s="1">
        <v>4.0</v>
      </c>
      <c r="G2810" s="3" t="s">
        <v>7041</v>
      </c>
    </row>
    <row r="2811">
      <c r="A2811" s="3" t="s">
        <v>8542</v>
      </c>
      <c r="B2811" s="4" t="str">
        <f>IFERROR(__xludf.DUMMYFUNCTION("GOOGLETRANSLATE(A2811, ""en"", ""te"")"),"ప్రియెమ్స్ పెసరట్టు బ్యాటర్")</f>
        <v>ప్రియెమ్స్ పెసరట్టు బ్యాటర్</v>
      </c>
      <c r="C2811" s="4" t="str">
        <f>IFERROR(__xludf.DUMMYFUNCTION("GOOGLETRANSLATE(A2811, ""en"", ""hi"")"),"प्रियेम्स पेसरट्टू बैटर")</f>
        <v>प्रियेम्स पेसरट्टू बैटर</v>
      </c>
      <c r="D2811" s="5"/>
      <c r="E2811" s="2" t="s">
        <v>940</v>
      </c>
      <c r="F2811" s="1">
        <v>4.0</v>
      </c>
      <c r="G2811" s="3" t="s">
        <v>7041</v>
      </c>
    </row>
    <row r="2812">
      <c r="A2812" s="3" t="s">
        <v>8525</v>
      </c>
      <c r="B2812" s="4" t="str">
        <f>IFERROR(__xludf.DUMMYFUNCTION("GOOGLETRANSLATE(A2812, ""en"", ""te"")"),"నానక్ దహి")</f>
        <v>నానక్ దహి</v>
      </c>
      <c r="C2812" s="4" t="str">
        <f>IFERROR(__xludf.DUMMYFUNCTION("GOOGLETRANSLATE(A2812, ""en"", ""hi"")"),"नानक दही")</f>
        <v>नानक दही</v>
      </c>
      <c r="D2812" s="5"/>
      <c r="E2812" s="2" t="s">
        <v>2369</v>
      </c>
      <c r="F2812" s="1">
        <v>4.0</v>
      </c>
      <c r="G2812" s="3" t="s">
        <v>7041</v>
      </c>
    </row>
    <row r="2813">
      <c r="A2813" s="3" t="s">
        <v>8539</v>
      </c>
      <c r="B2813" s="4" t="str">
        <f>IFERROR(__xludf.DUMMYFUNCTION("GOOGLETRANSLATE(A2813, ""en"", ""te"")"),"ప్రియెమ్స్ దోస పిండి")</f>
        <v>ప్రియెమ్స్ దోస పిండి</v>
      </c>
      <c r="C2813" s="4" t="str">
        <f>IFERROR(__xludf.DUMMYFUNCTION("GOOGLETRANSLATE(A2813, ""en"", ""hi"")"),"प्रियम्स डोसा बैटर")</f>
        <v>प्रियम्स डोसा बैटर</v>
      </c>
      <c r="D2813" s="5"/>
      <c r="E2813" s="2" t="s">
        <v>2649</v>
      </c>
      <c r="F2813" s="1">
        <v>4.0</v>
      </c>
      <c r="G2813" s="3" t="s">
        <v>7044</v>
      </c>
    </row>
    <row r="2814">
      <c r="A2814" s="3" t="s">
        <v>8543</v>
      </c>
      <c r="B2814" s="4" t="str">
        <f>IFERROR(__xludf.DUMMYFUNCTION("GOOGLETRANSLATE(A2814, ""en"", ""te"")"),"ప్రియెమ్స్ ఇడ్లీ-దోస పిండి")</f>
        <v>ప్రియెమ్స్ ఇడ్లీ-దోస పిండి</v>
      </c>
      <c r="C2814" s="4" t="str">
        <f>IFERROR(__xludf.DUMMYFUNCTION("GOOGLETRANSLATE(A2814, ""en"", ""hi"")"),"प्रियम्स इडली-डोसा बैटर")</f>
        <v>प्रियम्स इडली-डोसा बैटर</v>
      </c>
      <c r="D2814" s="2" t="s">
        <v>8429</v>
      </c>
      <c r="E2814" s="2" t="s">
        <v>2649</v>
      </c>
      <c r="F2814" s="1">
        <v>4.0</v>
      </c>
      <c r="G2814" s="3" t="s">
        <v>7044</v>
      </c>
    </row>
    <row r="2815">
      <c r="A2815" s="3" t="s">
        <v>8543</v>
      </c>
      <c r="B2815" s="4" t="str">
        <f>IFERROR(__xludf.DUMMYFUNCTION("GOOGLETRANSLATE(A2815, ""en"", ""te"")"),"ప్రియెమ్స్ ఇడ్లీ-దోస పిండి")</f>
        <v>ప్రియెమ్స్ ఇడ్లీ-దోస పిండి</v>
      </c>
      <c r="C2815" s="4" t="str">
        <f>IFERROR(__xludf.DUMMYFUNCTION("GOOGLETRANSLATE(A2815, ""en"", ""hi"")"),"प्रियम्स इडली-डोसा बैटर")</f>
        <v>प्रियम्स इडली-डोसा बैटर</v>
      </c>
      <c r="D2815" s="2" t="s">
        <v>8429</v>
      </c>
      <c r="E2815" s="2" t="s">
        <v>2649</v>
      </c>
      <c r="F2815" s="1">
        <v>4.0</v>
      </c>
      <c r="G2815" s="3" t="s">
        <v>8544</v>
      </c>
    </row>
    <row r="2816">
      <c r="A2816" s="3" t="s">
        <v>8545</v>
      </c>
      <c r="B2816" s="4" t="str">
        <f>IFERROR(__xludf.DUMMYFUNCTION("GOOGLETRANSLATE(A2816, ""en"", ""te"")"),"ఆర్య దోస పిండి")</f>
        <v>ఆర్య దోస పిండి</v>
      </c>
      <c r="C2816" s="4" t="str">
        <f>IFERROR(__xludf.DUMMYFUNCTION("GOOGLETRANSLATE(A2816, ""en"", ""hi"")"),"आर्या डोसा बैटर")</f>
        <v>आर्या डोसा बैटर</v>
      </c>
      <c r="D2816" s="5"/>
      <c r="E2816" s="2" t="s">
        <v>940</v>
      </c>
      <c r="F2816" s="1">
        <v>4.0</v>
      </c>
      <c r="G2816" s="3" t="s">
        <v>8546</v>
      </c>
    </row>
    <row r="2817">
      <c r="A2817" s="3" t="s">
        <v>8547</v>
      </c>
      <c r="B2817" s="4" t="str">
        <f>IFERROR(__xludf.DUMMYFUNCTION("GOOGLETRANSLATE(A2817, ""en"", ""te"")"),"ప్రియమ్స్ సర్టిఫైడ్ ఆర్గానిక్ ఇడ్లీ-దోస పిండి")</f>
        <v>ప్రియమ్స్ సర్టిఫైడ్ ఆర్గానిక్ ఇడ్లీ-దోస పిండి</v>
      </c>
      <c r="C2817" s="4" t="str">
        <f>IFERROR(__xludf.DUMMYFUNCTION("GOOGLETRANSLATE(A2817, ""en"", ""hi"")"),"प्रियम्स प्रमाणित ऑर्गेनिक इडली-डोसा बैटर")</f>
        <v>प्रियम्स प्रमाणित ऑर्गेनिक इडली-डोसा बैटर</v>
      </c>
      <c r="D2817" s="5"/>
      <c r="E2817" s="2" t="s">
        <v>2649</v>
      </c>
      <c r="F2817" s="1">
        <v>4.0</v>
      </c>
      <c r="G2817" s="3" t="s">
        <v>8546</v>
      </c>
    </row>
    <row r="2818">
      <c r="A2818" s="3" t="s">
        <v>8540</v>
      </c>
      <c r="B2818" s="4" t="str">
        <f>IFERROR(__xludf.DUMMYFUNCTION("GOOGLETRANSLATE(A2818, ""en"", ""te"")"),"ప్రియెమ్స్ రాగి బ్యాటర్")</f>
        <v>ప్రియెమ్స్ రాగి బ్యాటర్</v>
      </c>
      <c r="C2818" s="4" t="str">
        <f>IFERROR(__xludf.DUMMYFUNCTION("GOOGLETRANSLATE(A2818, ""en"", ""hi"")"),"प्रियम्स रागी बैटर")</f>
        <v>प्रियम्स रागी बैटर</v>
      </c>
      <c r="D2818" s="2" t="s">
        <v>8534</v>
      </c>
      <c r="E2818" s="2" t="s">
        <v>2649</v>
      </c>
      <c r="F2818" s="1">
        <v>4.0</v>
      </c>
      <c r="G2818" s="3" t="s">
        <v>8546</v>
      </c>
    </row>
    <row r="2819">
      <c r="A2819" s="3" t="s">
        <v>8541</v>
      </c>
      <c r="B2819" s="4" t="str">
        <f>IFERROR(__xludf.DUMMYFUNCTION("GOOGLETRANSLATE(A2819, ""en"", ""te"")"),"ప్రియెమ్స్ అడై బ్యాటర్")</f>
        <v>ప్రియెమ్స్ అడై బ్యాటర్</v>
      </c>
      <c r="C2819" s="4" t="str">
        <f>IFERROR(__xludf.DUMMYFUNCTION("GOOGLETRANSLATE(A2819, ""en"", ""hi"")"),"प्रियम्स अदाई बैटर")</f>
        <v>प्रियम्स अदाई बैटर</v>
      </c>
      <c r="D2819" s="5"/>
      <c r="E2819" s="2" t="s">
        <v>940</v>
      </c>
      <c r="F2819" s="1">
        <v>4.0</v>
      </c>
      <c r="G2819" s="3" t="s">
        <v>8546</v>
      </c>
    </row>
    <row r="2820">
      <c r="A2820" s="3" t="s">
        <v>4600</v>
      </c>
      <c r="B2820" s="4" t="str">
        <f>IFERROR(__xludf.DUMMYFUNCTION("GOOGLETRANSLATE(A2820, ""en"", ""te"")"),"మెంతి")</f>
        <v>మెంతి</v>
      </c>
      <c r="C2820" s="4" t="str">
        <f>IFERROR(__xludf.DUMMYFUNCTION("GOOGLETRANSLATE(A2820, ""en"", ""hi"")"),"मेथी")</f>
        <v>मेथी</v>
      </c>
      <c r="D2820" s="5"/>
      <c r="E2820" s="2" t="s">
        <v>442</v>
      </c>
      <c r="F2820" s="1">
        <v>4.0</v>
      </c>
      <c r="G2820" s="3" t="s">
        <v>8548</v>
      </c>
    </row>
    <row r="2821">
      <c r="A2821" s="3" t="s">
        <v>8549</v>
      </c>
      <c r="B2821" s="4" t="str">
        <f>IFERROR(__xludf.DUMMYFUNCTION("GOOGLETRANSLATE(A2821, ""en"", ""te"")"),"ముజ్జి పచ్చి ఉల్లిపాయలు")</f>
        <v>ముజ్జి పచ్చి ఉల్లిపాయలు</v>
      </c>
      <c r="C2821" s="4" t="str">
        <f>IFERROR(__xludf.DUMMYFUNCTION("GOOGLETRANSLATE(A2821, ""en"", ""hi"")"),"मुज़ी हरी प्याज")</f>
        <v>मुज़ी हरी प्याज</v>
      </c>
      <c r="D2821" s="5"/>
      <c r="E2821" s="2" t="s">
        <v>7005</v>
      </c>
      <c r="F2821" s="1">
        <v>4.0</v>
      </c>
      <c r="G2821" s="3" t="s">
        <v>8548</v>
      </c>
    </row>
    <row r="2822">
      <c r="A2822" s="3" t="s">
        <v>8539</v>
      </c>
      <c r="B2822" s="4" t="str">
        <f>IFERROR(__xludf.DUMMYFUNCTION("GOOGLETRANSLATE(A2822, ""en"", ""te"")"),"ప్రియెమ్స్ దోస పిండి")</f>
        <v>ప్రియెమ్స్ దోస పిండి</v>
      </c>
      <c r="C2822" s="4" t="str">
        <f>IFERROR(__xludf.DUMMYFUNCTION("GOOGLETRANSLATE(A2822, ""en"", ""hi"")"),"प्रियम्स डोसा बैटर")</f>
        <v>प्रियम्स डोसा बैटर</v>
      </c>
      <c r="D2822" s="5"/>
      <c r="E2822" s="2" t="s">
        <v>2649</v>
      </c>
      <c r="F2822" s="1">
        <v>4.0</v>
      </c>
      <c r="G2822" s="3" t="s">
        <v>8550</v>
      </c>
    </row>
    <row r="2823">
      <c r="A2823" s="3" t="s">
        <v>8543</v>
      </c>
      <c r="B2823" s="4" t="str">
        <f>IFERROR(__xludf.DUMMYFUNCTION("GOOGLETRANSLATE(A2823, ""en"", ""te"")"),"ప్రియెమ్స్ ఇడ్లీ-దోస పిండి")</f>
        <v>ప్రియెమ్స్ ఇడ్లీ-దోస పిండి</v>
      </c>
      <c r="C2823" s="4" t="str">
        <f>IFERROR(__xludf.DUMMYFUNCTION("GOOGLETRANSLATE(A2823, ""en"", ""hi"")"),"प्रियम्स इडली-डोसा बैटर")</f>
        <v>प्रियम्स इडली-डोसा बैटर</v>
      </c>
      <c r="D2823" s="2" t="s">
        <v>8429</v>
      </c>
      <c r="E2823" s="2" t="s">
        <v>2649</v>
      </c>
      <c r="F2823" s="1">
        <v>4.0</v>
      </c>
      <c r="G2823" s="3" t="s">
        <v>8550</v>
      </c>
    </row>
    <row r="2824">
      <c r="A2824" s="3" t="s">
        <v>8543</v>
      </c>
      <c r="B2824" s="4" t="str">
        <f>IFERROR(__xludf.DUMMYFUNCTION("GOOGLETRANSLATE(A2824, ""en"", ""te"")"),"ప్రియెమ్స్ ఇడ్లీ-దోస పిండి")</f>
        <v>ప్రియెమ్స్ ఇడ్లీ-దోస పిండి</v>
      </c>
      <c r="C2824" s="4" t="str">
        <f>IFERROR(__xludf.DUMMYFUNCTION("GOOGLETRANSLATE(A2824, ""en"", ""hi"")"),"प्रियम्स इडली-डोसा बैटर")</f>
        <v>प्रियम्स इडली-डोसा बैटर</v>
      </c>
      <c r="D2824" s="2" t="s">
        <v>8429</v>
      </c>
      <c r="E2824" s="2" t="s">
        <v>2649</v>
      </c>
      <c r="F2824" s="1">
        <v>4.0</v>
      </c>
      <c r="G2824" s="3" t="s">
        <v>8546</v>
      </c>
    </row>
    <row r="2825">
      <c r="A2825" s="3" t="s">
        <v>8545</v>
      </c>
      <c r="B2825" s="4" t="str">
        <f>IFERROR(__xludf.DUMMYFUNCTION("GOOGLETRANSLATE(A2825, ""en"", ""te"")"),"ఆర్య దోస పిండి")</f>
        <v>ఆర్య దోస పిండి</v>
      </c>
      <c r="C2825" s="4" t="str">
        <f>IFERROR(__xludf.DUMMYFUNCTION("GOOGLETRANSLATE(A2825, ""en"", ""hi"")"),"आर्या डोसा बैटर")</f>
        <v>आर्या डोसा बैटर</v>
      </c>
      <c r="D2825" s="5"/>
      <c r="E2825" s="2" t="s">
        <v>940</v>
      </c>
      <c r="F2825" s="1">
        <v>4.0</v>
      </c>
      <c r="G2825" s="3" t="s">
        <v>8548</v>
      </c>
    </row>
    <row r="2826">
      <c r="A2826" s="3" t="s">
        <v>8547</v>
      </c>
      <c r="B2826" s="4" t="str">
        <f>IFERROR(__xludf.DUMMYFUNCTION("GOOGLETRANSLATE(A2826, ""en"", ""te"")"),"ప్రియమ్స్ సర్టిఫైడ్ ఆర్గానిక్ ఇడ్లీ-దోస పిండి")</f>
        <v>ప్రియమ్స్ సర్టిఫైడ్ ఆర్గానిక్ ఇడ్లీ-దోస పిండి</v>
      </c>
      <c r="C2826" s="4" t="str">
        <f>IFERROR(__xludf.DUMMYFUNCTION("GOOGLETRANSLATE(A2826, ""en"", ""hi"")"),"प्रियम्स प्रमाणित ऑर्गेनिक इडली-डोसा बैटर")</f>
        <v>प्रियम्स प्रमाणित ऑर्गेनिक इडली-डोसा बैटर</v>
      </c>
      <c r="D2826" s="5"/>
      <c r="E2826" s="2" t="s">
        <v>2649</v>
      </c>
      <c r="F2826" s="1">
        <v>4.0</v>
      </c>
      <c r="G2826" s="3" t="s">
        <v>8548</v>
      </c>
    </row>
    <row r="2827">
      <c r="A2827" s="3" t="s">
        <v>8551</v>
      </c>
      <c r="B2827" s="4" t="str">
        <f>IFERROR(__xludf.DUMMYFUNCTION("GOOGLETRANSLATE(A2827, ""en"", ""te"")"),"ప్రియమ్స్ సర్టిఫైడ్ ఆర్గానిక్ దోస పిండి")</f>
        <v>ప్రియమ్స్ సర్టిఫైడ్ ఆర్గానిక్ దోస పిండి</v>
      </c>
      <c r="C2827" s="4" t="str">
        <f>IFERROR(__xludf.DUMMYFUNCTION("GOOGLETRANSLATE(A2827, ""en"", ""hi"")"),"प्रियम्स प्रमाणित ऑर्गेनिक डोसा बैटर")</f>
        <v>प्रियम्स प्रमाणित ऑर्गेनिक डोसा बैटर</v>
      </c>
      <c r="D2827" s="5"/>
      <c r="E2827" s="2" t="s">
        <v>940</v>
      </c>
      <c r="F2827" s="1">
        <v>4.0</v>
      </c>
      <c r="G2827" s="3" t="s">
        <v>8548</v>
      </c>
    </row>
    <row r="2828">
      <c r="A2828" s="3" t="s">
        <v>8540</v>
      </c>
      <c r="B2828" s="4" t="str">
        <f>IFERROR(__xludf.DUMMYFUNCTION("GOOGLETRANSLATE(A2828, ""en"", ""te"")"),"ప్రియెమ్స్ రాగి బ్యాటర్")</f>
        <v>ప్రియెమ్స్ రాగి బ్యాటర్</v>
      </c>
      <c r="C2828" s="4" t="str">
        <f>IFERROR(__xludf.DUMMYFUNCTION("GOOGLETRANSLATE(A2828, ""en"", ""hi"")"),"प्रियम्स रागी बैटर")</f>
        <v>प्रियम्स रागी बैटर</v>
      </c>
      <c r="D2828" s="2" t="s">
        <v>8534</v>
      </c>
      <c r="E2828" s="2" t="s">
        <v>2649</v>
      </c>
      <c r="F2828" s="1">
        <v>4.0</v>
      </c>
      <c r="G2828" s="3" t="s">
        <v>8548</v>
      </c>
    </row>
    <row r="2829">
      <c r="A2829" s="3" t="s">
        <v>8541</v>
      </c>
      <c r="B2829" s="4" t="str">
        <f>IFERROR(__xludf.DUMMYFUNCTION("GOOGLETRANSLATE(A2829, ""en"", ""te"")"),"ప్రియెమ్స్ అడై బ్యాటర్")</f>
        <v>ప్రియెమ్స్ అడై బ్యాటర్</v>
      </c>
      <c r="C2829" s="4" t="str">
        <f>IFERROR(__xludf.DUMMYFUNCTION("GOOGLETRANSLATE(A2829, ""en"", ""hi"")"),"प्रियम्स अदाई बैटर")</f>
        <v>प्रियम्स अदाई बैटर</v>
      </c>
      <c r="D2829" s="5"/>
      <c r="E2829" s="2" t="s">
        <v>940</v>
      </c>
      <c r="F2829" s="1">
        <v>4.0</v>
      </c>
      <c r="G2829" s="3" t="s">
        <v>8548</v>
      </c>
    </row>
    <row r="2830">
      <c r="A2830" s="3" t="s">
        <v>8528</v>
      </c>
      <c r="B2830" s="4" t="str">
        <f>IFERROR(__xludf.DUMMYFUNCTION("GOOGLETRANSLATE(A2830, ""en"", ""te"")"),"దేశీ నాచురల్ దహి")</f>
        <v>దేశీ నాచురల్ దహి</v>
      </c>
      <c r="C2830" s="4" t="str">
        <f>IFERROR(__xludf.DUMMYFUNCTION("GOOGLETRANSLATE(A2830, ""en"", ""hi"")"),"देसी प्राकृतिक दही")</f>
        <v>देसी प्राकृतिक दही</v>
      </c>
      <c r="D2830" s="5"/>
      <c r="E2830" s="2" t="s">
        <v>2369</v>
      </c>
      <c r="F2830" s="1">
        <v>4.0</v>
      </c>
      <c r="G2830" s="3" t="s">
        <v>8546</v>
      </c>
    </row>
    <row r="2831">
      <c r="A2831" s="3" t="s">
        <v>8539</v>
      </c>
      <c r="B2831" s="4" t="str">
        <f>IFERROR(__xludf.DUMMYFUNCTION("GOOGLETRANSLATE(A2831, ""en"", ""te"")"),"ప్రియెమ్స్ దోస పిండి")</f>
        <v>ప్రియెమ్స్ దోస పిండి</v>
      </c>
      <c r="C2831" s="4" t="str">
        <f>IFERROR(__xludf.DUMMYFUNCTION("GOOGLETRANSLATE(A2831, ""en"", ""hi"")"),"प्रियम्स डोसा बैटर")</f>
        <v>प्रियम्स डोसा बैटर</v>
      </c>
      <c r="D2831" s="5"/>
      <c r="E2831" s="2" t="s">
        <v>2649</v>
      </c>
      <c r="F2831" s="1">
        <v>4.0</v>
      </c>
      <c r="G2831" s="3" t="s">
        <v>8546</v>
      </c>
    </row>
    <row r="2832">
      <c r="A2832" s="3" t="s">
        <v>8552</v>
      </c>
      <c r="B2832" s="4" t="str">
        <f>IFERROR(__xludf.DUMMYFUNCTION("GOOGLETRANSLATE(A2832, ""en"", ""te"")"),"బ్రిటానియా టోస్టీ")</f>
        <v>బ్రిటానియా టోస్టీ</v>
      </c>
      <c r="C2832" s="4" t="str">
        <f>IFERROR(__xludf.DUMMYFUNCTION("GOOGLETRANSLATE(A2832, ""en"", ""hi"")"),"ब्रिटानिया टोस्टी")</f>
        <v>ब्रिटानिया टोस्टी</v>
      </c>
      <c r="D2832" s="5"/>
      <c r="E2832" s="2" t="s">
        <v>4100</v>
      </c>
      <c r="F2832" s="1">
        <v>4.0</v>
      </c>
      <c r="G2832" s="3" t="s">
        <v>8553</v>
      </c>
    </row>
    <row r="2833">
      <c r="A2833" s="3" t="s">
        <v>8554</v>
      </c>
      <c r="B2833" s="4" t="str">
        <f>IFERROR(__xludf.DUMMYFUNCTION("GOOGLETRANSLATE(A2833, ""en"", ""te"")"),"స్వాద్ చిక్ పీస్")</f>
        <v>స్వాద్ చిక్ పీస్</v>
      </c>
      <c r="C2833" s="4" t="str">
        <f>IFERROR(__xludf.DUMMYFUNCTION("GOOGLETRANSLATE(A2833, ""en"", ""hi"")"),"स्वाद छोले")</f>
        <v>स्वाद छोले</v>
      </c>
      <c r="D2833" s="2" t="s">
        <v>8555</v>
      </c>
      <c r="E2833" s="2" t="s">
        <v>1038</v>
      </c>
      <c r="F2833" s="1">
        <v>4.0</v>
      </c>
      <c r="G2833" s="3" t="s">
        <v>8556</v>
      </c>
    </row>
    <row r="2834">
      <c r="A2834" s="3" t="s">
        <v>8557</v>
      </c>
      <c r="B2834" s="4" t="str">
        <f>IFERROR(__xludf.DUMMYFUNCTION("GOOGLETRANSLATE(A2834, ""en"", ""te"")"),"గోయా బ్లాక్ బీన్స్")</f>
        <v>గోయా బ్లాక్ బీన్స్</v>
      </c>
      <c r="C2834" s="4" t="str">
        <f>IFERROR(__xludf.DUMMYFUNCTION("GOOGLETRANSLATE(A2834, ""en"", ""hi"")"),"गोया ब्लैक बीन्स")</f>
        <v>गोया ब्लैक बीन्स</v>
      </c>
      <c r="D2834" s="5"/>
      <c r="E2834" s="2" t="s">
        <v>1038</v>
      </c>
      <c r="F2834" s="1">
        <v>4.0</v>
      </c>
      <c r="G2834" s="3" t="s">
        <v>8556</v>
      </c>
    </row>
    <row r="2835">
      <c r="A2835" s="3" t="s">
        <v>3330</v>
      </c>
      <c r="B2835" s="4" t="str">
        <f>IFERROR(__xludf.DUMMYFUNCTION("GOOGLETRANSLATE(A2835, ""en"", ""te"")"),"గోయా చిక్ పీస్")</f>
        <v>గోయా చిక్ పీస్</v>
      </c>
      <c r="C2835" s="4" t="str">
        <f>IFERROR(__xludf.DUMMYFUNCTION("GOOGLETRANSLATE(A2835, ""en"", ""hi"")"),"गोया छोले")</f>
        <v>गोया छोले</v>
      </c>
      <c r="D2835" s="2" t="s">
        <v>8558</v>
      </c>
      <c r="E2835" s="2" t="s">
        <v>1038</v>
      </c>
      <c r="F2835" s="1">
        <v>4.0</v>
      </c>
      <c r="G2835" s="3" t="s">
        <v>8556</v>
      </c>
    </row>
    <row r="2836">
      <c r="A2836" s="3" t="s">
        <v>8559</v>
      </c>
      <c r="B2836" s="4" t="str">
        <f>IFERROR(__xludf.DUMMYFUNCTION("GOOGLETRANSLATE(A2836, ""en"", ""te"")"),"భారతదేశపు ప్రకృతి కొబ్బరి పాల పొడి")</f>
        <v>భారతదేశపు ప్రకృతి కొబ్బరి పాల పొడి</v>
      </c>
      <c r="C2836" s="4" t="str">
        <f>IFERROR(__xludf.DUMMYFUNCTION("GOOGLETRANSLATE(A2836, ""en"", ""hi"")"),"इंडियाज़ नेचर नारियल दूध पाउडर")</f>
        <v>इंडियाज़ नेचर नारियल दूध पाउडर</v>
      </c>
      <c r="D2836" s="2" t="s">
        <v>8560</v>
      </c>
      <c r="E2836" s="2" t="s">
        <v>2700</v>
      </c>
      <c r="F2836" s="1">
        <v>4.0</v>
      </c>
      <c r="G2836" s="3" t="s">
        <v>8561</v>
      </c>
    </row>
    <row r="2837">
      <c r="A2837" s="3" t="s">
        <v>8562</v>
      </c>
      <c r="B2837" s="4" t="str">
        <f>IFERROR(__xludf.DUMMYFUNCTION("GOOGLETRANSLATE(A2837, ""en"", ""te"")"),"మ్యాగీ రియల్ కొబ్బరి పాల పొడి")</f>
        <v>మ్యాగీ రియల్ కొబ్బరి పాల పొడి</v>
      </c>
      <c r="C2837" s="4" t="str">
        <f>IFERROR(__xludf.DUMMYFUNCTION("GOOGLETRANSLATE(A2837, ""en"", ""hi"")"),"मैगी रियल नारियल दूध पाउडर")</f>
        <v>मैगी रियल नारियल दूध पाउडर</v>
      </c>
      <c r="D2837" s="2" t="s">
        <v>8560</v>
      </c>
      <c r="E2837" s="2" t="s">
        <v>2700</v>
      </c>
      <c r="F2837" s="1">
        <v>4.0</v>
      </c>
      <c r="G2837" s="3" t="s">
        <v>8561</v>
      </c>
    </row>
    <row r="2838">
      <c r="A2838" s="3" t="s">
        <v>1749</v>
      </c>
      <c r="B2838" s="4" t="str">
        <f>IFERROR(__xludf.DUMMYFUNCTION("GOOGLETRANSLATE(A2838, ""en"", ""te"")"),"చావోకో కొబ్బరి పాలు")</f>
        <v>చావోకో కొబ్బరి పాలు</v>
      </c>
      <c r="C2838" s="4" t="str">
        <f>IFERROR(__xludf.DUMMYFUNCTION("GOOGLETRANSLATE(A2838, ""en"", ""hi"")"),"चाओकोह नारियल का दूध")</f>
        <v>चाओकोह नारियल का दूध</v>
      </c>
      <c r="D2838" s="2" t="s">
        <v>8563</v>
      </c>
      <c r="E2838" s="2" t="s">
        <v>2700</v>
      </c>
      <c r="F2838" s="1">
        <v>4.0</v>
      </c>
      <c r="G2838" s="3" t="s">
        <v>8561</v>
      </c>
    </row>
    <row r="2839">
      <c r="A2839" s="3" t="s">
        <v>8564</v>
      </c>
      <c r="B2839" s="4" t="str">
        <f>IFERROR(__xludf.DUMMYFUNCTION("GOOGLETRANSLATE(A2839, ""en"", ""te"")"),"కాలిఫోర్నియా ఫార్మ్స్ కొబ్బరి పాలు")</f>
        <v>కాలిఫోర్నియా ఫార్మ్స్ కొబ్బరి పాలు</v>
      </c>
      <c r="C2839" s="4" t="str">
        <f>IFERROR(__xludf.DUMMYFUNCTION("GOOGLETRANSLATE(A2839, ""en"", ""hi"")"),"कैलिफ़ोर्निया फ़ार्म्स नारियल का दूध")</f>
        <v>कैलिफ़ोर्निया फ़ार्म्स नारियल का दूध</v>
      </c>
      <c r="D2839" s="2" t="s">
        <v>53</v>
      </c>
      <c r="E2839" s="2" t="s">
        <v>2700</v>
      </c>
      <c r="F2839" s="1">
        <v>4.0</v>
      </c>
      <c r="G2839" s="3" t="s">
        <v>8565</v>
      </c>
    </row>
    <row r="2840">
      <c r="A2840" s="3" t="s">
        <v>1749</v>
      </c>
      <c r="B2840" s="4" t="str">
        <f>IFERROR(__xludf.DUMMYFUNCTION("GOOGLETRANSLATE(A2840, ""en"", ""te"")"),"చావోకో కొబ్బరి పాలు")</f>
        <v>చావోకో కొబ్బరి పాలు</v>
      </c>
      <c r="C2840" s="4" t="str">
        <f>IFERROR(__xludf.DUMMYFUNCTION("GOOGLETRANSLATE(A2840, ""en"", ""hi"")"),"चाओकोह नारियल का दूध")</f>
        <v>चाओकोह नारियल का दूध</v>
      </c>
      <c r="D2840" s="2" t="s">
        <v>8563</v>
      </c>
      <c r="E2840" s="2" t="s">
        <v>2700</v>
      </c>
      <c r="F2840" s="1">
        <v>4.0</v>
      </c>
      <c r="G2840" s="3" t="s">
        <v>8565</v>
      </c>
    </row>
    <row r="2841">
      <c r="A2841" s="3" t="s">
        <v>5818</v>
      </c>
      <c r="B2841" s="4" t="str">
        <f>IFERROR(__xludf.DUMMYFUNCTION("GOOGLETRANSLATE(A2841, ""en"", ""te"")"),"సఫోలా మసాలా ఓట్స్")</f>
        <v>సఫోలా మసాలా ఓట్స్</v>
      </c>
      <c r="C2841" s="4" t="str">
        <f>IFERROR(__xludf.DUMMYFUNCTION("GOOGLETRANSLATE(A2841, ""en"", ""hi"")"),"सैफोला मसाला ओट्स")</f>
        <v>सैफोला मसाला ओट्स</v>
      </c>
      <c r="D2841" s="5"/>
      <c r="E2841" s="2" t="s">
        <v>2649</v>
      </c>
      <c r="F2841" s="1">
        <v>4.0</v>
      </c>
      <c r="G2841" s="3" t="s">
        <v>8566</v>
      </c>
    </row>
    <row r="2842">
      <c r="A2842" s="3" t="s">
        <v>7438</v>
      </c>
      <c r="B2842" s="4" t="str">
        <f>IFERROR(__xludf.DUMMYFUNCTION("GOOGLETRANSLATE(A2842, ""en"", ""te"")"),"బ్రిటానియా టోస్టీ సుజీ రస్క్")</f>
        <v>బ్రిటానియా టోస్టీ సుజీ రస్క్</v>
      </c>
      <c r="C2842" s="4" t="str">
        <f>IFERROR(__xludf.DUMMYFUNCTION("GOOGLETRANSLATE(A2842, ""en"", ""hi"")"),"ब्रिटानिया टोस्टी सूजी रस्क")</f>
        <v>ब्रिटानिया टोस्टी सूजी रस्क</v>
      </c>
      <c r="D2842" s="2" t="s">
        <v>7123</v>
      </c>
      <c r="E2842" s="2" t="s">
        <v>4100</v>
      </c>
      <c r="F2842" s="1">
        <v>4.0</v>
      </c>
      <c r="G2842" s="3" t="s">
        <v>8566</v>
      </c>
    </row>
    <row r="2843">
      <c r="A2843" s="3" t="s">
        <v>8567</v>
      </c>
      <c r="B2843" s="4" t="str">
        <f>IFERROR(__xludf.DUMMYFUNCTION("GOOGLETRANSLATE(A2843, ""en"", ""te"")"),"స్వాద్ సోయా వాడి")</f>
        <v>స్వాద్ సోయా వాడి</v>
      </c>
      <c r="C2843" s="4" t="str">
        <f>IFERROR(__xludf.DUMMYFUNCTION("GOOGLETRANSLATE(A2843, ""en"", ""hi"")"),"स्वाद सोया वड़ी")</f>
        <v>स्वाद सोया वड़ी</v>
      </c>
      <c r="D2843" s="5"/>
      <c r="E2843" s="2" t="s">
        <v>1038</v>
      </c>
      <c r="F2843" s="1">
        <v>4.0</v>
      </c>
      <c r="G2843" s="3" t="s">
        <v>8568</v>
      </c>
    </row>
    <row r="2844">
      <c r="A2844" s="3" t="s">
        <v>1523</v>
      </c>
      <c r="B2844" s="4" t="str">
        <f>IFERROR(__xludf.DUMMYFUNCTION("GOOGLETRANSLATE(A2844, ""en"", ""te"")"),"బ్రిటానియా మేరీ గోల్డ్")</f>
        <v>బ్రిటానియా మేరీ గోల్డ్</v>
      </c>
      <c r="C2844" s="4" t="str">
        <f>IFERROR(__xludf.DUMMYFUNCTION("GOOGLETRANSLATE(A2844, ""en"", ""hi"")"),"ब्रिटानिया मैरी गोल्ड")</f>
        <v>ब्रिटानिया मैरी गोल्ड</v>
      </c>
      <c r="D2844" s="2" t="s">
        <v>4099</v>
      </c>
      <c r="E2844" s="2" t="s">
        <v>4100</v>
      </c>
      <c r="F2844" s="1">
        <v>4.0</v>
      </c>
      <c r="G2844" s="3" t="s">
        <v>8568</v>
      </c>
    </row>
    <row r="2845">
      <c r="A2845" s="3" t="s">
        <v>4604</v>
      </c>
      <c r="B2845" s="4" t="str">
        <f>IFERROR(__xludf.DUMMYFUNCTION("GOOGLETRANSLATE(A2845, ""en"", ""te"")"),"మెంతి పూరి")</f>
        <v>మెంతి పూరి</v>
      </c>
      <c r="C2845" s="4" t="str">
        <f>IFERROR(__xludf.DUMMYFUNCTION("GOOGLETRANSLATE(A2845, ""en"", ""hi"")"),"मेथी पूरी")</f>
        <v>मेथी पूरी</v>
      </c>
      <c r="D2845" s="2" t="s">
        <v>4472</v>
      </c>
      <c r="E2845" s="2" t="s">
        <v>442</v>
      </c>
      <c r="F2845" s="1">
        <v>4.0</v>
      </c>
      <c r="G2845" s="3" t="s">
        <v>8569</v>
      </c>
    </row>
    <row r="2846">
      <c r="A2846" s="3" t="s">
        <v>7438</v>
      </c>
      <c r="B2846" s="4" t="str">
        <f>IFERROR(__xludf.DUMMYFUNCTION("GOOGLETRANSLATE(A2846, ""en"", ""te"")"),"బ్రిటానియా టోస్టీ సుజీ రస్క్")</f>
        <v>బ్రిటానియా టోస్టీ సుజీ రస్క్</v>
      </c>
      <c r="C2846" s="4" t="str">
        <f>IFERROR(__xludf.DUMMYFUNCTION("GOOGLETRANSLATE(A2846, ""en"", ""hi"")"),"ब्रिटानिया टोस्टी सूजी रस्क")</f>
        <v>ब्रिटानिया टोस्टी सूजी रस्क</v>
      </c>
      <c r="D2846" s="2" t="s">
        <v>7123</v>
      </c>
      <c r="E2846" s="2" t="s">
        <v>4100</v>
      </c>
      <c r="F2846" s="1">
        <v>4.0</v>
      </c>
      <c r="G2846" s="3" t="s">
        <v>8570</v>
      </c>
    </row>
    <row r="2847">
      <c r="A2847" s="3" t="s">
        <v>8571</v>
      </c>
      <c r="B2847" s="4" t="str">
        <f>IFERROR(__xludf.DUMMYFUNCTION("GOOGLETRANSLATE(A2847, ""en"", ""te"")"),"మోర్టన్ అయోడైజ్డ్ సాల్ట్")</f>
        <v>మోర్టన్ అయోడైజ్డ్ సాల్ట్</v>
      </c>
      <c r="C2847" s="4" t="str">
        <f>IFERROR(__xludf.DUMMYFUNCTION("GOOGLETRANSLATE(A2847, ""en"", ""hi"")"),"मॉर्टन आयोडीन युक्त नमक")</f>
        <v>मॉर्टन आयोडीन युक्त नमक</v>
      </c>
      <c r="D2847" s="5"/>
      <c r="E2847" s="2" t="s">
        <v>4407</v>
      </c>
      <c r="F2847" s="1">
        <v>4.0</v>
      </c>
      <c r="G2847" s="3" t="s">
        <v>8570</v>
      </c>
    </row>
    <row r="2848">
      <c r="A2848" s="3" t="s">
        <v>8572</v>
      </c>
      <c r="B2848" s="4" t="str">
        <f>IFERROR(__xludf.DUMMYFUNCTION("GOOGLETRANSLATE(A2848, ""en"", ""te"")"),"సఫోలా మసాలా ఓట్స్ క్లాసిక్ మసాలా")</f>
        <v>సఫోలా మసాలా ఓట్స్ క్లాసిక్ మసాలా</v>
      </c>
      <c r="C2848" s="4" t="str">
        <f>IFERROR(__xludf.DUMMYFUNCTION("GOOGLETRANSLATE(A2848, ""en"", ""hi"")"),"सैफोला मसाला ओट्स क्लासिक मसाला")</f>
        <v>सैफोला मसाला ओट्स क्लासिक मसाला</v>
      </c>
      <c r="D2848" s="5"/>
      <c r="E2848" s="2" t="s">
        <v>940</v>
      </c>
      <c r="F2848" s="1">
        <v>4.0</v>
      </c>
      <c r="G2848" s="3" t="s">
        <v>8566</v>
      </c>
    </row>
    <row r="2849">
      <c r="A2849" s="3" t="s">
        <v>8573</v>
      </c>
      <c r="B2849" s="4" t="str">
        <f>IFERROR(__xludf.DUMMYFUNCTION("GOOGLETRANSLATE(A2849, ""en"", ""te"")"),"స్వాద్ సోయా వాడి సోయా చంక్స్")</f>
        <v>స్వాద్ సోయా వాడి సోయా చంక్స్</v>
      </c>
      <c r="C2849" s="4" t="str">
        <f>IFERROR(__xludf.DUMMYFUNCTION("GOOGLETRANSLATE(A2849, ""en"", ""hi"")"),"स्वाद सोया वड़ी सोया चंक्स")</f>
        <v>स्वाद सोया वड़ी सोया चंक्स</v>
      </c>
      <c r="D2849" s="5"/>
      <c r="E2849" s="2" t="s">
        <v>1038</v>
      </c>
      <c r="F2849" s="1">
        <v>4.0</v>
      </c>
      <c r="G2849" s="3" t="s">
        <v>8568</v>
      </c>
    </row>
    <row r="2850">
      <c r="A2850" s="3" t="s">
        <v>8574</v>
      </c>
      <c r="B2850" s="4" t="str">
        <f>IFERROR(__xludf.DUMMYFUNCTION("GOOGLETRANSLATE(A2850, ""en"", ""te"")"),"మెంతి పూరి (ప్యాక్ చేసిన చిరుతిండి)")</f>
        <v>మెంతి పూరి (ప్యాక్ చేసిన చిరుతిండి)</v>
      </c>
      <c r="C2850" s="4" t="str">
        <f>IFERROR(__xludf.DUMMYFUNCTION("GOOGLETRANSLATE(A2850, ""en"", ""hi"")"),"मेथी पूरी (पैकेज्ड स्नैक)")</f>
        <v>मेथी पूरी (पैकेज्ड स्नैक)</v>
      </c>
      <c r="D2850" s="5"/>
      <c r="E2850" s="2" t="s">
        <v>1294</v>
      </c>
      <c r="F2850" s="1">
        <v>4.0</v>
      </c>
      <c r="G2850" s="3" t="s">
        <v>8569</v>
      </c>
    </row>
    <row r="2851">
      <c r="A2851" s="3" t="s">
        <v>376</v>
      </c>
      <c r="B2851" s="4" t="str">
        <f>IFERROR(__xludf.DUMMYFUNCTION("GOOGLETRANSLATE(A2851, ""en"", ""te"")"),"అముల్ వెన్న")</f>
        <v>అముల్ వెన్న</v>
      </c>
      <c r="C2851" s="4" t="str">
        <f>IFERROR(__xludf.DUMMYFUNCTION("GOOGLETRANSLATE(A2851, ""en"", ""hi"")"),"अमूल मक्खन")</f>
        <v>अमूल मक्खन</v>
      </c>
      <c r="D2851" s="2" t="s">
        <v>8575</v>
      </c>
      <c r="E2851" s="2" t="s">
        <v>2369</v>
      </c>
      <c r="F2851" s="1">
        <v>4.0</v>
      </c>
      <c r="G2851" s="3" t="s">
        <v>8576</v>
      </c>
    </row>
    <row r="2852">
      <c r="A2852" s="3" t="s">
        <v>380</v>
      </c>
      <c r="B2852" s="4" t="str">
        <f>IFERROR(__xludf.DUMMYFUNCTION("GOOGLETRANSLATE(A2852, ""en"", ""te"")"),"అముల్ చీజ్")</f>
        <v>అముల్ చీజ్</v>
      </c>
      <c r="C2852" s="4" t="str">
        <f>IFERROR(__xludf.DUMMYFUNCTION("GOOGLETRANSLATE(A2852, ""en"", ""hi"")"),"अमूल चीज़")</f>
        <v>अमूल चीज़</v>
      </c>
      <c r="D2852" s="2" t="s">
        <v>8577</v>
      </c>
      <c r="E2852" s="2" t="s">
        <v>2369</v>
      </c>
      <c r="F2852" s="1">
        <v>4.0</v>
      </c>
      <c r="G2852" s="3" t="s">
        <v>8576</v>
      </c>
    </row>
    <row r="2853">
      <c r="A2853" s="3" t="s">
        <v>8578</v>
      </c>
      <c r="B2853" s="4" t="str">
        <f>IFERROR(__xludf.DUMMYFUNCTION("GOOGLETRANSLATE(A2853, ""en"", ""te"")"),"ప్రైమ్స్ ఇడ్లీ-దోస పిండి")</f>
        <v>ప్రైమ్స్ ఇడ్లీ-దోస పిండి</v>
      </c>
      <c r="C2853" s="4" t="str">
        <f>IFERROR(__xludf.DUMMYFUNCTION("GOOGLETRANSLATE(A2853, ""en"", ""hi"")"),"प्रियम्स इडली-डोसा बैटर")</f>
        <v>प्रियम्स इडली-डोसा बैटर</v>
      </c>
      <c r="D2853" s="2" t="s">
        <v>8429</v>
      </c>
      <c r="E2853" s="2" t="s">
        <v>2649</v>
      </c>
      <c r="F2853" s="1">
        <v>4.0</v>
      </c>
      <c r="G2853" s="3" t="s">
        <v>8546</v>
      </c>
    </row>
    <row r="2854">
      <c r="A2854" s="3" t="s">
        <v>8578</v>
      </c>
      <c r="B2854" s="4" t="str">
        <f>IFERROR(__xludf.DUMMYFUNCTION("GOOGLETRANSLATE(A2854, ""en"", ""te"")"),"ప్రైమ్స్ ఇడ్లీ-దోస పిండి")</f>
        <v>ప్రైమ్స్ ఇడ్లీ-దోస పిండి</v>
      </c>
      <c r="C2854" s="4" t="str">
        <f>IFERROR(__xludf.DUMMYFUNCTION("GOOGLETRANSLATE(A2854, ""en"", ""hi"")"),"प्रियम्स इडली-डोसा बैटर")</f>
        <v>प्रियम्स इडली-डोसा बैटर</v>
      </c>
      <c r="D2854" s="2" t="s">
        <v>8429</v>
      </c>
      <c r="E2854" s="2" t="s">
        <v>2649</v>
      </c>
      <c r="F2854" s="1">
        <v>4.0</v>
      </c>
      <c r="G2854" s="3" t="s">
        <v>8548</v>
      </c>
    </row>
    <row r="2855">
      <c r="A2855" s="3" t="s">
        <v>8579</v>
      </c>
      <c r="B2855" s="4" t="str">
        <f>IFERROR(__xludf.DUMMYFUNCTION("GOOGLETRANSLATE(A2855, ""en"", ""te"")"),"ప్రైమ్స్ ఆర్గానిక్ ఇడ్లీ-దోస పిండి")</f>
        <v>ప్రైమ్స్ ఆర్గానిక్ ఇడ్లీ-దోస పిండి</v>
      </c>
      <c r="C2855" s="4" t="str">
        <f>IFERROR(__xludf.DUMMYFUNCTION("GOOGLETRANSLATE(A2855, ""en"", ""hi"")"),"प्रायम्स ऑर्गेनिक इडली-डोसा बैटर")</f>
        <v>प्रायम्स ऑर्गेनिक इडली-डोसा बैटर</v>
      </c>
      <c r="D2855" s="2" t="s">
        <v>8580</v>
      </c>
      <c r="E2855" s="2" t="s">
        <v>2649</v>
      </c>
      <c r="F2855" s="1">
        <v>4.0</v>
      </c>
      <c r="G2855" s="3" t="s">
        <v>8548</v>
      </c>
    </row>
    <row r="2856">
      <c r="A2856" s="3" t="s">
        <v>8581</v>
      </c>
      <c r="B2856" s="4" t="str">
        <f>IFERROR(__xludf.DUMMYFUNCTION("GOOGLETRANSLATE(A2856, ""en"", ""te"")"),"మిల్క్-మావా పౌడర్")</f>
        <v>మిల్క్-మావా పౌడర్</v>
      </c>
      <c r="C2856" s="4" t="str">
        <f>IFERROR(__xludf.DUMMYFUNCTION("GOOGLETRANSLATE(A2856, ""en"", ""hi"")"),"दूध-मावा पाउडर")</f>
        <v>दूध-मावा पाउडर</v>
      </c>
      <c r="D2856" s="2" t="s">
        <v>8582</v>
      </c>
      <c r="E2856" s="2" t="s">
        <v>2369</v>
      </c>
      <c r="F2856" s="1">
        <v>4.0</v>
      </c>
      <c r="G2856" s="3" t="s">
        <v>8583</v>
      </c>
    </row>
    <row r="2857">
      <c r="A2857" s="3" t="s">
        <v>8584</v>
      </c>
      <c r="B2857" s="4" t="str">
        <f>IFERROR(__xludf.DUMMYFUNCTION("GOOGLETRANSLATE(A2857, ""en"", ""te"")"),"ప్రైమ్స్ నిమ్మకాయ ఊరగాయలు")</f>
        <v>ప్రైమ్స్ నిమ్మకాయ ఊరగాయలు</v>
      </c>
      <c r="C2857" s="4" t="str">
        <f>IFERROR(__xludf.DUMMYFUNCTION("GOOGLETRANSLATE(A2857, ""en"", ""hi"")"),"प्रियम्स लेमन पिकल्स")</f>
        <v>प्रियम्स लेमन पिकल्स</v>
      </c>
      <c r="D2857" s="2" t="s">
        <v>6844</v>
      </c>
      <c r="E2857" s="2" t="s">
        <v>996</v>
      </c>
      <c r="F2857" s="1">
        <v>4.0</v>
      </c>
      <c r="G2857" s="3" t="s">
        <v>8583</v>
      </c>
    </row>
    <row r="2858">
      <c r="A2858" s="3" t="s">
        <v>8585</v>
      </c>
      <c r="B2858" s="4" t="str">
        <f>IFERROR(__xludf.DUMMYFUNCTION("GOOGLETRANSLATE(A2858, ""en"", ""te"")"),"కరివేపాకు")</f>
        <v>కరివేపాకు</v>
      </c>
      <c r="C2858" s="4" t="str">
        <f>IFERROR(__xludf.DUMMYFUNCTION("GOOGLETRANSLATE(A2858, ""en"", ""hi"")"),"करी पत्ते")</f>
        <v>करी पत्ते</v>
      </c>
      <c r="D2858" s="5"/>
      <c r="E2858" s="2" t="s">
        <v>442</v>
      </c>
      <c r="F2858" s="1">
        <v>4.0</v>
      </c>
      <c r="G2858" s="3" t="s">
        <v>8586</v>
      </c>
    </row>
    <row r="2859">
      <c r="A2859" s="3" t="s">
        <v>4629</v>
      </c>
      <c r="B2859" s="4" t="str">
        <f>IFERROR(__xludf.DUMMYFUNCTION("GOOGLETRANSLATE(A2859, ""en"", ""te"")"),"పుదీనా")</f>
        <v>పుదీనా</v>
      </c>
      <c r="C2859" s="4" t="str">
        <f>IFERROR(__xludf.DUMMYFUNCTION("GOOGLETRANSLATE(A2859, ""en"", ""hi"")"),"पुदीना")</f>
        <v>पुदीना</v>
      </c>
      <c r="D2859" s="5"/>
      <c r="E2859" s="2" t="s">
        <v>442</v>
      </c>
      <c r="F2859" s="1">
        <v>4.0</v>
      </c>
      <c r="G2859" s="3" t="s">
        <v>8586</v>
      </c>
    </row>
    <row r="2860">
      <c r="A2860" s="3" t="s">
        <v>8549</v>
      </c>
      <c r="B2860" s="4" t="str">
        <f>IFERROR(__xludf.DUMMYFUNCTION("GOOGLETRANSLATE(A2860, ""en"", ""te"")"),"ముజ్జి పచ్చి ఉల్లిపాయలు")</f>
        <v>ముజ్జి పచ్చి ఉల్లిపాయలు</v>
      </c>
      <c r="C2860" s="4" t="str">
        <f>IFERROR(__xludf.DUMMYFUNCTION("GOOGLETRANSLATE(A2860, ""en"", ""hi"")"),"मुज़ी हरी प्याज")</f>
        <v>मुज़ी हरी प्याज</v>
      </c>
      <c r="D2860" s="5"/>
      <c r="E2860" s="2" t="s">
        <v>7005</v>
      </c>
      <c r="F2860" s="1">
        <v>4.0</v>
      </c>
      <c r="G2860" s="3" t="s">
        <v>8550</v>
      </c>
    </row>
    <row r="2861">
      <c r="A2861" s="3" t="s">
        <v>8587</v>
      </c>
      <c r="B2861" s="4" t="str">
        <f>IFERROR(__xludf.DUMMYFUNCTION("GOOGLETRANSLATE(A2861, ""en"", ""te"")"),"శ్రీ మల్టీ-గ్రెయిన్ రోటీ")</f>
        <v>శ్రీ మల్టీ-గ్రెయిన్ రోటీ</v>
      </c>
      <c r="C2861" s="4" t="str">
        <f>IFERROR(__xludf.DUMMYFUNCTION("GOOGLETRANSLATE(A2861, ""en"", ""hi"")"),"श्री मल्टी-ग्रेन रोटी")</f>
        <v>श्री मल्टी-ग्रेन रोटी</v>
      </c>
      <c r="D2861" s="2" t="s">
        <v>8588</v>
      </c>
      <c r="E2861" s="2" t="s">
        <v>2649</v>
      </c>
      <c r="F2861" s="1">
        <v>4.0</v>
      </c>
      <c r="G2861" s="3" t="s">
        <v>8589</v>
      </c>
    </row>
    <row r="2862">
      <c r="A2862" s="3" t="s">
        <v>8590</v>
      </c>
      <c r="B2862" s="4" t="str">
        <f>IFERROR(__xludf.DUMMYFUNCTION("GOOGLETRANSLATE(A2862, ""en"", ""te"")"),"శ్రీ ఫ్రెష్ రోటీ")</f>
        <v>శ్రీ ఫ్రెష్ రోటీ</v>
      </c>
      <c r="C2862" s="4" t="str">
        <f>IFERROR(__xludf.DUMMYFUNCTION("GOOGLETRANSLATE(A2862, ""en"", ""hi"")"),"श्री फ्रेश रोटी")</f>
        <v>श्री फ्रेश रोटी</v>
      </c>
      <c r="D2862" s="2" t="s">
        <v>8079</v>
      </c>
      <c r="E2862" s="2" t="s">
        <v>2649</v>
      </c>
      <c r="F2862" s="1">
        <v>4.0</v>
      </c>
      <c r="G2862" s="3" t="s">
        <v>8589</v>
      </c>
    </row>
    <row r="2863">
      <c r="A2863" s="3" t="s">
        <v>8591</v>
      </c>
      <c r="B2863" s="4" t="str">
        <f>IFERROR(__xludf.DUMMYFUNCTION("GOOGLETRANSLATE(A2863, ""en"", ""te"")"),"శ్రీ ఆల్వేస్-ఫ్రెష్ రోటీలు")</f>
        <v>శ్రీ ఆల్వేస్-ఫ్రెష్ రోటీలు</v>
      </c>
      <c r="C2863" s="4" t="str">
        <f>IFERROR(__xludf.DUMMYFUNCTION("GOOGLETRANSLATE(A2863, ""en"", ""hi"")"),"श्री ऑलवेज-फ्रेश रोटियां")</f>
        <v>श्री ऑलवेज-फ्रेश रोटियां</v>
      </c>
      <c r="D2863" s="2" t="s">
        <v>8079</v>
      </c>
      <c r="E2863" s="2" t="s">
        <v>2649</v>
      </c>
      <c r="F2863" s="1">
        <v>4.0</v>
      </c>
      <c r="G2863" s="3" t="s">
        <v>8589</v>
      </c>
    </row>
    <row r="2864">
      <c r="A2864" s="3" t="s">
        <v>8592</v>
      </c>
      <c r="B2864" s="4" t="str">
        <f>IFERROR(__xludf.DUMMYFUNCTION("GOOGLETRANSLATE(A2864, ""en"", ""te"")"),"ప్రైమ్స్ దోస పిండి")</f>
        <v>ప్రైమ్స్ దోస పిండి</v>
      </c>
      <c r="C2864" s="4" t="str">
        <f>IFERROR(__xludf.DUMMYFUNCTION("GOOGLETRANSLATE(A2864, ""en"", ""hi"")"),"प्रियम्स डोसा बैटर")</f>
        <v>प्रियम्स डोसा बैटर</v>
      </c>
      <c r="D2864" s="5"/>
      <c r="E2864" s="2" t="s">
        <v>2649</v>
      </c>
      <c r="F2864" s="1">
        <v>4.0</v>
      </c>
      <c r="G2864" s="3" t="s">
        <v>8593</v>
      </c>
    </row>
    <row r="2865">
      <c r="A2865" s="3" t="s">
        <v>376</v>
      </c>
      <c r="B2865" s="4" t="str">
        <f>IFERROR(__xludf.DUMMYFUNCTION("GOOGLETRANSLATE(A2865, ""en"", ""te"")"),"అముల్ వెన్న")</f>
        <v>అముల్ వెన్న</v>
      </c>
      <c r="C2865" s="4" t="str">
        <f>IFERROR(__xludf.DUMMYFUNCTION("GOOGLETRANSLATE(A2865, ""en"", ""hi"")"),"अमूल मक्खन")</f>
        <v>अमूल मक्खन</v>
      </c>
      <c r="D2865" s="2" t="s">
        <v>8575</v>
      </c>
      <c r="E2865" s="2" t="s">
        <v>2369</v>
      </c>
      <c r="F2865" s="1">
        <v>4.0</v>
      </c>
      <c r="G2865" s="3" t="s">
        <v>8594</v>
      </c>
    </row>
    <row r="2866">
      <c r="A2866" s="3" t="s">
        <v>380</v>
      </c>
      <c r="B2866" s="4" t="str">
        <f>IFERROR(__xludf.DUMMYFUNCTION("GOOGLETRANSLATE(A2866, ""en"", ""te"")"),"అముల్ చీజ్")</f>
        <v>అముల్ చీజ్</v>
      </c>
      <c r="C2866" s="4" t="str">
        <f>IFERROR(__xludf.DUMMYFUNCTION("GOOGLETRANSLATE(A2866, ""en"", ""hi"")"),"अमूल चीज़")</f>
        <v>अमूल चीज़</v>
      </c>
      <c r="D2866" s="2" t="s">
        <v>8577</v>
      </c>
      <c r="E2866" s="2" t="s">
        <v>2369</v>
      </c>
      <c r="F2866" s="1">
        <v>4.0</v>
      </c>
      <c r="G2866" s="3" t="s">
        <v>8594</v>
      </c>
    </row>
    <row r="2867">
      <c r="A2867" s="3" t="s">
        <v>8595</v>
      </c>
      <c r="B2867" s="4" t="str">
        <f>IFERROR(__xludf.DUMMYFUNCTION("GOOGLETRANSLATE(A2867, ""en"", ""te"")"),"బ్రార్ మలై పనీర్")</f>
        <v>బ్రార్ మలై పనీర్</v>
      </c>
      <c r="C2867" s="4" t="str">
        <f>IFERROR(__xludf.DUMMYFUNCTION("GOOGLETRANSLATE(A2867, ""en"", ""hi"")"),"बरार मलाई पनीर")</f>
        <v>बरार मलाई पनीर</v>
      </c>
      <c r="D2867" s="2" t="s">
        <v>8104</v>
      </c>
      <c r="E2867" s="2" t="s">
        <v>2369</v>
      </c>
      <c r="F2867" s="1">
        <v>4.0</v>
      </c>
      <c r="G2867" s="3" t="s">
        <v>8594</v>
      </c>
    </row>
    <row r="2868">
      <c r="A2868" s="3" t="s">
        <v>8578</v>
      </c>
      <c r="B2868" s="4" t="str">
        <f>IFERROR(__xludf.DUMMYFUNCTION("GOOGLETRANSLATE(A2868, ""en"", ""te"")"),"ప్రైమ్స్ ఇడ్లీ-దోస పిండి")</f>
        <v>ప్రైమ్స్ ఇడ్లీ-దోస పిండి</v>
      </c>
      <c r="C2868" s="4" t="str">
        <f>IFERROR(__xludf.DUMMYFUNCTION("GOOGLETRANSLATE(A2868, ""en"", ""hi"")"),"प्रियम्स इडली-डोसा बैटर")</f>
        <v>प्रियम्स इडली-डोसा बैटर</v>
      </c>
      <c r="D2868" s="2" t="s">
        <v>8429</v>
      </c>
      <c r="E2868" s="2" t="s">
        <v>2649</v>
      </c>
      <c r="F2868" s="1">
        <v>4.0</v>
      </c>
      <c r="G2868" s="3" t="s">
        <v>8594</v>
      </c>
    </row>
    <row r="2869">
      <c r="A2869" s="3" t="s">
        <v>8596</v>
      </c>
      <c r="B2869" s="4" t="str">
        <f>IFERROR(__xludf.DUMMYFUNCTION("GOOGLETRANSLATE(A2869, ""en"", ""te"")"),"ప్రైమ్స్ మామిడి ఊరగాయ")</f>
        <v>ప్రైమ్స్ మామిడి ఊరగాయ</v>
      </c>
      <c r="C2869" s="4" t="str">
        <f>IFERROR(__xludf.DUMMYFUNCTION("GOOGLETRANSLATE(A2869, ""en"", ""hi"")"),"प्रायम्स आम का अचार")</f>
        <v>प्रायम्स आम का अचार</v>
      </c>
      <c r="D2869" s="2" t="s">
        <v>5758</v>
      </c>
      <c r="E2869" s="2" t="s">
        <v>996</v>
      </c>
      <c r="F2869" s="1">
        <v>4.0</v>
      </c>
      <c r="G2869" s="3" t="s">
        <v>8583</v>
      </c>
    </row>
    <row r="2870">
      <c r="A2870" s="3" t="s">
        <v>8597</v>
      </c>
      <c r="B2870" s="4" t="str">
        <f>IFERROR(__xludf.DUMMYFUNCTION("GOOGLETRANSLATE(A2870, ""en"", ""te"")"),"ప్రైమ్స్ నిమ్మకాయ ఊరగాయ")</f>
        <v>ప్రైమ్స్ నిమ్మకాయ ఊరగాయ</v>
      </c>
      <c r="C2870" s="4" t="str">
        <f>IFERROR(__xludf.DUMMYFUNCTION("GOOGLETRANSLATE(A2870, ""en"", ""hi"")"),"प्रियम्स लेमन पिकल")</f>
        <v>प्रियम्स लेमन पिकल</v>
      </c>
      <c r="D2870" s="2" t="s">
        <v>6844</v>
      </c>
      <c r="E2870" s="2" t="s">
        <v>996</v>
      </c>
      <c r="F2870" s="1">
        <v>4.0</v>
      </c>
      <c r="G2870" s="3" t="s">
        <v>8583</v>
      </c>
    </row>
    <row r="2871">
      <c r="A2871" s="3" t="s">
        <v>8590</v>
      </c>
      <c r="B2871" s="4" t="str">
        <f>IFERROR(__xludf.DUMMYFUNCTION("GOOGLETRANSLATE(A2871, ""en"", ""te"")"),"శ్రీ ఫ్రెష్ రోటీ")</f>
        <v>శ్రీ ఫ్రెష్ రోటీ</v>
      </c>
      <c r="C2871" s="4" t="str">
        <f>IFERROR(__xludf.DUMMYFUNCTION("GOOGLETRANSLATE(A2871, ""en"", ""hi"")"),"श्री फ्रेश रोटी")</f>
        <v>श्री फ्रेश रोटी</v>
      </c>
      <c r="D2871" s="2" t="s">
        <v>8079</v>
      </c>
      <c r="E2871" s="2" t="s">
        <v>2649</v>
      </c>
      <c r="F2871" s="1">
        <v>4.0</v>
      </c>
      <c r="G2871" s="3" t="s">
        <v>8586</v>
      </c>
    </row>
    <row r="2872">
      <c r="A2872" s="3" t="s">
        <v>8598</v>
      </c>
      <c r="B2872" s="4" t="str">
        <f>IFERROR(__xludf.DUMMYFUNCTION("GOOGLETRANSLATE(A2872, ""en"", ""te"")"),"సేంద్రీయ మొలకెత్తిన గోధుమలు")</f>
        <v>సేంద్రీయ మొలకెత్తిన గోధుమలు</v>
      </c>
      <c r="C2872" s="4" t="str">
        <f>IFERROR(__xludf.DUMMYFUNCTION("GOOGLETRANSLATE(A2872, ""en"", ""hi"")"),"जैविक अंकुरित गेहूं")</f>
        <v>जैविक अंकुरित गेहूं</v>
      </c>
      <c r="D2872" s="2" t="s">
        <v>8599</v>
      </c>
      <c r="E2872" s="2" t="s">
        <v>67</v>
      </c>
      <c r="F2872" s="1">
        <v>4.0</v>
      </c>
      <c r="G2872" s="3" t="s">
        <v>8586</v>
      </c>
    </row>
    <row r="2873">
      <c r="A2873" s="3" t="s">
        <v>8600</v>
      </c>
      <c r="B2873" s="4" t="str">
        <f>IFERROR(__xludf.DUMMYFUNCTION("GOOGLETRANSLATE(A2873, ""en"", ""te"")"),"స్వాద్ పనీర్")</f>
        <v>స్వాద్ పనీర్</v>
      </c>
      <c r="C2873" s="4" t="str">
        <f>IFERROR(__xludf.DUMMYFUNCTION("GOOGLETRANSLATE(A2873, ""en"", ""hi"")"),"स्वाद पनीर")</f>
        <v>स्वाद पनीर</v>
      </c>
      <c r="D2873" s="2" t="s">
        <v>1961</v>
      </c>
      <c r="E2873" s="2" t="s">
        <v>2369</v>
      </c>
      <c r="F2873" s="1">
        <v>4.0</v>
      </c>
      <c r="G2873" s="3" t="s">
        <v>8601</v>
      </c>
    </row>
    <row r="2874">
      <c r="A2874" s="3" t="s">
        <v>8602</v>
      </c>
      <c r="B2874" s="4" t="str">
        <f>IFERROR(__xludf.DUMMYFUNCTION("GOOGLETRANSLATE(A2874, ""en"", ""te"")"),"బ్రార్ మలై పనీర్")</f>
        <v>బ్రార్ మలై పనీర్</v>
      </c>
      <c r="C2874" s="4" t="str">
        <f>IFERROR(__xludf.DUMMYFUNCTION("GOOGLETRANSLATE(A2874, ""en"", ""hi"")"),"ब्रार का मलाई पनीर")</f>
        <v>ब्रार का मलाई पनीर</v>
      </c>
      <c r="D2874" s="2" t="s">
        <v>8104</v>
      </c>
      <c r="E2874" s="2" t="s">
        <v>2369</v>
      </c>
      <c r="F2874" s="1">
        <v>4.0</v>
      </c>
      <c r="G2874" s="3" t="s">
        <v>8601</v>
      </c>
    </row>
    <row r="2875">
      <c r="A2875" s="3" t="s">
        <v>8603</v>
      </c>
      <c r="B2875" s="4" t="str">
        <f>IFERROR(__xludf.DUMMYFUNCTION("GOOGLETRANSLATE(A2875, ""en"", ""te"")"),"స్వాద్ ఫ్రెష్ పనీర్")</f>
        <v>స్వాద్ ఫ్రెష్ పనీర్</v>
      </c>
      <c r="C2875" s="4" t="str">
        <f>IFERROR(__xludf.DUMMYFUNCTION("GOOGLETRANSLATE(A2875, ""en"", ""hi"")"),"स्वाद फ्रेश पनीर")</f>
        <v>स्वाद फ्रेश पनीर</v>
      </c>
      <c r="D2875" s="2" t="s">
        <v>1961</v>
      </c>
      <c r="E2875" s="2" t="s">
        <v>2369</v>
      </c>
      <c r="F2875" s="1">
        <v>4.0</v>
      </c>
      <c r="G2875" s="3" t="s">
        <v>8601</v>
      </c>
    </row>
    <row r="2876">
      <c r="A2876" s="3" t="s">
        <v>376</v>
      </c>
      <c r="B2876" s="4" t="str">
        <f>IFERROR(__xludf.DUMMYFUNCTION("GOOGLETRANSLATE(A2876, ""en"", ""te"")"),"అముల్ వెన్న")</f>
        <v>అముల్ వెన్న</v>
      </c>
      <c r="C2876" s="4" t="str">
        <f>IFERROR(__xludf.DUMMYFUNCTION("GOOGLETRANSLATE(A2876, ""en"", ""hi"")"),"अमूल मक्खन")</f>
        <v>अमूल मक्खन</v>
      </c>
      <c r="D2876" s="2" t="s">
        <v>8575</v>
      </c>
      <c r="E2876" s="2" t="s">
        <v>2369</v>
      </c>
      <c r="F2876" s="1">
        <v>4.0</v>
      </c>
      <c r="G2876" s="3" t="s">
        <v>8601</v>
      </c>
    </row>
    <row r="2877">
      <c r="A2877" s="3" t="s">
        <v>8604</v>
      </c>
      <c r="B2877" s="4" t="str">
        <f>IFERROR(__xludf.DUMMYFUNCTION("GOOGLETRANSLATE(A2877, ""en"", ""te"")"),"లక్ష్మి వెన్న")</f>
        <v>లక్ష్మి వెన్న</v>
      </c>
      <c r="C2877" s="4" t="str">
        <f>IFERROR(__xludf.DUMMYFUNCTION("GOOGLETRANSLATE(A2877, ""en"", ""hi"")"),"लक्ष्मी बटर")</f>
        <v>लक्ष्मी बटर</v>
      </c>
      <c r="D2877" s="2" t="s">
        <v>8605</v>
      </c>
      <c r="E2877" s="2" t="s">
        <v>54</v>
      </c>
      <c r="F2877" s="1">
        <v>4.0</v>
      </c>
      <c r="G2877" s="3" t="s">
        <v>8601</v>
      </c>
    </row>
    <row r="2878">
      <c r="A2878" s="3" t="s">
        <v>8486</v>
      </c>
      <c r="B2878" s="4" t="str">
        <f>IFERROR(__xludf.DUMMYFUNCTION("GOOGLETRANSLATE(A2878, ""en"", ""te"")"),"నానక్ పనీర్")</f>
        <v>నానక్ పనీర్</v>
      </c>
      <c r="C2878" s="4" t="str">
        <f>IFERROR(__xludf.DUMMYFUNCTION("GOOGLETRANSLATE(A2878, ""en"", ""hi"")"),"नानक पनीर")</f>
        <v>नानक पनीर</v>
      </c>
      <c r="D2878" s="2" t="s">
        <v>1961</v>
      </c>
      <c r="E2878" s="2" t="s">
        <v>2369</v>
      </c>
      <c r="F2878" s="1">
        <v>4.0</v>
      </c>
      <c r="G2878" s="3" t="s">
        <v>8606</v>
      </c>
    </row>
    <row r="2879">
      <c r="A2879" s="3" t="s">
        <v>8607</v>
      </c>
      <c r="B2879" s="4" t="str">
        <f>IFERROR(__xludf.DUMMYFUNCTION("GOOGLETRANSLATE(A2879, ""en"", ""te"")"),"సాబ్ పనీర్")</f>
        <v>సాబ్ పనీర్</v>
      </c>
      <c r="C2879" s="4" t="str">
        <f>IFERROR(__xludf.DUMMYFUNCTION("GOOGLETRANSLATE(A2879, ""en"", ""hi"")"),"साब पनीर")</f>
        <v>साब पनीर</v>
      </c>
      <c r="D2879" s="2" t="s">
        <v>8104</v>
      </c>
      <c r="E2879" s="2" t="s">
        <v>940</v>
      </c>
      <c r="F2879" s="1">
        <v>4.0</v>
      </c>
      <c r="G2879" s="3" t="s">
        <v>8608</v>
      </c>
    </row>
    <row r="2880">
      <c r="A2880" s="3" t="s">
        <v>2081</v>
      </c>
      <c r="B2880" s="4" t="str">
        <f>IFERROR(__xludf.DUMMYFUNCTION("GOOGLETRANSLATE(A2880, ""en"", ""te"")"),"కొత్తిమీర")</f>
        <v>కొత్తిమీర</v>
      </c>
      <c r="C2880" s="4" t="str">
        <f>IFERROR(__xludf.DUMMYFUNCTION("GOOGLETRANSLATE(A2880, ""en"", ""hi"")"),"धनिया")</f>
        <v>धनिया</v>
      </c>
      <c r="D2880" s="2" t="s">
        <v>1609</v>
      </c>
      <c r="E2880" s="2" t="s">
        <v>442</v>
      </c>
      <c r="F2880" s="1">
        <v>4.0</v>
      </c>
      <c r="G2880" s="3" t="s">
        <v>8609</v>
      </c>
    </row>
    <row r="2881">
      <c r="A2881" s="3" t="s">
        <v>8590</v>
      </c>
      <c r="B2881" s="4" t="str">
        <f>IFERROR(__xludf.DUMMYFUNCTION("GOOGLETRANSLATE(A2881, ""en"", ""te"")"),"శ్రీ ఫ్రెష్ రోటీ")</f>
        <v>శ్రీ ఫ్రెష్ రోటీ</v>
      </c>
      <c r="C2881" s="4" t="str">
        <f>IFERROR(__xludf.DUMMYFUNCTION("GOOGLETRANSLATE(A2881, ""en"", ""hi"")"),"श्री फ्रेश रोटी")</f>
        <v>श्री फ्रेश रोटी</v>
      </c>
      <c r="D2881" s="2" t="s">
        <v>8079</v>
      </c>
      <c r="E2881" s="2" t="s">
        <v>2649</v>
      </c>
      <c r="F2881" s="1">
        <v>4.0</v>
      </c>
      <c r="G2881" s="3" t="s">
        <v>8610</v>
      </c>
    </row>
    <row r="2882">
      <c r="A2882" s="3" t="s">
        <v>8611</v>
      </c>
      <c r="B2882" s="4" t="str">
        <f>IFERROR(__xludf.DUMMYFUNCTION("GOOGLETRANSLATE(A2882, ""en"", ""te"")"),"శ్రీ మల్టీ-గ్రెయిన్స్ రోటీ")</f>
        <v>శ్రీ మల్టీ-గ్రెయిన్స్ రోటీ</v>
      </c>
      <c r="C2882" s="4" t="str">
        <f>IFERROR(__xludf.DUMMYFUNCTION("GOOGLETRANSLATE(A2882, ""en"", ""hi"")"),"श्री मल्टी-ग्रेन्स रोटी")</f>
        <v>श्री मल्टी-ग्रेन्स रोटी</v>
      </c>
      <c r="D2882" s="2" t="s">
        <v>8588</v>
      </c>
      <c r="E2882" s="2" t="s">
        <v>2649</v>
      </c>
      <c r="F2882" s="1">
        <v>4.0</v>
      </c>
      <c r="G2882" s="3" t="s">
        <v>8610</v>
      </c>
    </row>
    <row r="2883">
      <c r="A2883" s="3" t="s">
        <v>8600</v>
      </c>
      <c r="B2883" s="4" t="str">
        <f>IFERROR(__xludf.DUMMYFUNCTION("GOOGLETRANSLATE(A2883, ""en"", ""te"")"),"స్వాద్ పనీర్")</f>
        <v>స్వాద్ పనీర్</v>
      </c>
      <c r="C2883" s="4" t="str">
        <f>IFERROR(__xludf.DUMMYFUNCTION("GOOGLETRANSLATE(A2883, ""en"", ""hi"")"),"स्वाद पनीर")</f>
        <v>स्वाद पनीर</v>
      </c>
      <c r="D2883" s="2" t="s">
        <v>1961</v>
      </c>
      <c r="E2883" s="2" t="s">
        <v>2369</v>
      </c>
      <c r="F2883" s="1">
        <v>4.0</v>
      </c>
      <c r="G2883" s="3" t="s">
        <v>8606</v>
      </c>
    </row>
    <row r="2884">
      <c r="A2884" s="3" t="s">
        <v>8612</v>
      </c>
      <c r="B2884" s="4" t="str">
        <f>IFERROR(__xludf.DUMMYFUNCTION("GOOGLETRANSLATE(A2884, ""en"", ""te"")"),"బ్రజ్ మలై పనీర్")</f>
        <v>బ్రజ్ మలై పనీర్</v>
      </c>
      <c r="C2884" s="4" t="str">
        <f>IFERROR(__xludf.DUMMYFUNCTION("GOOGLETRANSLATE(A2884, ""en"", ""hi"")"),"ब्रज मलाई पनीर")</f>
        <v>ब्रज मलाई पनीर</v>
      </c>
      <c r="D2884" s="2" t="s">
        <v>8613</v>
      </c>
      <c r="E2884" s="2" t="s">
        <v>2369</v>
      </c>
      <c r="F2884" s="1">
        <v>4.0</v>
      </c>
      <c r="G2884" s="3" t="s">
        <v>8606</v>
      </c>
    </row>
    <row r="2885">
      <c r="A2885" s="3" t="s">
        <v>8614</v>
      </c>
      <c r="B2885" s="4" t="str">
        <f>IFERROR(__xludf.DUMMYFUNCTION("GOOGLETRANSLATE(A2885, ""en"", ""te"")"),"అముల్ నీటి గేదె మరియు ఆవు పాల వెన్న")</f>
        <v>అముల్ నీటి గేదె మరియు ఆవు పాల వెన్న</v>
      </c>
      <c r="C2885" s="4" t="str">
        <f>IFERROR(__xludf.DUMMYFUNCTION("GOOGLETRANSLATE(A2885, ""en"", ""hi"")"),"अमूल भैंस और गाय के दूध का मक्खन")</f>
        <v>अमूल भैंस और गाय के दूध का मक्खन</v>
      </c>
      <c r="D2885" s="2" t="s">
        <v>8605</v>
      </c>
      <c r="E2885" s="2" t="s">
        <v>2369</v>
      </c>
      <c r="F2885" s="1">
        <v>4.0</v>
      </c>
      <c r="G2885" s="3" t="s">
        <v>8606</v>
      </c>
    </row>
    <row r="2886">
      <c r="A2886" s="3" t="s">
        <v>8615</v>
      </c>
      <c r="B2886" s="4" t="str">
        <f>IFERROR(__xludf.DUMMYFUNCTION("GOOGLETRANSLATE(A2886, ""en"", ""te"")"),"నానక్ మలై పనీర్")</f>
        <v>నానక్ మలై పనీర్</v>
      </c>
      <c r="C2886" s="4" t="str">
        <f>IFERROR(__xludf.DUMMYFUNCTION("GOOGLETRANSLATE(A2886, ""en"", ""hi"")"),"नानक मलाई पनीर")</f>
        <v>नानक मलाई पनीर</v>
      </c>
      <c r="D2886" s="2" t="s">
        <v>8104</v>
      </c>
      <c r="E2886" s="2" t="s">
        <v>2369</v>
      </c>
      <c r="F2886" s="1">
        <v>4.0</v>
      </c>
      <c r="G2886" s="3" t="s">
        <v>8608</v>
      </c>
    </row>
    <row r="2887">
      <c r="A2887" s="3" t="s">
        <v>8486</v>
      </c>
      <c r="B2887" s="4" t="str">
        <f>IFERROR(__xludf.DUMMYFUNCTION("GOOGLETRANSLATE(A2887, ""en"", ""te"")"),"నానక్ పనీర్")</f>
        <v>నానక్ పనీర్</v>
      </c>
      <c r="C2887" s="4" t="str">
        <f>IFERROR(__xludf.DUMMYFUNCTION("GOOGLETRANSLATE(A2887, ""en"", ""hi"")"),"नानक पनीर")</f>
        <v>नानक पनीर</v>
      </c>
      <c r="D2887" s="2" t="s">
        <v>1961</v>
      </c>
      <c r="E2887" s="2" t="s">
        <v>2369</v>
      </c>
      <c r="F2887" s="1">
        <v>4.0</v>
      </c>
      <c r="G2887" s="3" t="s">
        <v>8608</v>
      </c>
    </row>
    <row r="2888">
      <c r="A2888" s="3" t="s">
        <v>8616</v>
      </c>
      <c r="B2888" s="4" t="str">
        <f>IFERROR(__xludf.DUMMYFUNCTION("GOOGLETRANSLATE(A2888, ""en"", ""te"")"),"డీప్ మిల్క్-మావా పౌడర్")</f>
        <v>డీప్ మిల్క్-మావా పౌడర్</v>
      </c>
      <c r="C2888" s="4" t="str">
        <f>IFERROR(__xludf.DUMMYFUNCTION("GOOGLETRANSLATE(A2888, ""en"", ""hi"")"),"डीप मिल्क-मावा पाउडर")</f>
        <v>डीप मिल्क-मावा पाउडर</v>
      </c>
      <c r="D2888" s="5"/>
      <c r="E2888" s="2" t="s">
        <v>2369</v>
      </c>
      <c r="F2888" s="1">
        <v>4.0</v>
      </c>
      <c r="G2888" s="3" t="s">
        <v>8608</v>
      </c>
    </row>
    <row r="2889">
      <c r="A2889" s="3" t="s">
        <v>8590</v>
      </c>
      <c r="B2889" s="4" t="str">
        <f>IFERROR(__xludf.DUMMYFUNCTION("GOOGLETRANSLATE(A2889, ""en"", ""te"")"),"శ్రీ ఫ్రెష్ రోటీ")</f>
        <v>శ్రీ ఫ్రెష్ రోటీ</v>
      </c>
      <c r="C2889" s="4" t="str">
        <f>IFERROR(__xludf.DUMMYFUNCTION("GOOGLETRANSLATE(A2889, ""en"", ""hi"")"),"श्री फ्रेश रोटी")</f>
        <v>श्री फ्रेश रोटी</v>
      </c>
      <c r="D2889" s="2" t="s">
        <v>8079</v>
      </c>
      <c r="E2889" s="2" t="s">
        <v>2649</v>
      </c>
      <c r="F2889" s="1">
        <v>4.0</v>
      </c>
      <c r="G2889" s="3" t="s">
        <v>8609</v>
      </c>
    </row>
    <row r="2890">
      <c r="A2890" s="3" t="s">
        <v>8611</v>
      </c>
      <c r="B2890" s="4" t="str">
        <f>IFERROR(__xludf.DUMMYFUNCTION("GOOGLETRANSLATE(A2890, ""en"", ""te"")"),"శ్రీ మల్టీ-గ్రెయిన్స్ రోటీ")</f>
        <v>శ్రీ మల్టీ-గ్రెయిన్స్ రోటీ</v>
      </c>
      <c r="C2890" s="4" t="str">
        <f>IFERROR(__xludf.DUMMYFUNCTION("GOOGLETRANSLATE(A2890, ""en"", ""hi"")"),"श्री मल्टी-ग्रेन्स रोटी")</f>
        <v>श्री मल्टी-ग्रेन्स रोटी</v>
      </c>
      <c r="D2890" s="2" t="s">
        <v>8588</v>
      </c>
      <c r="E2890" s="2" t="s">
        <v>2649</v>
      </c>
      <c r="F2890" s="1">
        <v>4.0</v>
      </c>
      <c r="G2890" s="3" t="s">
        <v>8609</v>
      </c>
    </row>
    <row r="2891">
      <c r="A2891" s="3" t="s">
        <v>1523</v>
      </c>
      <c r="B2891" s="4" t="str">
        <f>IFERROR(__xludf.DUMMYFUNCTION("GOOGLETRANSLATE(A2891, ""en"", ""te"")"),"బ్రిటానియా మేరీ గోల్డ్")</f>
        <v>బ్రిటానియా మేరీ గోల్డ్</v>
      </c>
      <c r="C2891" s="4" t="str">
        <f>IFERROR(__xludf.DUMMYFUNCTION("GOOGLETRANSLATE(A2891, ""en"", ""hi"")"),"ब्रिटानिया मैरी गोल्ड")</f>
        <v>ब्रिटानिया मैरी गोल्ड</v>
      </c>
      <c r="D2891" s="2" t="s">
        <v>4099</v>
      </c>
      <c r="E2891" s="2" t="s">
        <v>4100</v>
      </c>
      <c r="F2891" s="1">
        <v>4.0</v>
      </c>
      <c r="G2891" s="3" t="s">
        <v>8617</v>
      </c>
    </row>
    <row r="2892">
      <c r="A2892" s="3" t="s">
        <v>8618</v>
      </c>
      <c r="B2892" s="4" t="str">
        <f>IFERROR(__xludf.DUMMYFUNCTION("GOOGLETRANSLATE(A2892, ""en"", ""te"")"),"బ్రిటానియా వెనీలా ఫ్లేవర్ కేక్‌ను మింగేసింది")</f>
        <v>బ్రిటానియా వెనీలా ఫ్లేవర్ కేక్‌ను మింగేసింది</v>
      </c>
      <c r="C2892" s="4" t="str">
        <f>IFERROR(__xludf.DUMMYFUNCTION("GOOGLETRANSLATE(A2892, ""en"", ""hi"")"),"ब्रिटानिया गोबल्स वनीला फ्लेवर केक")</f>
        <v>ब्रिटानिया गोबल्स वनीला फ्लेवर केक</v>
      </c>
      <c r="D2892" s="2" t="s">
        <v>8619</v>
      </c>
      <c r="E2892" s="2" t="s">
        <v>4100</v>
      </c>
      <c r="F2892" s="1">
        <v>4.0</v>
      </c>
      <c r="G2892" s="3" t="s">
        <v>8617</v>
      </c>
    </row>
    <row r="2893">
      <c r="A2893" s="3" t="s">
        <v>8620</v>
      </c>
      <c r="B2893" s="4" t="str">
        <f>IFERROR(__xludf.DUMMYFUNCTION("GOOGLETRANSLATE(A2893, ""en"", ""te"")"),"బ్రిటానియా గోబుల్స్ డబుల్ చాకో కేక్")</f>
        <v>బ్రిటానియా గోబుల్స్ డబుల్ చాకో కేక్</v>
      </c>
      <c r="C2893" s="4" t="str">
        <f>IFERROR(__xludf.DUMMYFUNCTION("GOOGLETRANSLATE(A2893, ""en"", ""hi"")"),"ब्रिटानिया गोबल्स डबल चोको केक")</f>
        <v>ब्रिटानिया गोबल्स डबल चोको केक</v>
      </c>
      <c r="D2893" s="5"/>
      <c r="E2893" s="2" t="s">
        <v>4100</v>
      </c>
      <c r="F2893" s="1">
        <v>4.0</v>
      </c>
      <c r="G2893" s="3" t="s">
        <v>8617</v>
      </c>
    </row>
    <row r="2894">
      <c r="A2894" s="3" t="s">
        <v>8621</v>
      </c>
      <c r="B2894" s="4" t="str">
        <f>IFERROR(__xludf.DUMMYFUNCTION("GOOGLETRANSLATE(A2894, ""en"", ""te"")"),"డైలీ డిలైట్ జాక్‌ఫ్రూట్ కేక్")</f>
        <v>డైలీ డిలైట్ జాక్‌ఫ్రూట్ కేక్</v>
      </c>
      <c r="C2894" s="4" t="str">
        <f>IFERROR(__xludf.DUMMYFUNCTION("GOOGLETRANSLATE(A2894, ""en"", ""hi"")"),"डेली डिलाइट कटहल केक")</f>
        <v>डेली डिलाइट कटहल केक</v>
      </c>
      <c r="D2894" s="5"/>
      <c r="E2894" s="2" t="s">
        <v>3438</v>
      </c>
      <c r="F2894" s="1">
        <v>4.0</v>
      </c>
      <c r="G2894" s="3" t="s">
        <v>8622</v>
      </c>
    </row>
    <row r="2895">
      <c r="A2895" s="3" t="s">
        <v>8623</v>
      </c>
      <c r="B2895" s="4" t="str">
        <f>IFERROR(__xludf.DUMMYFUNCTION("GOOGLETRANSLATE(A2895, ""en"", ""te"")"),"డైలీ డిలైట్ ప్లమ్ స్పెషల్")</f>
        <v>డైలీ డిలైట్ ప్లమ్ స్పెషల్</v>
      </c>
      <c r="C2895" s="4" t="str">
        <f>IFERROR(__xludf.DUMMYFUNCTION("GOOGLETRANSLATE(A2895, ""en"", ""hi"")"),"डेली डिलाइट प्लम स्पेशल")</f>
        <v>डेली डिलाइट प्लम स्पेशल</v>
      </c>
      <c r="D2895" s="5"/>
      <c r="E2895" s="2" t="s">
        <v>3438</v>
      </c>
      <c r="F2895" s="1">
        <v>4.0</v>
      </c>
      <c r="G2895" s="3" t="s">
        <v>8622</v>
      </c>
    </row>
    <row r="2896">
      <c r="A2896" s="3" t="s">
        <v>8621</v>
      </c>
      <c r="B2896" s="4" t="str">
        <f>IFERROR(__xludf.DUMMYFUNCTION("GOOGLETRANSLATE(A2896, ""en"", ""te"")"),"డైలీ డిలైట్ జాక్‌ఫ్రూట్ కేక్")</f>
        <v>డైలీ డిలైట్ జాక్‌ఫ్రూట్ కేక్</v>
      </c>
      <c r="C2896" s="4" t="str">
        <f>IFERROR(__xludf.DUMMYFUNCTION("GOOGLETRANSLATE(A2896, ""en"", ""hi"")"),"डेली डिलाइट कटहल केक")</f>
        <v>डेली डिलाइट कटहल केक</v>
      </c>
      <c r="D2896" s="5"/>
      <c r="E2896" s="2" t="s">
        <v>3438</v>
      </c>
      <c r="F2896" s="1">
        <v>4.0</v>
      </c>
      <c r="G2896" s="3" t="s">
        <v>8624</v>
      </c>
    </row>
    <row r="2897">
      <c r="A2897" s="3" t="s">
        <v>8623</v>
      </c>
      <c r="B2897" s="4" t="str">
        <f>IFERROR(__xludf.DUMMYFUNCTION("GOOGLETRANSLATE(A2897, ""en"", ""te"")"),"డైలీ డిలైట్ ప్లమ్ స్పెషల్")</f>
        <v>డైలీ డిలైట్ ప్లమ్ స్పెషల్</v>
      </c>
      <c r="C2897" s="4" t="str">
        <f>IFERROR(__xludf.DUMMYFUNCTION("GOOGLETRANSLATE(A2897, ""en"", ""hi"")"),"डेली डिलाइट प्लम स्पेशल")</f>
        <v>डेली डिलाइट प्लम स्पेशल</v>
      </c>
      <c r="D2897" s="5"/>
      <c r="E2897" s="2" t="s">
        <v>3438</v>
      </c>
      <c r="F2897" s="1">
        <v>4.0</v>
      </c>
      <c r="G2897" s="3" t="s">
        <v>8624</v>
      </c>
    </row>
    <row r="2898">
      <c r="A2898" s="3" t="s">
        <v>3937</v>
      </c>
      <c r="B2898" s="4" t="str">
        <f>IFERROR(__xludf.DUMMYFUNCTION("GOOGLETRANSLATE(A2898, ""en"", ""te"")"),"కరేలా")</f>
        <v>కరేలా</v>
      </c>
      <c r="C2898" s="4" t="str">
        <f>IFERROR(__xludf.DUMMYFUNCTION("GOOGLETRANSLATE(A2898, ""en"", ""hi"")"),"करेले")</f>
        <v>करेले</v>
      </c>
      <c r="D2898" s="5"/>
      <c r="E2898" s="2" t="s">
        <v>1038</v>
      </c>
      <c r="F2898" s="1">
        <v>4.0</v>
      </c>
      <c r="G2898" s="3" t="s">
        <v>8625</v>
      </c>
    </row>
    <row r="2899">
      <c r="A2899" s="3" t="s">
        <v>8626</v>
      </c>
      <c r="B2899" s="4" t="str">
        <f>IFERROR(__xludf.DUMMYFUNCTION("GOOGLETRANSLATE(A2899, ""en"", ""te"")"),"నిమ్మకాయలు (Y)")</f>
        <v>నిమ్మకాయలు (Y)</v>
      </c>
      <c r="C2899" s="4" t="str">
        <f>IFERROR(__xludf.DUMMYFUNCTION("GOOGLETRANSLATE(A2899, ""en"", ""hi"")"),"नींबू (वाई)")</f>
        <v>नींबू (वाई)</v>
      </c>
      <c r="D2899" s="5"/>
      <c r="E2899" s="2" t="s">
        <v>7005</v>
      </c>
      <c r="F2899" s="1">
        <v>4.0</v>
      </c>
      <c r="G2899" s="3" t="s">
        <v>8625</v>
      </c>
    </row>
    <row r="2900">
      <c r="A2900" s="3" t="s">
        <v>8627</v>
      </c>
      <c r="B2900" s="4" t="str">
        <f>IFERROR(__xludf.DUMMYFUNCTION("GOOGLETRANSLATE(A2900, ""en"", ""te"")"),"నిమ్మకాయలు (గ్రా)")</f>
        <v>నిమ్మకాయలు (గ్రా)</v>
      </c>
      <c r="C2900" s="4" t="str">
        <f>IFERROR(__xludf.DUMMYFUNCTION("GOOGLETRANSLATE(A2900, ""en"", ""hi"")"),"नींबू (ग्रीक)")</f>
        <v>नींबू (ग्रीक)</v>
      </c>
      <c r="D2900" s="5"/>
      <c r="E2900" s="2" t="s">
        <v>7005</v>
      </c>
      <c r="F2900" s="1">
        <v>4.0</v>
      </c>
      <c r="G2900" s="3" t="s">
        <v>8625</v>
      </c>
    </row>
    <row r="2901">
      <c r="A2901" s="3" t="s">
        <v>8628</v>
      </c>
      <c r="B2901" s="4" t="str">
        <f>IFERROR(__xludf.DUMMYFUNCTION("GOOGLETRANSLATE(A2901, ""en"", ""te"")"),"బీన్స్")</f>
        <v>బీన్స్</v>
      </c>
      <c r="C2901" s="4" t="str">
        <f>IFERROR(__xludf.DUMMYFUNCTION("GOOGLETRANSLATE(A2901, ""en"", ""hi"")"),"फलियाँ")</f>
        <v>फलियाँ</v>
      </c>
      <c r="D2901" s="5"/>
      <c r="E2901" s="2" t="s">
        <v>1038</v>
      </c>
      <c r="F2901" s="1">
        <v>4.0</v>
      </c>
      <c r="G2901" s="3" t="s">
        <v>8625</v>
      </c>
    </row>
    <row r="2902">
      <c r="A2902" s="3" t="s">
        <v>8629</v>
      </c>
      <c r="B2902" s="4" t="str">
        <f>IFERROR(__xludf.DUMMYFUNCTION("GOOGLETRANSLATE(A2902, ""en"", ""te"")"),"చిన్న మిరపకాయ")</f>
        <v>చిన్న మిరపకాయ</v>
      </c>
      <c r="C2902" s="4" t="str">
        <f>IFERROR(__xludf.DUMMYFUNCTION("GOOGLETRANSLATE(A2902, ""en"", ""hi"")"),"छोटी मिर्च")</f>
        <v>छोटी मिर्च</v>
      </c>
      <c r="D2902" s="5"/>
      <c r="E2902" s="2" t="s">
        <v>442</v>
      </c>
      <c r="F2902" s="1">
        <v>4.0</v>
      </c>
      <c r="G2902" s="3" t="s">
        <v>8625</v>
      </c>
    </row>
    <row r="2903">
      <c r="A2903" s="3" t="s">
        <v>8630</v>
      </c>
      <c r="B2903" s="4" t="str">
        <f>IFERROR(__xludf.DUMMYFUNCTION("GOOGLETRANSLATE(A2903, ""en"", ""te"")"),"మెడ్ చిల్లీ")</f>
        <v>మెడ్ చిల్లీ</v>
      </c>
      <c r="C2903" s="4" t="str">
        <f>IFERROR(__xludf.DUMMYFUNCTION("GOOGLETRANSLATE(A2903, ""en"", ""hi"")"),"मध्यम मिर्च")</f>
        <v>मध्यम मिर्च</v>
      </c>
      <c r="D2903" s="5"/>
      <c r="E2903" s="2" t="s">
        <v>442</v>
      </c>
      <c r="F2903" s="1">
        <v>4.0</v>
      </c>
      <c r="G2903" s="3" t="s">
        <v>8625</v>
      </c>
    </row>
    <row r="2904">
      <c r="A2904" s="3" t="s">
        <v>4600</v>
      </c>
      <c r="B2904" s="4" t="str">
        <f>IFERROR(__xludf.DUMMYFUNCTION("GOOGLETRANSLATE(A2904, ""en"", ""te"")"),"మెంతి")</f>
        <v>మెంతి</v>
      </c>
      <c r="C2904" s="4" t="str">
        <f>IFERROR(__xludf.DUMMYFUNCTION("GOOGLETRANSLATE(A2904, ""en"", ""hi"")"),"मेथी")</f>
        <v>मेथी</v>
      </c>
      <c r="D2904" s="5"/>
      <c r="E2904" s="2" t="s">
        <v>442</v>
      </c>
      <c r="F2904" s="1">
        <v>4.0</v>
      </c>
      <c r="G2904" s="3" t="s">
        <v>8625</v>
      </c>
    </row>
    <row r="2905">
      <c r="A2905" s="3" t="s">
        <v>4629</v>
      </c>
      <c r="B2905" s="4" t="str">
        <f>IFERROR(__xludf.DUMMYFUNCTION("GOOGLETRANSLATE(A2905, ""en"", ""te"")"),"పుదీనా")</f>
        <v>పుదీనా</v>
      </c>
      <c r="C2905" s="4" t="str">
        <f>IFERROR(__xludf.DUMMYFUNCTION("GOOGLETRANSLATE(A2905, ""en"", ""hi"")"),"पुदीना")</f>
        <v>पुदीना</v>
      </c>
      <c r="D2905" s="5"/>
      <c r="E2905" s="2" t="s">
        <v>442</v>
      </c>
      <c r="F2905" s="1">
        <v>4.0</v>
      </c>
      <c r="G2905" s="3" t="s">
        <v>8625</v>
      </c>
    </row>
    <row r="2906">
      <c r="A2906" s="3" t="s">
        <v>8631</v>
      </c>
      <c r="B2906" s="4" t="str">
        <f>IFERROR(__xludf.DUMMYFUNCTION("GOOGLETRANSLATE(A2906, ""en"", ""te"")"),"ములి")</f>
        <v>ములి</v>
      </c>
      <c r="C2906" s="4" t="str">
        <f>IFERROR(__xludf.DUMMYFUNCTION("GOOGLETRANSLATE(A2906, ""en"", ""hi"")"),"मुली")</f>
        <v>मुली</v>
      </c>
      <c r="D2906" s="5"/>
      <c r="E2906" s="2" t="s">
        <v>442</v>
      </c>
      <c r="F2906" s="1">
        <v>4.0</v>
      </c>
      <c r="G2906" s="3" t="s">
        <v>8625</v>
      </c>
    </row>
    <row r="2907">
      <c r="A2907" s="3" t="s">
        <v>5053</v>
      </c>
      <c r="B2907" s="4" t="str">
        <f>IFERROR(__xludf.DUMMYFUNCTION("GOOGLETRANSLATE(A2907, ""en"", ""te"")"),"బెండకాయ")</f>
        <v>బెండకాయ</v>
      </c>
      <c r="C2907" s="4" t="str">
        <f>IFERROR(__xludf.DUMMYFUNCTION("GOOGLETRANSLATE(A2907, ""en"", ""hi"")"),"भिंडी")</f>
        <v>भिंडी</v>
      </c>
      <c r="D2907" s="2" t="s">
        <v>8632</v>
      </c>
      <c r="E2907" s="2" t="s">
        <v>7005</v>
      </c>
      <c r="F2907" s="1">
        <v>4.0</v>
      </c>
      <c r="G2907" s="3" t="s">
        <v>8625</v>
      </c>
    </row>
    <row r="2908">
      <c r="A2908" s="3" t="s">
        <v>8633</v>
      </c>
      <c r="B2908" s="4" t="str">
        <f>IFERROR(__xludf.DUMMYFUNCTION("GOOGLETRANSLATE(A2908, ""en"", ""te"")"),"పాలక్ (పాలకూర)")</f>
        <v>పాలక్ (పాలకూర)</v>
      </c>
      <c r="C2908" s="4" t="str">
        <f>IFERROR(__xludf.DUMMYFUNCTION("GOOGLETRANSLATE(A2908, ""en"", ""hi"")"),"पालक")</f>
        <v>पालक</v>
      </c>
      <c r="D2908" s="5"/>
      <c r="E2908" s="2" t="s">
        <v>7005</v>
      </c>
      <c r="F2908" s="1">
        <v>4.0</v>
      </c>
      <c r="G2908" s="3" t="s">
        <v>8625</v>
      </c>
    </row>
    <row r="2909">
      <c r="A2909" s="3" t="s">
        <v>8634</v>
      </c>
      <c r="B2909" s="4" t="str">
        <f>IFERROR(__xludf.DUMMYFUNCTION("GOOGLETRANSLATE(A2909, ""en"", ""te"")"),"బంగాళాదుంపలు 5 పౌండ్ల సంచి")</f>
        <v>బంగాళాదుంపలు 5 పౌండ్ల సంచి</v>
      </c>
      <c r="C2909" s="4" t="str">
        <f>IFERROR(__xludf.DUMMYFUNCTION("GOOGLETRANSLATE(A2909, ""en"", ""hi"")"),"आलू का 5 पौंड का बैग")</f>
        <v>आलू का 5 पौंड का बैग</v>
      </c>
      <c r="D2909" s="5"/>
      <c r="E2909" s="2" t="s">
        <v>2700</v>
      </c>
      <c r="F2909" s="1">
        <v>4.0</v>
      </c>
      <c r="G2909" s="3" t="s">
        <v>8625</v>
      </c>
    </row>
    <row r="2910">
      <c r="A2910" s="3" t="s">
        <v>6758</v>
      </c>
      <c r="B2910" s="4" t="str">
        <f>IFERROR(__xludf.DUMMYFUNCTION("GOOGLETRANSLATE(A2910, ""en"", ""te"")"),"తెల్ల బంగాళాదుంప")</f>
        <v>తెల్ల బంగాళాదుంప</v>
      </c>
      <c r="C2910" s="4" t="str">
        <f>IFERROR(__xludf.DUMMYFUNCTION("GOOGLETRANSLATE(A2910, ""en"", ""hi"")"),"सफेद आलू")</f>
        <v>सफेद आलू</v>
      </c>
      <c r="D2910" s="5"/>
      <c r="E2910" s="2" t="s">
        <v>2700</v>
      </c>
      <c r="F2910" s="1">
        <v>4.0</v>
      </c>
      <c r="G2910" s="3" t="s">
        <v>8625</v>
      </c>
    </row>
    <row r="2911">
      <c r="A2911" s="3" t="s">
        <v>8635</v>
      </c>
      <c r="B2911" s="4" t="str">
        <f>IFERROR(__xludf.DUMMYFUNCTION("GOOGLETRANSLATE(A2911, ""en"", ""te"")"),"లాంగ్ బీన్")</f>
        <v>లాంగ్ బీన్</v>
      </c>
      <c r="C2911" s="4" t="str">
        <f>IFERROR(__xludf.DUMMYFUNCTION("GOOGLETRANSLATE(A2911, ""en"", ""hi"")"),"लंबी फली")</f>
        <v>लंबी फली</v>
      </c>
      <c r="D2911" s="2" t="s">
        <v>8524</v>
      </c>
      <c r="E2911" s="2" t="s">
        <v>7005</v>
      </c>
      <c r="F2911" s="1">
        <v>4.0</v>
      </c>
      <c r="G2911" s="3" t="s">
        <v>8625</v>
      </c>
    </row>
    <row r="2912">
      <c r="A2912" s="3" t="s">
        <v>8636</v>
      </c>
      <c r="B2912" s="4" t="str">
        <f>IFERROR(__xludf.DUMMYFUNCTION("GOOGLETRANSLATE(A2912, ""en"", ""te"")"),"రౌండ్")</f>
        <v>రౌండ్</v>
      </c>
      <c r="C2912" s="4" t="str">
        <f>IFERROR(__xludf.DUMMYFUNCTION("GOOGLETRANSLATE(A2912, ""en"", ""hi"")"),"गोल")</f>
        <v>गोल</v>
      </c>
      <c r="D2912" s="5"/>
      <c r="E2912" s="2" t="s">
        <v>9</v>
      </c>
      <c r="F2912" s="1">
        <v>4.0</v>
      </c>
      <c r="G2912" s="3" t="s">
        <v>8625</v>
      </c>
    </row>
    <row r="2913">
      <c r="A2913" s="3" t="s">
        <v>8637</v>
      </c>
      <c r="B2913" s="4" t="str">
        <f>IFERROR(__xludf.DUMMYFUNCTION("GOOGLETRANSLATE(A2913, ""en"", ""te"")"),"నారింజ పండ్లు")</f>
        <v>నారింజ పండ్లు</v>
      </c>
      <c r="C2913" s="4" t="str">
        <f>IFERROR(__xludf.DUMMYFUNCTION("GOOGLETRANSLATE(A2913, ""en"", ""hi"")"),"संतरे")</f>
        <v>संतरे</v>
      </c>
      <c r="D2913" s="5"/>
      <c r="E2913" s="2" t="s">
        <v>7005</v>
      </c>
      <c r="F2913" s="1">
        <v>4.0</v>
      </c>
      <c r="G2913" s="3" t="s">
        <v>8638</v>
      </c>
    </row>
    <row r="2914">
      <c r="A2914" s="3" t="s">
        <v>4266</v>
      </c>
      <c r="B2914" s="4" t="str">
        <f>IFERROR(__xludf.DUMMYFUNCTION("GOOGLETRANSLATE(A2914, ""en"", ""te"")"),"నిమ్మకాయలు")</f>
        <v>నిమ్మకాయలు</v>
      </c>
      <c r="C2914" s="4" t="str">
        <f>IFERROR(__xludf.DUMMYFUNCTION("GOOGLETRANSLATE(A2914, ""en"", ""hi"")"),"नींबू")</f>
        <v>नींबू</v>
      </c>
      <c r="D2914" s="5"/>
      <c r="E2914" s="2" t="s">
        <v>7005</v>
      </c>
      <c r="F2914" s="1">
        <v>4.0</v>
      </c>
      <c r="G2914" s="3" t="s">
        <v>8638</v>
      </c>
    </row>
    <row r="2915">
      <c r="A2915" s="3" t="s">
        <v>8639</v>
      </c>
      <c r="B2915" s="4" t="str">
        <f>IFERROR(__xludf.DUMMYFUNCTION("GOOGLETRANSLATE(A2915, ""en"", ""te"")"),"పాలకూర/ఆకుకూరలు")</f>
        <v>పాలకూర/ఆకుకూరలు</v>
      </c>
      <c r="C2915" s="4" t="str">
        <f>IFERROR(__xludf.DUMMYFUNCTION("GOOGLETRANSLATE(A2915, ""en"", ""hi"")"),"पालक/हरी सब्जियां")</f>
        <v>पालक/हरी सब्जियां</v>
      </c>
      <c r="D2915" s="5"/>
      <c r="E2915" s="2" t="s">
        <v>7005</v>
      </c>
      <c r="F2915" s="1">
        <v>4.0</v>
      </c>
      <c r="G2915" s="3" t="s">
        <v>8638</v>
      </c>
    </row>
    <row r="2916">
      <c r="A2916" s="3" t="s">
        <v>8640</v>
      </c>
      <c r="B2916" s="4" t="str">
        <f>IFERROR(__xludf.DUMMYFUNCTION("GOOGLETRANSLATE(A2916, ""en"", ""te"")"),"నిమ్మకాయలు")</f>
        <v>నిమ్మకాయలు</v>
      </c>
      <c r="C2916" s="4" t="str">
        <f>IFERROR(__xludf.DUMMYFUNCTION("GOOGLETRANSLATE(A2916, ""en"", ""hi"")"),"नीबू")</f>
        <v>नीबू</v>
      </c>
      <c r="D2916" s="5"/>
      <c r="E2916" s="2" t="s">
        <v>7005</v>
      </c>
      <c r="F2916" s="1">
        <v>4.0</v>
      </c>
      <c r="G2916" s="3" t="s">
        <v>8641</v>
      </c>
    </row>
    <row r="2917">
      <c r="A2917" s="3" t="s">
        <v>5053</v>
      </c>
      <c r="B2917" s="4" t="str">
        <f>IFERROR(__xludf.DUMMYFUNCTION("GOOGLETRANSLATE(A2917, ""en"", ""te"")"),"బెండకాయ")</f>
        <v>బెండకాయ</v>
      </c>
      <c r="C2917" s="4" t="str">
        <f>IFERROR(__xludf.DUMMYFUNCTION("GOOGLETRANSLATE(A2917, ""en"", ""hi"")"),"भिंडी")</f>
        <v>भिंडी</v>
      </c>
      <c r="D2917" s="2" t="s">
        <v>8632</v>
      </c>
      <c r="E2917" s="2" t="s">
        <v>7005</v>
      </c>
      <c r="F2917" s="1">
        <v>4.0</v>
      </c>
      <c r="G2917" s="3" t="s">
        <v>8641</v>
      </c>
    </row>
    <row r="2918">
      <c r="A2918" s="3" t="s">
        <v>8642</v>
      </c>
      <c r="B2918" s="4" t="str">
        <f>IFERROR(__xludf.DUMMYFUNCTION("GOOGLETRANSLATE(A2918, ""en"", ""te"")"),"వివిధ ఉత్పత్తులు")</f>
        <v>వివిధ ఉత్పత్తులు</v>
      </c>
      <c r="C2918" s="4" t="str">
        <f>IFERROR(__xludf.DUMMYFUNCTION("GOOGLETRANSLATE(A2918, ""en"", ""hi"")"),"विभिन्न उत्पाद")</f>
        <v>विभिन्न उत्पाद</v>
      </c>
      <c r="D2918" s="2" t="s">
        <v>8643</v>
      </c>
      <c r="E2918" s="2" t="s">
        <v>7005</v>
      </c>
      <c r="F2918" s="1">
        <v>4.0</v>
      </c>
      <c r="G2918" s="3" t="s">
        <v>8644</v>
      </c>
    </row>
    <row r="2919">
      <c r="A2919" s="3" t="s">
        <v>8645</v>
      </c>
      <c r="B2919" s="4" t="str">
        <f>IFERROR(__xludf.DUMMYFUNCTION("GOOGLETRANSLATE(A2919, ""en"", ""te"")"),"అరటిపండ్లు")</f>
        <v>అరటిపండ్లు</v>
      </c>
      <c r="C2919" s="4" t="str">
        <f>IFERROR(__xludf.DUMMYFUNCTION("GOOGLETRANSLATE(A2919, ""en"", ""hi"")"),"केले")</f>
        <v>केले</v>
      </c>
      <c r="D2919" s="5"/>
      <c r="E2919" s="2" t="s">
        <v>7005</v>
      </c>
      <c r="F2919" s="1">
        <v>4.0</v>
      </c>
      <c r="G2919" s="3" t="s">
        <v>71</v>
      </c>
    </row>
    <row r="2920">
      <c r="A2920" s="3" t="s">
        <v>8646</v>
      </c>
      <c r="B2920" s="4" t="str">
        <f>IFERROR(__xludf.DUMMYFUNCTION("GOOGLETRANSLATE(A2920, ""en"", ""te"")"),"టాండెల్జో")</f>
        <v>టాండెల్జో</v>
      </c>
      <c r="C2920" s="4" t="str">
        <f>IFERROR(__xludf.DUMMYFUNCTION("GOOGLETRANSLATE(A2920, ""en"", ""hi"")"),"टंडेलजो")</f>
        <v>टंडेलजो</v>
      </c>
      <c r="D2920" s="5"/>
      <c r="E2920" s="2" t="s">
        <v>2279</v>
      </c>
      <c r="F2920" s="1">
        <v>4.0</v>
      </c>
      <c r="G2920" s="3" t="s">
        <v>76</v>
      </c>
    </row>
    <row r="2921">
      <c r="A2921" s="3" t="s">
        <v>8647</v>
      </c>
      <c r="B2921" s="4" t="str">
        <f>IFERROR(__xludf.DUMMYFUNCTION("GOOGLETRANSLATE(A2921, ""en"", ""te"")"),"ఆకుపచ్చ కూరగాయలు")</f>
        <v>ఆకుపచ్చ కూరగాయలు</v>
      </c>
      <c r="C2921" s="4" t="str">
        <f>IFERROR(__xludf.DUMMYFUNCTION("GOOGLETRANSLATE(A2921, ""en"", ""hi"")"),"पत्तेदार हरी सब्जियां")</f>
        <v>पत्तेदार हरी सब्जियां</v>
      </c>
      <c r="D2921" s="5"/>
      <c r="E2921" s="2" t="s">
        <v>7005</v>
      </c>
      <c r="F2921" s="1">
        <v>4.0</v>
      </c>
      <c r="G2921" s="3" t="s">
        <v>76</v>
      </c>
    </row>
    <row r="2922">
      <c r="A2922" s="3" t="s">
        <v>8648</v>
      </c>
      <c r="B2922" s="4" t="str">
        <f>IFERROR(__xludf.DUMMYFUNCTION("GOOGLETRANSLATE(A2922, ""en"", ""te"")"),"అరటిపండ్లు")</f>
        <v>అరటిపండ్లు</v>
      </c>
      <c r="C2922" s="4" t="str">
        <f>IFERROR(__xludf.DUMMYFUNCTION("GOOGLETRANSLATE(A2922, ""en"", ""hi"")"),"केले")</f>
        <v>केले</v>
      </c>
      <c r="D2922" s="5"/>
      <c r="E2922" s="2" t="s">
        <v>7005</v>
      </c>
      <c r="F2922" s="1">
        <v>4.0</v>
      </c>
      <c r="G2922" s="3" t="s">
        <v>85</v>
      </c>
    </row>
    <row r="2923">
      <c r="A2923" s="3" t="s">
        <v>8649</v>
      </c>
      <c r="B2923" s="4" t="str">
        <f>IFERROR(__xludf.DUMMYFUNCTION("GOOGLETRANSLATE(A2923, ""en"", ""te"")"),"కొబ్బరికాయలు")</f>
        <v>కొబ్బరికాయలు</v>
      </c>
      <c r="C2923" s="4" t="str">
        <f>IFERROR(__xludf.DUMMYFUNCTION("GOOGLETRANSLATE(A2923, ""en"", ""hi"")"),"नारियल")</f>
        <v>नारियल</v>
      </c>
      <c r="D2923" s="2" t="s">
        <v>53</v>
      </c>
      <c r="E2923" s="2" t="s">
        <v>2700</v>
      </c>
      <c r="F2923" s="1">
        <v>4.0</v>
      </c>
      <c r="G2923" s="3" t="s">
        <v>114</v>
      </c>
    </row>
    <row r="2924">
      <c r="A2924" s="3" t="s">
        <v>8650</v>
      </c>
      <c r="B2924" s="4" t="str">
        <f>IFERROR(__xludf.DUMMYFUNCTION("GOOGLETRANSLATE(A2924, ""en"", ""te"")"),"ఘనీభవించిన ఆహార పదార్థాలు")</f>
        <v>ఘనీభవించిన ఆహార పదార్థాలు</v>
      </c>
      <c r="C2924" s="4" t="str">
        <f>IFERROR(__xludf.DUMMYFUNCTION("GOOGLETRANSLATE(A2924, ""en"", ""hi"")"),"जमे हुए खाद्य पदार्थ")</f>
        <v>जमे हुए खाद्य पदार्थ</v>
      </c>
      <c r="D2924" s="5"/>
      <c r="E2924" s="2" t="s">
        <v>351</v>
      </c>
      <c r="F2924" s="1">
        <v>4.0</v>
      </c>
      <c r="G2924" s="3" t="s">
        <v>10</v>
      </c>
    </row>
    <row r="2925">
      <c r="A2925" s="3" t="s">
        <v>8651</v>
      </c>
      <c r="B2925" s="4" t="str">
        <f>IFERROR(__xludf.DUMMYFUNCTION("GOOGLETRANSLATE(A2925, ""en"", ""te"")"),"మునగాకు")</f>
        <v>మునగాకు</v>
      </c>
      <c r="C2925" s="4" t="str">
        <f>IFERROR(__xludf.DUMMYFUNCTION("GOOGLETRANSLATE(A2925, ""en"", ""hi"")"),"मोरिंगा के पत्ते")</f>
        <v>मोरिंगा के पत्ते</v>
      </c>
      <c r="D2925" s="5"/>
      <c r="E2925" s="2" t="s">
        <v>7005</v>
      </c>
      <c r="F2925" s="1">
        <v>4.0</v>
      </c>
      <c r="G2925" s="3" t="s">
        <v>71</v>
      </c>
    </row>
    <row r="2926">
      <c r="A2926" s="3" t="s">
        <v>8652</v>
      </c>
      <c r="B2926" s="4" t="str">
        <f>IFERROR(__xludf.DUMMYFUNCTION("GOOGLETRANSLATE(A2926, ""en"", ""te"")"),"పసుపు వేరు")</f>
        <v>పసుపు వేరు</v>
      </c>
      <c r="C2926" s="4" t="str">
        <f>IFERROR(__xludf.DUMMYFUNCTION("GOOGLETRANSLATE(A2926, ""en"", ""hi"")"),"हल्दी की गांठ")</f>
        <v>हल्दी की गांठ</v>
      </c>
      <c r="D2926" s="2" t="s">
        <v>708</v>
      </c>
      <c r="E2926" s="2" t="s">
        <v>442</v>
      </c>
      <c r="F2926" s="1">
        <v>4.0</v>
      </c>
      <c r="G2926" s="3" t="s">
        <v>71</v>
      </c>
    </row>
    <row r="2927">
      <c r="A2927" s="3" t="s">
        <v>8645</v>
      </c>
      <c r="B2927" s="4" t="str">
        <f>IFERROR(__xludf.DUMMYFUNCTION("GOOGLETRANSLATE(A2927, ""en"", ""te"")"),"అరటిపండ్లు")</f>
        <v>అరటిపండ్లు</v>
      </c>
      <c r="C2927" s="4" t="str">
        <f>IFERROR(__xludf.DUMMYFUNCTION("GOOGLETRANSLATE(A2927, ""en"", ""hi"")"),"केले")</f>
        <v>केले</v>
      </c>
      <c r="D2927" s="5"/>
      <c r="E2927" s="2" t="s">
        <v>7005</v>
      </c>
      <c r="F2927" s="1">
        <v>4.0</v>
      </c>
      <c r="G2927" s="3" t="s">
        <v>76</v>
      </c>
    </row>
    <row r="2928">
      <c r="A2928" s="3" t="s">
        <v>8653</v>
      </c>
      <c r="B2928" s="4" t="str">
        <f>IFERROR(__xludf.DUMMYFUNCTION("GOOGLETRANSLATE(A2928, ""en"", ""te"")"),"బొప్పాయి")</f>
        <v>బొప్పాయి</v>
      </c>
      <c r="C2928" s="4" t="str">
        <f>IFERROR(__xludf.DUMMYFUNCTION("GOOGLETRANSLATE(A2928, ""en"", ""hi"")"),"पपीता")</f>
        <v>पपीता</v>
      </c>
      <c r="D2928" s="5"/>
      <c r="E2928" s="2" t="s">
        <v>7005</v>
      </c>
      <c r="F2928" s="1">
        <v>4.0</v>
      </c>
      <c r="G2928" s="3" t="s">
        <v>76</v>
      </c>
    </row>
    <row r="2929">
      <c r="A2929" s="3" t="s">
        <v>8649</v>
      </c>
      <c r="B2929" s="4" t="str">
        <f>IFERROR(__xludf.DUMMYFUNCTION("GOOGLETRANSLATE(A2929, ""en"", ""te"")"),"కొబ్బరికాయలు")</f>
        <v>కొబ్బరికాయలు</v>
      </c>
      <c r="C2929" s="4" t="str">
        <f>IFERROR(__xludf.DUMMYFUNCTION("GOOGLETRANSLATE(A2929, ""en"", ""hi"")"),"नारियल")</f>
        <v>नारियल</v>
      </c>
      <c r="D2929" s="2" t="s">
        <v>53</v>
      </c>
      <c r="E2929" s="2" t="s">
        <v>2700</v>
      </c>
      <c r="F2929" s="1">
        <v>4.0</v>
      </c>
      <c r="G2929" s="3" t="s">
        <v>85</v>
      </c>
    </row>
    <row r="2930">
      <c r="A2930" s="3" t="s">
        <v>8654</v>
      </c>
      <c r="B2930" s="4" t="str">
        <f>IFERROR(__xludf.DUMMYFUNCTION("GOOGLETRANSLATE(A2930, ""en"", ""te"")"),"మోరింగా")</f>
        <v>మోరింగా</v>
      </c>
      <c r="C2930" s="4" t="str">
        <f>IFERROR(__xludf.DUMMYFUNCTION("GOOGLETRANSLATE(A2930, ""en"", ""hi"")"),"मोरिंगा")</f>
        <v>मोरिंगा</v>
      </c>
      <c r="D2930" s="5"/>
      <c r="E2930" s="2" t="s">
        <v>2700</v>
      </c>
      <c r="F2930" s="1">
        <v>4.0</v>
      </c>
      <c r="G2930" s="3" t="s">
        <v>71</v>
      </c>
    </row>
    <row r="2931">
      <c r="A2931" s="3" t="s">
        <v>8655</v>
      </c>
      <c r="B2931" s="4" t="str">
        <f>IFERROR(__xludf.DUMMYFUNCTION("GOOGLETRANSLATE(A2931, ""en"", ""te"")"),"దోసకాయలు")</f>
        <v>దోసకాయలు</v>
      </c>
      <c r="C2931" s="4" t="str">
        <f>IFERROR(__xludf.DUMMYFUNCTION("GOOGLETRANSLATE(A2931, ""en"", ""hi"")"),"खीरे")</f>
        <v>खीरे</v>
      </c>
      <c r="D2931" s="2" t="s">
        <v>8656</v>
      </c>
      <c r="E2931" s="2" t="s">
        <v>7005</v>
      </c>
      <c r="F2931" s="1">
        <v>4.0</v>
      </c>
      <c r="G2931" s="3" t="s">
        <v>71</v>
      </c>
    </row>
    <row r="2932">
      <c r="A2932" s="3" t="s">
        <v>8657</v>
      </c>
      <c r="B2932" s="4" t="str">
        <f>IFERROR(__xludf.DUMMYFUNCTION("GOOGLETRANSLATE(A2932, ""en"", ""te"")"),"పచ్చి బొప్పాయిలు")</f>
        <v>పచ్చి బొప్పాయిలు</v>
      </c>
      <c r="C2932" s="4" t="str">
        <f>IFERROR(__xludf.DUMMYFUNCTION("GOOGLETRANSLATE(A2932, ""en"", ""hi"")"),"हरे पपीते")</f>
        <v>हरे पपीते</v>
      </c>
      <c r="D2932" s="5"/>
      <c r="E2932" s="2" t="s">
        <v>7005</v>
      </c>
      <c r="F2932" s="1">
        <v>4.0</v>
      </c>
      <c r="G2932" s="3" t="s">
        <v>76</v>
      </c>
    </row>
    <row r="2933">
      <c r="A2933" s="3" t="s">
        <v>8658</v>
      </c>
      <c r="B2933" s="4" t="str">
        <f>IFERROR(__xludf.DUMMYFUNCTION("GOOGLETRANSLATE(A2933, ""en"", ""te"")"),"పండిన బొప్పాయిలు")</f>
        <v>పండిన బొప్పాయిలు</v>
      </c>
      <c r="C2933" s="4" t="str">
        <f>IFERROR(__xludf.DUMMYFUNCTION("GOOGLETRANSLATE(A2933, ""en"", ""hi"")"),"पके हुए पपीते")</f>
        <v>पके हुए पपीते</v>
      </c>
      <c r="D2933" s="5"/>
      <c r="E2933" s="2" t="s">
        <v>7005</v>
      </c>
      <c r="F2933" s="1">
        <v>4.0</v>
      </c>
      <c r="G2933" s="3" t="s">
        <v>76</v>
      </c>
    </row>
    <row r="2934">
      <c r="A2934" s="3" t="s">
        <v>5294</v>
      </c>
      <c r="B2934" s="4" t="str">
        <f>IFERROR(__xludf.DUMMYFUNCTION("GOOGLETRANSLATE(A2934, ""en"", ""te"")"),"వేరుశెనగలు")</f>
        <v>వేరుశెనగలు</v>
      </c>
      <c r="C2934" s="4" t="str">
        <f>IFERROR(__xludf.DUMMYFUNCTION("GOOGLETRANSLATE(A2934, ""en"", ""hi"")"),"मूंगफली")</f>
        <v>मूंगफली</v>
      </c>
      <c r="D2934" s="2" t="s">
        <v>945</v>
      </c>
      <c r="E2934" s="2" t="s">
        <v>2700</v>
      </c>
      <c r="F2934" s="1">
        <v>4.0</v>
      </c>
      <c r="G2934" s="3" t="s">
        <v>71</v>
      </c>
    </row>
    <row r="2935">
      <c r="A2935" s="3" t="s">
        <v>8523</v>
      </c>
      <c r="B2935" s="4" t="str">
        <f>IFERROR(__xludf.DUMMYFUNCTION("GOOGLETRANSLATE(A2935, ""en"", ""te"")"),"పచ్చి బీన్స్")</f>
        <v>పచ్చి బీన్స్</v>
      </c>
      <c r="C2935" s="4" t="str">
        <f>IFERROR(__xludf.DUMMYFUNCTION("GOOGLETRANSLATE(A2935, ""en"", ""hi"")"),"हरी सेम")</f>
        <v>हरी सेम</v>
      </c>
      <c r="D2935" s="2" t="s">
        <v>8524</v>
      </c>
      <c r="E2935" s="2" t="s">
        <v>7005</v>
      </c>
      <c r="F2935" s="1">
        <v>4.0</v>
      </c>
      <c r="G2935" s="3" t="s">
        <v>71</v>
      </c>
    </row>
    <row r="2936">
      <c r="A2936" s="3" t="s">
        <v>8659</v>
      </c>
      <c r="B2936" s="4" t="str">
        <f>IFERROR(__xludf.DUMMYFUNCTION("GOOGLETRANSLATE(A2936, ""en"", ""te"")"),"బొప్పాయిలు")</f>
        <v>బొప్పాయిలు</v>
      </c>
      <c r="C2936" s="4" t="str">
        <f>IFERROR(__xludf.DUMMYFUNCTION("GOOGLETRANSLATE(A2936, ""en"", ""hi"")"),"पपीता")</f>
        <v>पपीता</v>
      </c>
      <c r="D2936" s="5"/>
      <c r="E2936" s="2" t="s">
        <v>7005</v>
      </c>
      <c r="F2936" s="1">
        <v>4.0</v>
      </c>
      <c r="G2936" s="3" t="s">
        <v>76</v>
      </c>
    </row>
    <row r="2937">
      <c r="A2937" s="3" t="s">
        <v>8660</v>
      </c>
      <c r="B2937" s="4" t="str">
        <f>IFERROR(__xludf.DUMMYFUNCTION("GOOGLETRANSLATE(A2937, ""en"", ""te"")"),"చాయోటే")</f>
        <v>చాయోటే</v>
      </c>
      <c r="C2937" s="4" t="str">
        <f>IFERROR(__xludf.DUMMYFUNCTION("GOOGLETRANSLATE(A2937, ""en"", ""hi"")"),"चायोट")</f>
        <v>चायोट</v>
      </c>
      <c r="D2937" s="5"/>
      <c r="E2937" s="2" t="s">
        <v>7005</v>
      </c>
      <c r="F2937" s="1">
        <v>4.0</v>
      </c>
      <c r="G2937" s="3" t="s">
        <v>76</v>
      </c>
    </row>
    <row r="2938">
      <c r="A2938" s="3" t="s">
        <v>8661</v>
      </c>
      <c r="B2938" s="4" t="str">
        <f>IFERROR(__xludf.DUMMYFUNCTION("GOOGLETRANSLATE(A2938, ""en"", ""te"")"),"డైకాన్ ముల్లంగి")</f>
        <v>డైకాన్ ముల్లంగి</v>
      </c>
      <c r="C2938" s="4" t="str">
        <f>IFERROR(__xludf.DUMMYFUNCTION("GOOGLETRANSLATE(A2938, ""en"", ""hi"")"),"डाइकॉन मूली")</f>
        <v>डाइकॉन मूली</v>
      </c>
      <c r="D2938" s="5"/>
      <c r="E2938" s="2" t="s">
        <v>7005</v>
      </c>
      <c r="F2938" s="1">
        <v>4.0</v>
      </c>
      <c r="G2938" s="3" t="s">
        <v>71</v>
      </c>
    </row>
    <row r="2939">
      <c r="A2939" s="3" t="s">
        <v>8662</v>
      </c>
      <c r="B2939" s="4" t="str">
        <f>IFERROR(__xludf.DUMMYFUNCTION("GOOGLETRANSLATE(A2939, ""en"", ""te"")"),"చాయోట్ స్క్వాష్")</f>
        <v>చాయోట్ స్క్వాష్</v>
      </c>
      <c r="C2939" s="4" t="str">
        <f>IFERROR(__xludf.DUMMYFUNCTION("GOOGLETRANSLATE(A2939, ""en"", ""hi"")"),"चायोट स्क्वैश")</f>
        <v>चायोट स्क्वैश</v>
      </c>
      <c r="D2939" s="5"/>
      <c r="E2939" s="2" t="s">
        <v>7005</v>
      </c>
      <c r="F2939" s="1">
        <v>4.0</v>
      </c>
      <c r="G2939" s="3" t="s">
        <v>76</v>
      </c>
    </row>
    <row r="2940">
      <c r="A2940" s="3" t="s">
        <v>8663</v>
      </c>
      <c r="B2940" s="4" t="str">
        <f>IFERROR(__xludf.DUMMYFUNCTION("GOOGLETRANSLATE(A2940, ""en"", ""te"")"),"కాకరకాయ")</f>
        <v>కాకరకాయ</v>
      </c>
      <c r="C2940" s="4" t="str">
        <f>IFERROR(__xludf.DUMMYFUNCTION("GOOGLETRANSLATE(A2940, ""en"", ""hi"")"),"करेला")</f>
        <v>करेला</v>
      </c>
      <c r="D2940" s="5"/>
      <c r="E2940" s="2" t="s">
        <v>7005</v>
      </c>
      <c r="F2940" s="1">
        <v>4.0</v>
      </c>
      <c r="G2940" s="3" t="s">
        <v>76</v>
      </c>
    </row>
    <row r="2941">
      <c r="A2941" s="3" t="s">
        <v>8664</v>
      </c>
      <c r="B2941" s="4" t="str">
        <f>IFERROR(__xludf.DUMMYFUNCTION("GOOGLETRANSLATE(A2941, ""en"", ""te"")"),"పండుగ కొబ్బరికాయలు")</f>
        <v>పండుగ కొబ్బరికాయలు</v>
      </c>
      <c r="C2941" s="4" t="str">
        <f>IFERROR(__xludf.DUMMYFUNCTION("GOOGLETRANSLATE(A2941, ""en"", ""hi"")"),"त्योहार के नारियल")</f>
        <v>त्योहार के नारियल</v>
      </c>
      <c r="D2941" s="2" t="s">
        <v>53</v>
      </c>
      <c r="E2941" s="2" t="s">
        <v>2700</v>
      </c>
      <c r="F2941" s="1">
        <v>4.0</v>
      </c>
      <c r="G2941" s="3" t="s">
        <v>85</v>
      </c>
    </row>
    <row r="2942">
      <c r="A2942" s="3" t="s">
        <v>5294</v>
      </c>
      <c r="B2942" s="4" t="str">
        <f>IFERROR(__xludf.DUMMYFUNCTION("GOOGLETRANSLATE(A2942, ""en"", ""te"")"),"వేరుశెనగలు")</f>
        <v>వేరుశెనగలు</v>
      </c>
      <c r="C2942" s="4" t="str">
        <f>IFERROR(__xludf.DUMMYFUNCTION("GOOGLETRANSLATE(A2942, ""en"", ""hi"")"),"मूंगफली")</f>
        <v>मूंगफली</v>
      </c>
      <c r="D2942" s="2" t="s">
        <v>945</v>
      </c>
      <c r="E2942" s="2" t="s">
        <v>2700</v>
      </c>
      <c r="F2942" s="1">
        <v>4.0</v>
      </c>
      <c r="G2942" s="3" t="s">
        <v>85</v>
      </c>
    </row>
    <row r="2943">
      <c r="A2943" s="3" t="s">
        <v>8665</v>
      </c>
      <c r="B2943" s="4" t="str">
        <f>IFERROR(__xludf.DUMMYFUNCTION("GOOGLETRANSLATE(A2943, ""en"", ""te"")"),"డైకాన్")</f>
        <v>డైకాన్</v>
      </c>
      <c r="C2943" s="4" t="str">
        <f>IFERROR(__xludf.DUMMYFUNCTION("GOOGLETRANSLATE(A2943, ""en"", ""hi"")"),"डेकोन")</f>
        <v>डेकोन</v>
      </c>
      <c r="D2943" s="5"/>
      <c r="E2943" s="2" t="s">
        <v>7005</v>
      </c>
      <c r="F2943" s="1">
        <v>4.0</v>
      </c>
      <c r="G2943" s="3" t="s">
        <v>71</v>
      </c>
    </row>
    <row r="2944">
      <c r="A2944" s="3" t="s">
        <v>8666</v>
      </c>
      <c r="B2944" s="4" t="str">
        <f>IFERROR(__xludf.DUMMYFUNCTION("GOOGLETRANSLATE(A2944, ""en"", ""te"")"),"క్యారెట్లు")</f>
        <v>క్యారెట్లు</v>
      </c>
      <c r="C2944" s="4" t="str">
        <f>IFERROR(__xludf.DUMMYFUNCTION("GOOGLETRANSLATE(A2944, ""en"", ""hi"")"),"गाजर")</f>
        <v>गाजर</v>
      </c>
      <c r="D2944" s="2" t="s">
        <v>7955</v>
      </c>
      <c r="E2944" s="2" t="s">
        <v>7005</v>
      </c>
      <c r="F2944" s="1">
        <v>4.0</v>
      </c>
      <c r="G2944" s="3" t="s">
        <v>71</v>
      </c>
    </row>
    <row r="2945">
      <c r="A2945" s="3" t="s">
        <v>8667</v>
      </c>
      <c r="B2945" s="4" t="str">
        <f>IFERROR(__xludf.DUMMYFUNCTION("GOOGLETRANSLATE(A2945, ""en"", ""te"")"),"టర్నిప్‌లు")</f>
        <v>టర్నిప్‌లు</v>
      </c>
      <c r="C2945" s="4" t="str">
        <f>IFERROR(__xludf.DUMMYFUNCTION("GOOGLETRANSLATE(A2945, ""en"", ""hi"")"),"शलजम")</f>
        <v>शलजम</v>
      </c>
      <c r="D2945" s="5"/>
      <c r="E2945" s="2" t="s">
        <v>7005</v>
      </c>
      <c r="F2945" s="1">
        <v>4.0</v>
      </c>
      <c r="G2945" s="3" t="s">
        <v>71</v>
      </c>
    </row>
    <row r="2946">
      <c r="A2946" s="3" t="s">
        <v>8668</v>
      </c>
      <c r="B2946" s="4" t="str">
        <f>IFERROR(__xludf.DUMMYFUNCTION("GOOGLETRANSLATE(A2946, ""en"", ""te"")"),"టారో రూట్")</f>
        <v>టారో రూట్</v>
      </c>
      <c r="C2946" s="4" t="str">
        <f>IFERROR(__xludf.DUMMYFUNCTION("GOOGLETRANSLATE(A2946, ""en"", ""hi"")"),"तारो की जड़")</f>
        <v>तारो की जड़</v>
      </c>
      <c r="D2946" s="5"/>
      <c r="E2946" s="2" t="s">
        <v>7005</v>
      </c>
      <c r="F2946" s="1">
        <v>4.0</v>
      </c>
      <c r="G2946" s="3" t="s">
        <v>76</v>
      </c>
    </row>
    <row r="2947">
      <c r="A2947" s="3" t="s">
        <v>8669</v>
      </c>
      <c r="B2947" s="4" t="str">
        <f>IFERROR(__xludf.DUMMYFUNCTION("GOOGLETRANSLATE(A2947, ""en"", ""te"")"),"ఎర్ర ముత్యపు ఉల్లిపాయలు")</f>
        <v>ఎర్ర ముత్యపు ఉల్లిపాయలు</v>
      </c>
      <c r="C2947" s="4" t="str">
        <f>IFERROR(__xludf.DUMMYFUNCTION("GOOGLETRANSLATE(A2947, ""en"", ""hi"")"),"लाल मोती प्याज")</f>
        <v>लाल मोती प्याज</v>
      </c>
      <c r="D2947" s="2" t="s">
        <v>3445</v>
      </c>
      <c r="E2947" s="2" t="s">
        <v>7005</v>
      </c>
      <c r="F2947" s="1">
        <v>4.0</v>
      </c>
      <c r="G2947" s="3" t="s">
        <v>71</v>
      </c>
    </row>
    <row r="2948">
      <c r="A2948" s="3" t="s">
        <v>8670</v>
      </c>
      <c r="B2948" s="4" t="str">
        <f>IFERROR(__xludf.DUMMYFUNCTION("GOOGLETRANSLATE(A2948, ""en"", ""te"")"),"చిలగడదుంపలు")</f>
        <v>చిలగడదుంపలు</v>
      </c>
      <c r="C2948" s="4" t="str">
        <f>IFERROR(__xludf.DUMMYFUNCTION("GOOGLETRANSLATE(A2948, ""en"", ""hi"")"),"शकरकंद")</f>
        <v>शकरकंद</v>
      </c>
      <c r="D2948" s="5"/>
      <c r="E2948" s="2" t="s">
        <v>7005</v>
      </c>
      <c r="F2948" s="1">
        <v>4.0</v>
      </c>
      <c r="G2948" s="3" t="s">
        <v>71</v>
      </c>
    </row>
    <row r="2949">
      <c r="A2949" s="3" t="s">
        <v>8671</v>
      </c>
      <c r="B2949" s="4" t="str">
        <f>IFERROR(__xludf.DUMMYFUNCTION("GOOGLETRANSLATE(A2949, ""en"", ""te"")"),"రోమా టమోటాలు")</f>
        <v>రోమా టమోటాలు</v>
      </c>
      <c r="C2949" s="4" t="str">
        <f>IFERROR(__xludf.DUMMYFUNCTION("GOOGLETRANSLATE(A2949, ""en"", ""hi"")"),"रोमा टमाटर")</f>
        <v>रोमा टमाटर</v>
      </c>
      <c r="D2949" s="5"/>
      <c r="E2949" s="2" t="s">
        <v>7005</v>
      </c>
      <c r="F2949" s="1">
        <v>4.0</v>
      </c>
      <c r="G2949" s="3" t="s">
        <v>76</v>
      </c>
    </row>
    <row r="2950">
      <c r="A2950" s="3" t="s">
        <v>8672</v>
      </c>
      <c r="B2950" s="4" t="str">
        <f>IFERROR(__xludf.DUMMYFUNCTION("GOOGLETRANSLATE(A2950, ""en"", ""te"")"),"పాట్రోనా రూట్స్")</f>
        <v>పాట్రోనా రూట్స్</v>
      </c>
      <c r="C2950" s="4" t="str">
        <f>IFERROR(__xludf.DUMMYFUNCTION("GOOGLETRANSLATE(A2950, ""en"", ""hi"")"),"पैट्रोना रूट्स")</f>
        <v>पैट्रोना रूट्स</v>
      </c>
      <c r="D2950" s="5"/>
      <c r="E2950" s="2" t="s">
        <v>7005</v>
      </c>
      <c r="F2950" s="1">
        <v>4.0</v>
      </c>
      <c r="G2950" s="3" t="s">
        <v>85</v>
      </c>
    </row>
    <row r="2951">
      <c r="A2951" s="3" t="s">
        <v>8671</v>
      </c>
      <c r="B2951" s="4" t="str">
        <f>IFERROR(__xludf.DUMMYFUNCTION("GOOGLETRANSLATE(A2951, ""en"", ""te"")"),"రోమా టమోటాలు")</f>
        <v>రోమా టమోటాలు</v>
      </c>
      <c r="C2951" s="4" t="str">
        <f>IFERROR(__xludf.DUMMYFUNCTION("GOOGLETRANSLATE(A2951, ""en"", ""hi"")"),"रोमा टमाटर")</f>
        <v>रोमा टमाटर</v>
      </c>
      <c r="D2951" s="5"/>
      <c r="E2951" s="2" t="s">
        <v>7005</v>
      </c>
      <c r="F2951" s="1">
        <v>4.0</v>
      </c>
      <c r="G2951" s="3" t="s">
        <v>71</v>
      </c>
    </row>
    <row r="2952">
      <c r="A2952" s="3" t="s">
        <v>8673</v>
      </c>
      <c r="B2952" s="4" t="str">
        <f>IFERROR(__xludf.DUMMYFUNCTION("GOOGLETRANSLATE(A2952, ""en"", ""te"")"),"పచ్చి మిరపకాయలు")</f>
        <v>పచ్చి మిరపకాయలు</v>
      </c>
      <c r="C2952" s="4" t="str">
        <f>IFERROR(__xludf.DUMMYFUNCTION("GOOGLETRANSLATE(A2952, ""en"", ""hi"")"),"हरी मिर्च")</f>
        <v>हरी मिर्च</v>
      </c>
      <c r="D2952" s="2" t="s">
        <v>8674</v>
      </c>
      <c r="E2952" s="2" t="s">
        <v>7005</v>
      </c>
      <c r="F2952" s="1">
        <v>4.0</v>
      </c>
      <c r="G2952" s="3" t="s">
        <v>71</v>
      </c>
    </row>
    <row r="2953">
      <c r="A2953" s="3" t="s">
        <v>8673</v>
      </c>
      <c r="B2953" s="4" t="str">
        <f>IFERROR(__xludf.DUMMYFUNCTION("GOOGLETRANSLATE(A2953, ""en"", ""te"")"),"పచ్చి మిరపకాయలు")</f>
        <v>పచ్చి మిరపకాయలు</v>
      </c>
      <c r="C2953" s="4" t="str">
        <f>IFERROR(__xludf.DUMMYFUNCTION("GOOGLETRANSLATE(A2953, ""en"", ""hi"")"),"हरी मिर्च")</f>
        <v>हरी मिर्च</v>
      </c>
      <c r="D2953" s="2" t="s">
        <v>8674</v>
      </c>
      <c r="E2953" s="2" t="s">
        <v>7005</v>
      </c>
      <c r="F2953" s="1">
        <v>4.0</v>
      </c>
      <c r="G2953" s="3" t="s">
        <v>76</v>
      </c>
    </row>
    <row r="2954">
      <c r="A2954" s="3" t="s">
        <v>8675</v>
      </c>
      <c r="B2954" s="4" t="str">
        <f>IFERROR(__xludf.DUMMYFUNCTION("GOOGLETRANSLATE(A2954, ""en"", ""te"")"),"క్యాబేజీ")</f>
        <v>క్యాబేజీ</v>
      </c>
      <c r="C2954" s="4" t="str">
        <f>IFERROR(__xludf.DUMMYFUNCTION("GOOGLETRANSLATE(A2954, ""en"", ""hi"")"),"पत्ता गोभी")</f>
        <v>पत्ता गोभी</v>
      </c>
      <c r="D2954" s="2" t="s">
        <v>2588</v>
      </c>
      <c r="E2954" s="2" t="s">
        <v>7005</v>
      </c>
      <c r="F2954" s="1">
        <v>4.0</v>
      </c>
      <c r="G2954" s="3" t="s">
        <v>71</v>
      </c>
    </row>
    <row r="2955">
      <c r="A2955" s="3" t="s">
        <v>1711</v>
      </c>
      <c r="B2955" s="4" t="str">
        <f>IFERROR(__xludf.DUMMYFUNCTION("GOOGLETRANSLATE(A2955, ""en"", ""te"")"),"కాలీఫ్లవర్")</f>
        <v>కాలీఫ్లవర్</v>
      </c>
      <c r="C2955" s="4" t="str">
        <f>IFERROR(__xludf.DUMMYFUNCTION("GOOGLETRANSLATE(A2955, ""en"", ""hi"")"),"फूलगोभी")</f>
        <v>फूलगोभी</v>
      </c>
      <c r="D2955" s="2" t="s">
        <v>8676</v>
      </c>
      <c r="E2955" s="2" t="s">
        <v>7005</v>
      </c>
      <c r="F2955" s="1">
        <v>4.0</v>
      </c>
      <c r="G2955" s="3" t="s">
        <v>71</v>
      </c>
    </row>
    <row r="2956">
      <c r="A2956" s="3" t="s">
        <v>8677</v>
      </c>
      <c r="B2956" s="4" t="str">
        <f>IFERROR(__xludf.DUMMYFUNCTION("GOOGLETRANSLATE(A2956, ""en"", ""te"")"),"బీట్‌రూట్")</f>
        <v>బీట్‌రూట్</v>
      </c>
      <c r="C2956" s="4" t="str">
        <f>IFERROR(__xludf.DUMMYFUNCTION("GOOGLETRANSLATE(A2956, ""en"", ""hi"")"),"बीट")</f>
        <v>बीट</v>
      </c>
      <c r="D2956" s="5"/>
      <c r="E2956" s="2" t="s">
        <v>7005</v>
      </c>
      <c r="F2956" s="1">
        <v>4.0</v>
      </c>
      <c r="G2956" s="3" t="s">
        <v>76</v>
      </c>
    </row>
    <row r="2957">
      <c r="A2957" s="3" t="s">
        <v>8678</v>
      </c>
      <c r="B2957" s="4" t="str">
        <f>IFERROR(__xludf.DUMMYFUNCTION("GOOGLETRANSLATE(A2957, ""en"", ""te"")"),"ATV ఫార్మ్స్ క్యారెట్లు")</f>
        <v>ATV ఫార్మ్స్ క్యారెట్లు</v>
      </c>
      <c r="C2957" s="4" t="str">
        <f>IFERROR(__xludf.DUMMYFUNCTION("GOOGLETRANSLATE(A2957, ""en"", ""hi"")"),"एटीवी फार्म गाजर")</f>
        <v>एटीवी फार्म गाजर</v>
      </c>
      <c r="D2957" s="2" t="s">
        <v>7955</v>
      </c>
      <c r="E2957" s="2" t="s">
        <v>7005</v>
      </c>
      <c r="F2957" s="1">
        <v>4.0</v>
      </c>
      <c r="G2957" s="3" t="s">
        <v>76</v>
      </c>
    </row>
    <row r="2958">
      <c r="A2958" s="3" t="s">
        <v>8679</v>
      </c>
      <c r="B2958" s="4" t="str">
        <f>IFERROR(__xludf.DUMMYFUNCTION("GOOGLETRANSLATE(A2958, ""en"", ""te"")"),"బంగాళాదుంపలు")</f>
        <v>బంగాళాదుంపలు</v>
      </c>
      <c r="C2958" s="4" t="str">
        <f>IFERROR(__xludf.DUMMYFUNCTION("GOOGLETRANSLATE(A2958, ""en"", ""hi"")"),"आलू")</f>
        <v>आलू</v>
      </c>
      <c r="D2958" s="5"/>
      <c r="E2958" s="2" t="s">
        <v>7005</v>
      </c>
      <c r="F2958" s="1">
        <v>4.0</v>
      </c>
      <c r="G2958" s="3" t="s">
        <v>76</v>
      </c>
    </row>
    <row r="2959">
      <c r="A2959" s="3" t="s">
        <v>3216</v>
      </c>
      <c r="B2959" s="4" t="str">
        <f>IFERROR(__xludf.DUMMYFUNCTION("GOOGLETRANSLATE(A2959, ""en"", ""te"")"),"అల్లం")</f>
        <v>అల్లం</v>
      </c>
      <c r="C2959" s="4" t="str">
        <f>IFERROR(__xludf.DUMMYFUNCTION("GOOGLETRANSLATE(A2959, ""en"", ""hi"")"),"अदरक")</f>
        <v>अदरक</v>
      </c>
      <c r="D2959" s="2" t="s">
        <v>6356</v>
      </c>
      <c r="E2959" s="2" t="s">
        <v>442</v>
      </c>
      <c r="F2959" s="1">
        <v>4.0</v>
      </c>
      <c r="G2959" s="3" t="s">
        <v>85</v>
      </c>
    </row>
    <row r="2960">
      <c r="A2960" s="3" t="s">
        <v>8680</v>
      </c>
      <c r="B2960" s="4" t="str">
        <f>IFERROR(__xludf.DUMMYFUNCTION("GOOGLETRANSLATE(A2960, ""en"", ""te"")"),"ఇడాహో బంగాళాదుంపలు")</f>
        <v>ఇడాహో బంగాళాదుంపలు</v>
      </c>
      <c r="C2960" s="4" t="str">
        <f>IFERROR(__xludf.DUMMYFUNCTION("GOOGLETRANSLATE(A2960, ""en"", ""hi"")"),"इडाहो आलू")</f>
        <v>इडाहो आलू</v>
      </c>
      <c r="D2960" s="5"/>
      <c r="E2960" s="2" t="s">
        <v>7005</v>
      </c>
      <c r="F2960" s="1">
        <v>4.0</v>
      </c>
      <c r="G2960" s="3" t="s">
        <v>85</v>
      </c>
    </row>
    <row r="2961">
      <c r="A2961" s="3" t="s">
        <v>8681</v>
      </c>
      <c r="B2961" s="4" t="str">
        <f>IFERROR(__xludf.DUMMYFUNCTION("GOOGLETRANSLATE(A2961, ""en"", ""te"")"),"వంకాయ")</f>
        <v>వంకాయ</v>
      </c>
      <c r="C2961" s="4" t="str">
        <f>IFERROR(__xludf.DUMMYFUNCTION("GOOGLETRANSLATE(A2961, ""en"", ""hi"")"),"बैंगन")</f>
        <v>बैंगन</v>
      </c>
      <c r="D2961" s="2" t="s">
        <v>8522</v>
      </c>
      <c r="E2961" s="2" t="s">
        <v>7005</v>
      </c>
      <c r="F2961" s="1">
        <v>4.0</v>
      </c>
      <c r="G2961" s="3" t="s">
        <v>71</v>
      </c>
    </row>
    <row r="2962">
      <c r="A2962" s="3" t="s">
        <v>8637</v>
      </c>
      <c r="B2962" s="4" t="str">
        <f>IFERROR(__xludf.DUMMYFUNCTION("GOOGLETRANSLATE(A2962, ""en"", ""te"")"),"నారింజ పండ్లు")</f>
        <v>నారింజ పండ్లు</v>
      </c>
      <c r="C2962" s="4" t="str">
        <f>IFERROR(__xludf.DUMMYFUNCTION("GOOGLETRANSLATE(A2962, ""en"", ""hi"")"),"संतरे")</f>
        <v>संतरे</v>
      </c>
      <c r="D2962" s="5"/>
      <c r="E2962" s="2" t="s">
        <v>7005</v>
      </c>
      <c r="F2962" s="1">
        <v>4.0</v>
      </c>
      <c r="G2962" s="3" t="s">
        <v>71</v>
      </c>
    </row>
    <row r="2963">
      <c r="A2963" s="3" t="s">
        <v>8682</v>
      </c>
      <c r="B2963" s="4" t="str">
        <f>IFERROR(__xludf.DUMMYFUNCTION("GOOGLETRANSLATE(A2963, ""en"", ""te"")"),"బంగాళాదుంపలు (మొత్తం)")</f>
        <v>బంగాళాదుంపలు (మొత్తం)</v>
      </c>
      <c r="C2963" s="4" t="str">
        <f>IFERROR(__xludf.DUMMYFUNCTION("GOOGLETRANSLATE(A2963, ""en"", ""hi"")"),"आलू (थोक)")</f>
        <v>आलू (थोक)</v>
      </c>
      <c r="D2963" s="5"/>
      <c r="E2963" s="2" t="s">
        <v>7005</v>
      </c>
      <c r="F2963" s="1">
        <v>4.0</v>
      </c>
      <c r="G2963" s="3" t="s">
        <v>71</v>
      </c>
    </row>
    <row r="2964">
      <c r="A2964" s="3" t="s">
        <v>8683</v>
      </c>
      <c r="B2964" s="4" t="str">
        <f>IFERROR(__xludf.DUMMYFUNCTION("GOOGLETRANSLATE(A2964, ""en"", ""te"")"),"సొరకాయ")</f>
        <v>సొరకాయ</v>
      </c>
      <c r="C2964" s="4" t="str">
        <f>IFERROR(__xludf.DUMMYFUNCTION("GOOGLETRANSLATE(A2964, ""en"", ""hi"")"),"लौकी")</f>
        <v>लौकी</v>
      </c>
      <c r="D2964" s="5"/>
      <c r="E2964" s="2" t="s">
        <v>7005</v>
      </c>
      <c r="F2964" s="1">
        <v>4.0</v>
      </c>
      <c r="G2964" s="3" t="s">
        <v>71</v>
      </c>
    </row>
    <row r="2965">
      <c r="A2965" s="3" t="s">
        <v>3216</v>
      </c>
      <c r="B2965" s="4" t="str">
        <f>IFERROR(__xludf.DUMMYFUNCTION("GOOGLETRANSLATE(A2965, ""en"", ""te"")"),"అల్లం")</f>
        <v>అల్లం</v>
      </c>
      <c r="C2965" s="4" t="str">
        <f>IFERROR(__xludf.DUMMYFUNCTION("GOOGLETRANSLATE(A2965, ""en"", ""hi"")"),"अदरक")</f>
        <v>अदरक</v>
      </c>
      <c r="D2965" s="2" t="s">
        <v>6356</v>
      </c>
      <c r="E2965" s="2" t="s">
        <v>442</v>
      </c>
      <c r="F2965" s="1">
        <v>4.0</v>
      </c>
      <c r="G2965" s="3" t="s">
        <v>76</v>
      </c>
    </row>
    <row r="2966">
      <c r="A2966" s="3" t="s">
        <v>8680</v>
      </c>
      <c r="B2966" s="4" t="str">
        <f>IFERROR(__xludf.DUMMYFUNCTION("GOOGLETRANSLATE(A2966, ""en"", ""te"")"),"ఇడాహో బంగాళాదుంపలు")</f>
        <v>ఇడాహో బంగాళాదుంపలు</v>
      </c>
      <c r="C2966" s="4" t="str">
        <f>IFERROR(__xludf.DUMMYFUNCTION("GOOGLETRANSLATE(A2966, ""en"", ""hi"")"),"इडाहो आलू")</f>
        <v>इडाहो आलू</v>
      </c>
      <c r="D2966" s="5"/>
      <c r="E2966" s="2" t="s">
        <v>7005</v>
      </c>
      <c r="F2966" s="1">
        <v>4.0</v>
      </c>
      <c r="G2966" s="3" t="s">
        <v>76</v>
      </c>
    </row>
    <row r="2967">
      <c r="A2967" s="3" t="s">
        <v>3151</v>
      </c>
      <c r="B2967" s="4" t="str">
        <f>IFERROR(__xludf.DUMMYFUNCTION("GOOGLETRANSLATE(A2967, ""en"", ""te"")"),"వెల్లుల్లి")</f>
        <v>వెల్లుల్లి</v>
      </c>
      <c r="C2967" s="4" t="str">
        <f>IFERROR(__xludf.DUMMYFUNCTION("GOOGLETRANSLATE(A2967, ""en"", ""hi"")"),"लहसुन")</f>
        <v>लहसुन</v>
      </c>
      <c r="D2967" s="2" t="s">
        <v>2604</v>
      </c>
      <c r="E2967" s="2" t="s">
        <v>442</v>
      </c>
      <c r="F2967" s="1">
        <v>4.0</v>
      </c>
      <c r="G2967" s="3" t="s">
        <v>76</v>
      </c>
    </row>
    <row r="2968">
      <c r="A2968" s="3" t="s">
        <v>8684</v>
      </c>
      <c r="B2968" s="4" t="str">
        <f>IFERROR(__xludf.DUMMYFUNCTION("GOOGLETRANSLATE(A2968, ""en"", ""te"")"),"టాప్ గన్ ఆనియన్స్")</f>
        <v>టాప్ గన్ ఆనియన్స్</v>
      </c>
      <c r="C2968" s="4" t="str">
        <f>IFERROR(__xludf.DUMMYFUNCTION("GOOGLETRANSLATE(A2968, ""en"", ""hi"")"),"टॉप गन प्याज")</f>
        <v>टॉप गन प्याज</v>
      </c>
      <c r="D2968" s="2" t="s">
        <v>3445</v>
      </c>
      <c r="E2968" s="2" t="s">
        <v>7005</v>
      </c>
      <c r="F2968" s="1">
        <v>4.0</v>
      </c>
      <c r="G2968" s="3" t="s">
        <v>76</v>
      </c>
    </row>
    <row r="2969">
      <c r="A2969" s="3" t="s">
        <v>8685</v>
      </c>
      <c r="B2969" s="4" t="str">
        <f>IFERROR(__xludf.DUMMYFUNCTION("GOOGLETRANSLATE(A2969, ""en"", ""te"")"),"ఆలూ భుజియా")</f>
        <v>ఆలూ భుజియా</v>
      </c>
      <c r="C2969" s="4" t="str">
        <f>IFERROR(__xludf.DUMMYFUNCTION("GOOGLETRANSLATE(A2969, ""en"", ""hi"")"),"आलू भुजिया")</f>
        <v>आलू भुजिया</v>
      </c>
      <c r="D2969" s="5"/>
      <c r="E2969" s="2" t="s">
        <v>1294</v>
      </c>
      <c r="F2969" s="1">
        <v>4.0</v>
      </c>
      <c r="G2969" s="3" t="s">
        <v>71</v>
      </c>
    </row>
    <row r="2970">
      <c r="A2970" s="3" t="s">
        <v>8686</v>
      </c>
      <c r="B2970" s="4" t="str">
        <f>IFERROR(__xludf.DUMMYFUNCTION("GOOGLETRANSLATE(A2970, ""en"", ""te"")"),"భతురా కని")</f>
        <v>భతురా కని</v>
      </c>
      <c r="C2970" s="4" t="str">
        <f>IFERROR(__xludf.DUMMYFUNCTION("GOOGLETRANSLATE(A2970, ""en"", ""hi"")"),"भटुरा कानी")</f>
        <v>भटुरा कानी</v>
      </c>
      <c r="D2970" s="2" t="s">
        <v>8687</v>
      </c>
      <c r="E2970" s="2" t="s">
        <v>4100</v>
      </c>
      <c r="F2970" s="1">
        <v>4.0</v>
      </c>
      <c r="G2970" s="3" t="s">
        <v>71</v>
      </c>
    </row>
    <row r="2971">
      <c r="A2971" s="3" t="s">
        <v>8688</v>
      </c>
      <c r="B2971" s="4" t="str">
        <f>IFERROR(__xludf.DUMMYFUNCTION("GOOGLETRANSLATE(A2971, ""en"", ""te"")"),"బూందీ ఉప్పు")</f>
        <v>బూందీ ఉప్పు</v>
      </c>
      <c r="C2971" s="4" t="str">
        <f>IFERROR(__xludf.DUMMYFUNCTION("GOOGLETRANSLATE(A2971, ""en"", ""hi"")"),"बूंदी नमक")</f>
        <v>बूंदी नमक</v>
      </c>
      <c r="D2971" s="2" t="s">
        <v>7276</v>
      </c>
      <c r="E2971" s="2" t="s">
        <v>442</v>
      </c>
      <c r="F2971" s="1">
        <v>4.0</v>
      </c>
      <c r="G2971" s="3" t="s">
        <v>71</v>
      </c>
    </row>
    <row r="2972">
      <c r="A2972" s="3" t="s">
        <v>8689</v>
      </c>
      <c r="B2972" s="4" t="str">
        <f>IFERROR(__xludf.DUMMYFUNCTION("GOOGLETRANSLATE(A2972, ""en"", ""te"")"),"చిటాలే స్నాక్స్")</f>
        <v>చిటాలే స్నాక్స్</v>
      </c>
      <c r="C2972" s="4" t="str">
        <f>IFERROR(__xludf.DUMMYFUNCTION("GOOGLETRANSLATE(A2972, ""en"", ""hi"")"),"चिताले स्नैक्स")</f>
        <v>चिताले स्नैक्स</v>
      </c>
      <c r="D2972" s="5"/>
      <c r="E2972" s="2" t="s">
        <v>1294</v>
      </c>
      <c r="F2972" s="1">
        <v>4.0</v>
      </c>
      <c r="G2972" s="3" t="s">
        <v>71</v>
      </c>
    </row>
    <row r="2973">
      <c r="A2973" s="3" t="s">
        <v>8690</v>
      </c>
      <c r="B2973" s="4" t="str">
        <f>IFERROR(__xludf.DUMMYFUNCTION("GOOGLETRANSLATE(A2973, ""en"", ""te"")"),"ఆకుపచ్చ స్నాక్స్")</f>
        <v>ఆకుపచ్చ స్నాక్స్</v>
      </c>
      <c r="C2973" s="4" t="str">
        <f>IFERROR(__xludf.DUMMYFUNCTION("GOOGLETRANSLATE(A2973, ""en"", ""hi"")"),"हरे स्नैक्स")</f>
        <v>हरे स्नैक्स</v>
      </c>
      <c r="D2973" s="2" t="s">
        <v>7508</v>
      </c>
      <c r="E2973" s="2" t="s">
        <v>1294</v>
      </c>
      <c r="F2973" s="1">
        <v>4.0</v>
      </c>
      <c r="G2973" s="3" t="s">
        <v>71</v>
      </c>
    </row>
    <row r="2974">
      <c r="A2974" s="3" t="s">
        <v>8691</v>
      </c>
      <c r="B2974" s="4" t="str">
        <f>IFERROR(__xludf.DUMMYFUNCTION("GOOGLETRANSLATE(A2974, ""en"", ""te"")"),"పసుపు రంగు స్నాక్స్")</f>
        <v>పసుపు రంగు స్నాక్స్</v>
      </c>
      <c r="C2974" s="4" t="str">
        <f>IFERROR(__xludf.DUMMYFUNCTION("GOOGLETRANSLATE(A2974, ""en"", ""hi"")"),"पीले रंग के स्नैक्स")</f>
        <v>पीले रंग के स्नैक्स</v>
      </c>
      <c r="D2974" s="5"/>
      <c r="E2974" s="2" t="s">
        <v>1294</v>
      </c>
      <c r="F2974" s="1">
        <v>4.0</v>
      </c>
      <c r="G2974" s="3" t="s">
        <v>71</v>
      </c>
    </row>
    <row r="2975">
      <c r="A2975" s="3" t="s">
        <v>8692</v>
      </c>
      <c r="B2975" s="4" t="str">
        <f>IFERROR(__xludf.DUMMYFUNCTION("GOOGLETRANSLATE(A2975, ""en"", ""te"")"),"ఆలూ సేవ్")</f>
        <v>ఆలూ సేవ్</v>
      </c>
      <c r="C2975" s="4" t="str">
        <f>IFERROR(__xludf.DUMMYFUNCTION("GOOGLETRANSLATE(A2975, ""en"", ""hi"")"),"आलू सेव")</f>
        <v>आलू सेव</v>
      </c>
      <c r="D2975" s="2" t="s">
        <v>8035</v>
      </c>
      <c r="E2975" s="2" t="s">
        <v>1294</v>
      </c>
      <c r="F2975" s="1">
        <v>4.0</v>
      </c>
      <c r="G2975" s="3" t="s">
        <v>71</v>
      </c>
    </row>
    <row r="2976">
      <c r="A2976" s="3" t="s">
        <v>8693</v>
      </c>
      <c r="B2976" s="4" t="str">
        <f>IFERROR(__xludf.DUMMYFUNCTION("GOOGLETRANSLATE(A2976, ""en"", ""te"")"),"తానా-తాన్")</f>
        <v>తానా-తాన్</v>
      </c>
      <c r="C2976" s="4" t="str">
        <f>IFERROR(__xludf.DUMMYFUNCTION("GOOGLETRANSLATE(A2976, ""en"", ""hi"")"),"ताना-तान")</f>
        <v>ताना-तान</v>
      </c>
      <c r="D2976" s="2" t="s">
        <v>7830</v>
      </c>
      <c r="E2976" s="2" t="s">
        <v>1294</v>
      </c>
      <c r="F2976" s="1">
        <v>4.0</v>
      </c>
      <c r="G2976" s="3" t="s">
        <v>71</v>
      </c>
    </row>
    <row r="2977">
      <c r="A2977" s="3" t="s">
        <v>8694</v>
      </c>
      <c r="B2977" s="4" t="str">
        <f>IFERROR(__xludf.DUMMYFUNCTION("GOOGLETRANSLATE(A2977, ""en"", ""te"")"),"యూరో స్నాక్స్")</f>
        <v>యూరో స్నాక్స్</v>
      </c>
      <c r="C2977" s="4" t="str">
        <f>IFERROR(__xludf.DUMMYFUNCTION("GOOGLETRANSLATE(A2977, ""en"", ""hi"")"),"यूरो स्नैक्स")</f>
        <v>यूरो स्नैक्स</v>
      </c>
      <c r="D2977" s="2" t="s">
        <v>7508</v>
      </c>
      <c r="E2977" s="2" t="s">
        <v>1294</v>
      </c>
      <c r="F2977" s="1">
        <v>4.0</v>
      </c>
      <c r="G2977" s="3" t="s">
        <v>76</v>
      </c>
    </row>
    <row r="2978">
      <c r="A2978" s="3" t="s">
        <v>8695</v>
      </c>
      <c r="B2978" s="4" t="str">
        <f>IFERROR(__xludf.DUMMYFUNCTION("GOOGLETRANSLATE(A2978, ""en"", ""te"")"),"సోయా స్నాక్స్")</f>
        <v>సోయా స్నాక్స్</v>
      </c>
      <c r="C2978" s="4" t="str">
        <f>IFERROR(__xludf.DUMMYFUNCTION("GOOGLETRANSLATE(A2978, ""en"", ""hi"")"),"सोया स्नैक्स")</f>
        <v>सोया स्नैक्स</v>
      </c>
      <c r="D2978" s="5"/>
      <c r="E2978" s="2" t="s">
        <v>1294</v>
      </c>
      <c r="F2978" s="1">
        <v>4.0</v>
      </c>
      <c r="G2978" s="3" t="s">
        <v>76</v>
      </c>
    </row>
    <row r="2979">
      <c r="A2979" s="3" t="s">
        <v>8696</v>
      </c>
      <c r="B2979" s="4" t="str">
        <f>IFERROR(__xludf.DUMMYFUNCTION("GOOGLETRANSLATE(A2979, ""en"", ""te"")"),"ఫలహారి స్నాక్స్")</f>
        <v>ఫలహారి స్నాక్స్</v>
      </c>
      <c r="C2979" s="4" t="str">
        <f>IFERROR(__xludf.DUMMYFUNCTION("GOOGLETRANSLATE(A2979, ""en"", ""hi"")"),"फलाहारी स्नैक्स")</f>
        <v>फलाहारी स्नैक्स</v>
      </c>
      <c r="D2979" s="5"/>
      <c r="E2979" s="2" t="s">
        <v>1294</v>
      </c>
      <c r="F2979" s="1">
        <v>4.0</v>
      </c>
      <c r="G2979" s="3" t="s">
        <v>76</v>
      </c>
    </row>
    <row r="2980">
      <c r="A2980" s="3" t="s">
        <v>8697</v>
      </c>
      <c r="B2980" s="4" t="str">
        <f>IFERROR(__xludf.DUMMYFUNCTION("GOOGLETRANSLATE(A2980, ""en"", ""te"")"),"స్నాక్ బ్యాగ్")</f>
        <v>స్నాక్ బ్యాగ్</v>
      </c>
      <c r="C2980" s="4" t="str">
        <f>IFERROR(__xludf.DUMMYFUNCTION("GOOGLETRANSLATE(A2980, ""en"", ""hi"")"),"स्नैक बैग")</f>
        <v>स्नैक बैग</v>
      </c>
      <c r="D2980" s="5"/>
      <c r="E2980" s="2" t="s">
        <v>43</v>
      </c>
      <c r="F2980" s="1">
        <v>4.0</v>
      </c>
      <c r="G2980" s="3" t="s">
        <v>76</v>
      </c>
    </row>
    <row r="2981">
      <c r="A2981" s="3" t="s">
        <v>8698</v>
      </c>
      <c r="B2981" s="4" t="str">
        <f>IFERROR(__xludf.DUMMYFUNCTION("GOOGLETRANSLATE(A2981, ""en"", ""te"")"),"పంజాబ్ నాణ్యమైన కూరగాయలు")</f>
        <v>పంజాబ్ నాణ్యమైన కూరగాయలు</v>
      </c>
      <c r="C2981" s="4" t="str">
        <f>IFERROR(__xludf.DUMMYFUNCTION("GOOGLETRANSLATE(A2981, ""en"", ""hi"")"),"पंजाब की उच्च गुणवत्ता वाली सब्जियां")</f>
        <v>पंजाब की उच्च गुणवत्ता वाली सब्जियां</v>
      </c>
      <c r="D2981" s="5"/>
      <c r="E2981" s="2" t="s">
        <v>7005</v>
      </c>
      <c r="F2981" s="1">
        <v>4.0</v>
      </c>
      <c r="G2981" s="3" t="s">
        <v>85</v>
      </c>
    </row>
    <row r="2982">
      <c r="A2982" s="3" t="s">
        <v>8699</v>
      </c>
      <c r="B2982" s="4" t="str">
        <f>IFERROR(__xludf.DUMMYFUNCTION("GOOGLETRANSLATE(A2982, ""en"", ""te"")"),"జెర్సీ తాజా మిరియాలు")</f>
        <v>జెర్సీ తాజా మిరియాలు</v>
      </c>
      <c r="C2982" s="4" t="str">
        <f>IFERROR(__xludf.DUMMYFUNCTION("GOOGLETRANSLATE(A2982, ""en"", ""hi"")"),"जर्सी फ्रेश पेपर्स")</f>
        <v>जर्सी फ्रेश पेपर्स</v>
      </c>
      <c r="D2982" s="5"/>
      <c r="E2982" s="2" t="s">
        <v>7005</v>
      </c>
      <c r="F2982" s="1">
        <v>4.0</v>
      </c>
      <c r="G2982" s="3" t="s">
        <v>85</v>
      </c>
    </row>
    <row r="2983">
      <c r="A2983" s="3" t="s">
        <v>8700</v>
      </c>
      <c r="B2983" s="4" t="str">
        <f>IFERROR(__xludf.DUMMYFUNCTION("GOOGLETRANSLATE(A2983, ""en"", ""te"")"),"పాము సొరకాయ")</f>
        <v>పాము సొరకాయ</v>
      </c>
      <c r="C2983" s="4" t="str">
        <f>IFERROR(__xludf.DUMMYFUNCTION("GOOGLETRANSLATE(A2983, ""en"", ""hi"")"),"चिचिण्डा")</f>
        <v>चिचिण्डा</v>
      </c>
      <c r="D2983" s="5"/>
      <c r="E2983" s="2" t="s">
        <v>7005</v>
      </c>
      <c r="F2983" s="1">
        <v>4.0</v>
      </c>
      <c r="G2983" s="3" t="s">
        <v>85</v>
      </c>
    </row>
    <row r="2984">
      <c r="A2984" s="3" t="s">
        <v>8701</v>
      </c>
      <c r="B2984" s="4" t="str">
        <f>IFERROR(__xludf.DUMMYFUNCTION("GOOGLETRANSLATE(A2984, ""en"", ""te"")"),"కాకరకాయ")</f>
        <v>కాకరకాయ</v>
      </c>
      <c r="C2984" s="4" t="str">
        <f>IFERROR(__xludf.DUMMYFUNCTION("GOOGLETRANSLATE(A2984, ""en"", ""hi"")"),"करेला")</f>
        <v>करेला</v>
      </c>
      <c r="D2984" s="5"/>
      <c r="E2984" s="2" t="s">
        <v>7005</v>
      </c>
      <c r="F2984" s="1">
        <v>4.0</v>
      </c>
      <c r="G2984" s="3" t="s">
        <v>85</v>
      </c>
    </row>
    <row r="2985">
      <c r="A2985" s="3" t="s">
        <v>8702</v>
      </c>
      <c r="B2985" s="4" t="str">
        <f>IFERROR(__xludf.DUMMYFUNCTION("GOOGLETRANSLATE(A2985, ""en"", ""te"")"),"బెల్ పెప్పర్స్")</f>
        <v>బెల్ పెప్పర్స్</v>
      </c>
      <c r="C2985" s="4" t="str">
        <f>IFERROR(__xludf.DUMMYFUNCTION("GOOGLETRANSLATE(A2985, ""en"", ""hi"")"),"शिमला मिर्च")</f>
        <v>शिमला मिर्च</v>
      </c>
      <c r="D2985" s="5"/>
      <c r="E2985" s="2" t="s">
        <v>7005</v>
      </c>
      <c r="F2985" s="1">
        <v>4.0</v>
      </c>
      <c r="G2985" s="3" t="s">
        <v>85</v>
      </c>
    </row>
    <row r="2986">
      <c r="A2986" s="3" t="s">
        <v>8703</v>
      </c>
      <c r="B2986" s="4" t="str">
        <f>IFERROR(__xludf.DUMMYFUNCTION("GOOGLETRANSLATE(A2986, ""en"", ""te"")"),"లేత ఆకుపచ్చ గుమ్మడికాయ")</f>
        <v>లేత ఆకుపచ్చ గుమ్మడికాయ</v>
      </c>
      <c r="C2986" s="4" t="str">
        <f>IFERROR(__xludf.DUMMYFUNCTION("GOOGLETRANSLATE(A2986, ""en"", ""hi"")"),"हल्के हरे रंग का लौकी")</f>
        <v>हल्के हरे रंग का लौकी</v>
      </c>
      <c r="D2986" s="5"/>
      <c r="E2986" s="2" t="s">
        <v>7005</v>
      </c>
      <c r="F2986" s="1">
        <v>4.0</v>
      </c>
      <c r="G2986" s="3" t="s">
        <v>114</v>
      </c>
    </row>
    <row r="2987">
      <c r="A2987" s="3" t="s">
        <v>8704</v>
      </c>
      <c r="B2987" s="4" t="str">
        <f>IFERROR(__xludf.DUMMYFUNCTION("GOOGLETRANSLATE(A2987, ""en"", ""te"")"),"గుండ్రని వంకాయ")</f>
        <v>గుండ్రని వంకాయ</v>
      </c>
      <c r="C2987" s="4" t="str">
        <f>IFERROR(__xludf.DUMMYFUNCTION("GOOGLETRANSLATE(A2987, ""en"", ""hi"")"),"गोल बैंगन")</f>
        <v>गोल बैंगन</v>
      </c>
      <c r="D2987" s="2" t="s">
        <v>8522</v>
      </c>
      <c r="E2987" s="2" t="s">
        <v>7005</v>
      </c>
      <c r="F2987" s="1">
        <v>4.0</v>
      </c>
      <c r="G2987" s="3" t="s">
        <v>114</v>
      </c>
    </row>
    <row r="2988">
      <c r="A2988" s="3" t="s">
        <v>8705</v>
      </c>
      <c r="B2988" s="4" t="str">
        <f>IFERROR(__xludf.DUMMYFUNCTION("GOOGLETRANSLATE(A2988, ""en"", ""te"")"),"మామిడి పండ్లు")</f>
        <v>మామిడి పండ్లు</v>
      </c>
      <c r="C2988" s="4" t="str">
        <f>IFERROR(__xludf.DUMMYFUNCTION("GOOGLETRANSLATE(A2988, ""en"", ""hi"")"),"आम")</f>
        <v>आम</v>
      </c>
      <c r="D2988" s="2" t="s">
        <v>8706</v>
      </c>
      <c r="E2988" s="2" t="s">
        <v>7005</v>
      </c>
      <c r="F2988" s="1">
        <v>4.0</v>
      </c>
      <c r="G2988" s="3" t="s">
        <v>114</v>
      </c>
    </row>
    <row r="2989">
      <c r="A2989" s="3" t="s">
        <v>8637</v>
      </c>
      <c r="B2989" s="4" t="str">
        <f>IFERROR(__xludf.DUMMYFUNCTION("GOOGLETRANSLATE(A2989, ""en"", ""te"")"),"నారింజ పండ్లు")</f>
        <v>నారింజ పండ్లు</v>
      </c>
      <c r="C2989" s="4" t="str">
        <f>IFERROR(__xludf.DUMMYFUNCTION("GOOGLETRANSLATE(A2989, ""en"", ""hi"")"),"संतरे")</f>
        <v>संतरे</v>
      </c>
      <c r="D2989" s="5"/>
      <c r="E2989" s="2" t="s">
        <v>7005</v>
      </c>
      <c r="F2989" s="1">
        <v>4.0</v>
      </c>
      <c r="G2989" s="3" t="s">
        <v>85</v>
      </c>
    </row>
    <row r="2990">
      <c r="A2990" s="3" t="s">
        <v>8707</v>
      </c>
      <c r="B2990" s="4" t="str">
        <f>IFERROR(__xludf.DUMMYFUNCTION("GOOGLETRANSLATE(A2990, ""en"", ""te"")"),"టాప్ గన్ ఉల్లిపాయలు")</f>
        <v>టాప్ గన్ ఉల్లిపాయలు</v>
      </c>
      <c r="C2990" s="4" t="str">
        <f>IFERROR(__xludf.DUMMYFUNCTION("GOOGLETRANSLATE(A2990, ""en"", ""hi"")"),"टॉप गन प्याज")</f>
        <v>टॉप गन प्याज</v>
      </c>
      <c r="D2990" s="2" t="s">
        <v>3445</v>
      </c>
      <c r="E2990" s="2" t="s">
        <v>7005</v>
      </c>
      <c r="F2990" s="1">
        <v>4.0</v>
      </c>
      <c r="G2990" s="3" t="s">
        <v>10</v>
      </c>
    </row>
    <row r="2991">
      <c r="A2991" s="3" t="s">
        <v>8708</v>
      </c>
      <c r="B2991" s="4" t="str">
        <f>IFERROR(__xludf.DUMMYFUNCTION("GOOGLETRANSLATE(A2991, ""en"", ""te"")"),"పసుపు ఉల్లిపాయలు")</f>
        <v>పసుపు ఉల్లిపాయలు</v>
      </c>
      <c r="C2991" s="4" t="str">
        <f>IFERROR(__xludf.DUMMYFUNCTION("GOOGLETRANSLATE(A2991, ""en"", ""hi"")"),"पीले प्याज")</f>
        <v>पीले प्याज</v>
      </c>
      <c r="D2991" s="2" t="s">
        <v>3445</v>
      </c>
      <c r="E2991" s="2" t="s">
        <v>7005</v>
      </c>
      <c r="F2991" s="1">
        <v>4.0</v>
      </c>
      <c r="G2991" s="3" t="s">
        <v>10</v>
      </c>
    </row>
    <row r="2992">
      <c r="A2992" s="3" t="s">
        <v>8709</v>
      </c>
      <c r="B2992" s="4" t="str">
        <f>IFERROR(__xludf.DUMMYFUNCTION("GOOGLETRANSLATE(A2992, ""en"", ""te"")"),"ఎర్ర ఉల్లిపాయలు")</f>
        <v>ఎర్ర ఉల్లిపాయలు</v>
      </c>
      <c r="C2992" s="4" t="str">
        <f>IFERROR(__xludf.DUMMYFUNCTION("GOOGLETRANSLATE(A2992, ""en"", ""hi"")"),"लाल प्याज")</f>
        <v>लाल प्याज</v>
      </c>
      <c r="D2992" s="2" t="s">
        <v>3445</v>
      </c>
      <c r="E2992" s="2" t="s">
        <v>442</v>
      </c>
      <c r="F2992" s="1">
        <v>4.0</v>
      </c>
      <c r="G2992" s="3" t="s">
        <v>10</v>
      </c>
    </row>
    <row r="2993">
      <c r="A2993" s="3" t="s">
        <v>8710</v>
      </c>
      <c r="B2993" s="4" t="str">
        <f>IFERROR(__xludf.DUMMYFUNCTION("GOOGLETRANSLATE(A2993, ""en"", ""te"")"),"సోయా స్టిక్స్")</f>
        <v>సోయా స్టిక్స్</v>
      </c>
      <c r="C2993" s="4" t="str">
        <f>IFERROR(__xludf.DUMMYFUNCTION("GOOGLETRANSLATE(A2993, ""en"", ""hi"")"),"सोया स्टिक्स")</f>
        <v>सोया स्टिक्स</v>
      </c>
      <c r="D2993" s="5"/>
      <c r="E2993" s="2" t="s">
        <v>1038</v>
      </c>
      <c r="F2993" s="1">
        <v>4.0</v>
      </c>
      <c r="G2993" s="3" t="s">
        <v>71</v>
      </c>
    </row>
    <row r="2994">
      <c r="A2994" s="3" t="s">
        <v>8711</v>
      </c>
      <c r="B2994" s="4" t="str">
        <f>IFERROR(__xludf.DUMMYFUNCTION("GOOGLETRANSLATE(A2994, ""en"", ""te"")"),"ఫలహారి")</f>
        <v>ఫలహారి</v>
      </c>
      <c r="C2994" s="4" t="str">
        <f>IFERROR(__xludf.DUMMYFUNCTION("GOOGLETRANSLATE(A2994, ""en"", ""hi"")"),"फलाहारी")</f>
        <v>फलाहारी</v>
      </c>
      <c r="D2994" s="5"/>
      <c r="E2994" s="2" t="s">
        <v>1038</v>
      </c>
      <c r="F2994" s="1">
        <v>4.0</v>
      </c>
      <c r="G2994" s="3" t="s">
        <v>71</v>
      </c>
    </row>
    <row r="2995">
      <c r="A2995" s="3" t="s">
        <v>8712</v>
      </c>
      <c r="B2995" s="4" t="str">
        <f>IFERROR(__xludf.DUMMYFUNCTION("GOOGLETRANSLATE(A2995, ""en"", ""te"")"),"కాల్చిన మొక్కజొన్న")</f>
        <v>కాల్చిన మొక్కజొన్న</v>
      </c>
      <c r="C2995" s="4" t="str">
        <f>IFERROR(__xludf.DUMMYFUNCTION("GOOGLETRANSLATE(A2995, ""en"", ""hi"")"),"भुना हुआ मक्का")</f>
        <v>भुना हुआ मक्का</v>
      </c>
      <c r="D2995" s="5"/>
      <c r="E2995" s="2" t="s">
        <v>2700</v>
      </c>
      <c r="F2995" s="1">
        <v>4.0</v>
      </c>
      <c r="G2995" s="3" t="s">
        <v>71</v>
      </c>
    </row>
    <row r="2996">
      <c r="A2996" s="3" t="s">
        <v>8713</v>
      </c>
      <c r="B2996" s="4" t="str">
        <f>IFERROR(__xludf.DUMMYFUNCTION("GOOGLETRANSLATE(A2996, ""en"", ""te"")"),"బెల్ పెప్పర్స్")</f>
        <v>బెల్ పెప్పర్స్</v>
      </c>
      <c r="C2996" s="4" t="str">
        <f>IFERROR(__xludf.DUMMYFUNCTION("GOOGLETRANSLATE(A2996, ""en"", ""hi"")"),"शिमला मिर्च")</f>
        <v>शिमला मिर्च</v>
      </c>
      <c r="D2996" s="5"/>
      <c r="E2996" s="2" t="s">
        <v>7005</v>
      </c>
      <c r="F2996" s="1">
        <v>4.0</v>
      </c>
      <c r="G2996" s="3" t="s">
        <v>76</v>
      </c>
    </row>
    <row r="2997">
      <c r="A2997" s="3" t="s">
        <v>3342</v>
      </c>
      <c r="B2997" s="4" t="str">
        <f>IFERROR(__xludf.DUMMYFUNCTION("GOOGLETRANSLATE(A2997, ""en"", ""te"")"),"పచ్చి బీన్స్")</f>
        <v>పచ్చి బీన్స్</v>
      </c>
      <c r="C2997" s="4" t="str">
        <f>IFERROR(__xludf.DUMMYFUNCTION("GOOGLETRANSLATE(A2997, ""en"", ""hi"")"),"हरी सेम")</f>
        <v>हरी सेम</v>
      </c>
      <c r="D2997" s="2" t="s">
        <v>8524</v>
      </c>
      <c r="E2997" s="2" t="s">
        <v>7005</v>
      </c>
      <c r="F2997" s="1">
        <v>4.0</v>
      </c>
      <c r="G2997" s="3" t="s">
        <v>76</v>
      </c>
    </row>
    <row r="2998">
      <c r="A2998" s="3" t="s">
        <v>8705</v>
      </c>
      <c r="B2998" s="4" t="str">
        <f>IFERROR(__xludf.DUMMYFUNCTION("GOOGLETRANSLATE(A2998, ""en"", ""te"")"),"మామిడి పండ్లు")</f>
        <v>మామిడి పండ్లు</v>
      </c>
      <c r="C2998" s="4" t="str">
        <f>IFERROR(__xludf.DUMMYFUNCTION("GOOGLETRANSLATE(A2998, ""en"", ""hi"")"),"आम")</f>
        <v>आम</v>
      </c>
      <c r="D2998" s="2" t="s">
        <v>8706</v>
      </c>
      <c r="E2998" s="2" t="s">
        <v>7005</v>
      </c>
      <c r="F2998" s="1">
        <v>4.0</v>
      </c>
      <c r="G2998" s="3" t="s">
        <v>85</v>
      </c>
    </row>
    <row r="2999">
      <c r="A2999" s="3" t="s">
        <v>8714</v>
      </c>
      <c r="B2999" s="4" t="str">
        <f>IFERROR(__xludf.DUMMYFUNCTION("GOOGLETRANSLATE(A2999, ""en"", ""te"")"),"ఐవీ గుమ్మడికాయ")</f>
        <v>ఐవీ గుమ్మడికాయ</v>
      </c>
      <c r="C2999" s="4" t="str">
        <f>IFERROR(__xludf.DUMMYFUNCTION("GOOGLETRANSLATE(A2999, ""en"", ""hi"")"),"आइवी लौकी")</f>
        <v>आइवी लौकी</v>
      </c>
      <c r="D2999" s="5"/>
      <c r="E2999" s="2" t="s">
        <v>7005</v>
      </c>
      <c r="F2999" s="1">
        <v>4.0</v>
      </c>
      <c r="G2999" s="3" t="s">
        <v>85</v>
      </c>
    </row>
    <row r="3000">
      <c r="A3000" s="3" t="s">
        <v>8516</v>
      </c>
      <c r="B3000" s="4" t="str">
        <f>IFERROR(__xludf.DUMMYFUNCTION("GOOGLETRANSLATE(A3000, ""en"", ""te"")"),"ఎర్ర ఉల్లిపాయలు")</f>
        <v>ఎర్ర ఉల్లిపాయలు</v>
      </c>
      <c r="C3000" s="4" t="str">
        <f>IFERROR(__xludf.DUMMYFUNCTION("GOOGLETRANSLATE(A3000, ""en"", ""hi"")"),"लाल प्याज")</f>
        <v>लाल प्याज</v>
      </c>
      <c r="D3000" s="2" t="s">
        <v>3445</v>
      </c>
      <c r="E3000" s="2" t="s">
        <v>442</v>
      </c>
      <c r="F3000" s="1">
        <v>4.0</v>
      </c>
      <c r="G3000" s="3" t="s">
        <v>114</v>
      </c>
    </row>
    <row r="3001">
      <c r="A3001" s="3" t="s">
        <v>8715</v>
      </c>
      <c r="B3001" s="4" t="str">
        <f>IFERROR(__xludf.DUMMYFUNCTION("GOOGLETRANSLATE(A3001, ""en"", ""te"")"),"స్నో రెడ్ ఆనియన్స్")</f>
        <v>స్నో రెడ్ ఆనియన్స్</v>
      </c>
      <c r="C3001" s="4" t="str">
        <f>IFERROR(__xludf.DUMMYFUNCTION("GOOGLETRANSLATE(A3001, ""en"", ""hi"")"),"स्नो रेड प्याज")</f>
        <v>स्नो रेड प्याज</v>
      </c>
      <c r="D3001" s="2" t="s">
        <v>3445</v>
      </c>
      <c r="E3001" s="2" t="s">
        <v>7005</v>
      </c>
      <c r="F3001" s="1">
        <v>4.0</v>
      </c>
      <c r="G3001" s="3" t="s">
        <v>114</v>
      </c>
    </row>
    <row r="3002">
      <c r="A3002" s="3" t="s">
        <v>8716</v>
      </c>
      <c r="B3002" s="4" t="str">
        <f>IFERROR(__xludf.DUMMYFUNCTION("GOOGLETRANSLATE(A3002, ""en"", ""te"")"),"గుమ్మడికాయ")</f>
        <v>గుమ్మడికాయ</v>
      </c>
      <c r="C3002" s="4" t="str">
        <f>IFERROR(__xludf.DUMMYFUNCTION("GOOGLETRANSLATE(A3002, ""en"", ""hi"")"),"लौकी")</f>
        <v>लौकी</v>
      </c>
      <c r="D3002" s="5"/>
      <c r="E3002" s="2" t="s">
        <v>7005</v>
      </c>
      <c r="F3002" s="1">
        <v>4.0</v>
      </c>
      <c r="G3002" s="3" t="s">
        <v>71</v>
      </c>
    </row>
    <row r="3003">
      <c r="A3003" s="3" t="s">
        <v>5053</v>
      </c>
      <c r="B3003" s="4" t="str">
        <f>IFERROR(__xludf.DUMMYFUNCTION("GOOGLETRANSLATE(A3003, ""en"", ""te"")"),"బెండకాయ")</f>
        <v>బెండకాయ</v>
      </c>
      <c r="C3003" s="4" t="str">
        <f>IFERROR(__xludf.DUMMYFUNCTION("GOOGLETRANSLATE(A3003, ""en"", ""hi"")"),"भिंडी")</f>
        <v>भिंडी</v>
      </c>
      <c r="D3003" s="2" t="s">
        <v>8632</v>
      </c>
      <c r="E3003" s="2" t="s">
        <v>7005</v>
      </c>
      <c r="F3003" s="1">
        <v>4.0</v>
      </c>
      <c r="G3003" s="3" t="s">
        <v>71</v>
      </c>
    </row>
    <row r="3004">
      <c r="A3004" s="3" t="s">
        <v>8717</v>
      </c>
      <c r="B3004" s="4" t="str">
        <f>IFERROR(__xludf.DUMMYFUNCTION("GOOGLETRANSLATE(A3004, ""en"", ""te"")"),"జామకాయ")</f>
        <v>జామకాయ</v>
      </c>
      <c r="C3004" s="4" t="str">
        <f>IFERROR(__xludf.DUMMYFUNCTION("GOOGLETRANSLATE(A3004, ""en"", ""hi"")"),"अमरूद")</f>
        <v>अमरूद</v>
      </c>
      <c r="D3004" s="5"/>
      <c r="E3004" s="2" t="s">
        <v>7005</v>
      </c>
      <c r="F3004" s="1">
        <v>4.0</v>
      </c>
      <c r="G3004" s="3" t="s">
        <v>71</v>
      </c>
    </row>
    <row r="3005">
      <c r="A3005" s="3" t="s">
        <v>8718</v>
      </c>
      <c r="B3005" s="4" t="str">
        <f>IFERROR(__xludf.DUMMYFUNCTION("GOOGLETRANSLATE(A3005, ""en"", ""te"")"),"స్నోయినో ఎర్ర ఉల్లిపాయలు")</f>
        <v>స్నోయినో ఎర్ర ఉల్లిపాయలు</v>
      </c>
      <c r="C3005" s="4" t="str">
        <f>IFERROR(__xludf.DUMMYFUNCTION("GOOGLETRANSLATE(A3005, ""en"", ""hi"")"),"स्नोइनो लाल प्याज")</f>
        <v>स्नोइनो लाल प्याज</v>
      </c>
      <c r="D3005" s="2" t="s">
        <v>3445</v>
      </c>
      <c r="E3005" s="2" t="s">
        <v>7005</v>
      </c>
      <c r="F3005" s="1">
        <v>4.0</v>
      </c>
      <c r="G3005" s="3" t="s">
        <v>76</v>
      </c>
    </row>
    <row r="3006">
      <c r="A3006" s="3" t="s">
        <v>8719</v>
      </c>
      <c r="B3006" s="4" t="str">
        <f>IFERROR(__xludf.DUMMYFUNCTION("GOOGLETRANSLATE(A3006, ""en"", ""te"")"),"చిరుతిండి/వంట సామాగ్రి")</f>
        <v>చిరుతిండి/వంట సామాగ్రి</v>
      </c>
      <c r="C3006" s="4" t="str">
        <f>IFERROR(__xludf.DUMMYFUNCTION("GOOGLETRANSLATE(A3006, ""en"", ""hi"")"),"नाश्ते/किराने का सामान")</f>
        <v>नाश्ते/किराने का सामान</v>
      </c>
      <c r="D3006" s="2" t="s">
        <v>8720</v>
      </c>
      <c r="E3006" s="2" t="s">
        <v>1294</v>
      </c>
      <c r="F3006" s="1">
        <v>4.0</v>
      </c>
      <c r="G3006" s="3" t="s">
        <v>85</v>
      </c>
    </row>
    <row r="3007">
      <c r="A3007" s="3" t="s">
        <v>7046</v>
      </c>
      <c r="B3007" s="4" t="str">
        <f>IFERROR(__xludf.DUMMYFUNCTION("GOOGLETRANSLATE(A3007, ""en"", ""te"")"),"అముల్ మస్తి మసాలా మజ్జిగ")</f>
        <v>అముల్ మస్తి మసాలా మజ్జిగ</v>
      </c>
      <c r="C3007" s="4" t="str">
        <f>IFERROR(__xludf.DUMMYFUNCTION("GOOGLETRANSLATE(A3007, ""en"", ""hi"")"),"अमूल मस्ती स्पाइस्ड बटरमिल्क")</f>
        <v>अमूल मस्ती स्पाइस्ड बटरमिल्क</v>
      </c>
      <c r="D3007" s="5"/>
      <c r="E3007" s="2" t="s">
        <v>2369</v>
      </c>
      <c r="F3007" s="1">
        <v>4.0</v>
      </c>
      <c r="G3007" s="3" t="s">
        <v>85</v>
      </c>
    </row>
    <row r="3008">
      <c r="A3008" s="3" t="s">
        <v>7048</v>
      </c>
      <c r="B3008" s="4" t="str">
        <f>IFERROR(__xludf.DUMMYFUNCTION("GOOGLETRANSLATE(A3008, ""en"", ""te"")"),"నిజమైన కొబ్బరి నీరు")</f>
        <v>నిజమైన కొబ్బరి నీరు</v>
      </c>
      <c r="C3008" s="4" t="str">
        <f>IFERROR(__xludf.DUMMYFUNCTION("GOOGLETRANSLATE(A3008, ""en"", ""hi"")"),"असली नारियल पानी")</f>
        <v>असली नारियल पानी</v>
      </c>
      <c r="D3008" s="2" t="s">
        <v>53</v>
      </c>
      <c r="E3008" s="2" t="s">
        <v>1330</v>
      </c>
      <c r="F3008" s="1">
        <v>4.0</v>
      </c>
      <c r="G3008" s="3" t="s">
        <v>76</v>
      </c>
    </row>
    <row r="3009">
      <c r="A3009" s="3" t="s">
        <v>8721</v>
      </c>
      <c r="B3009" s="4" t="str">
        <f>IFERROR(__xludf.DUMMYFUNCTION("GOOGLETRANSLATE(A3009, ""en"", ""te"")"),"ఫ్రూటీ మామిడి పానీయం")</f>
        <v>ఫ్రూటీ మామిడి పానీయం</v>
      </c>
      <c r="C3009" s="4" t="str">
        <f>IFERROR(__xludf.DUMMYFUNCTION("GOOGLETRANSLATE(A3009, ""en"", ""hi"")"),"फ्रूटी मैंगो ड्रिंक")</f>
        <v>फ्रूटी मैंगो ड्रिंक</v>
      </c>
      <c r="D3009" s="2" t="s">
        <v>8722</v>
      </c>
      <c r="E3009" s="2" t="s">
        <v>1330</v>
      </c>
      <c r="F3009" s="1">
        <v>4.0</v>
      </c>
      <c r="G3009" s="3" t="s">
        <v>85</v>
      </c>
    </row>
    <row r="3010">
      <c r="A3010" s="3" t="s">
        <v>8723</v>
      </c>
      <c r="B3010" s="4" t="str">
        <f>IFERROR(__xludf.DUMMYFUNCTION("GOOGLETRANSLATE(A3010, ""en"", ""te"")"),"విటా కోకో కొబ్బరి నీరు")</f>
        <v>విటా కోకో కొబ్బరి నీరు</v>
      </c>
      <c r="C3010" s="4" t="str">
        <f>IFERROR(__xludf.DUMMYFUNCTION("GOOGLETRANSLATE(A3010, ""en"", ""hi"")"),"वीटा कोको नारियल पानी")</f>
        <v>वीटा कोको नारियल पानी</v>
      </c>
      <c r="D3010" s="2" t="s">
        <v>53</v>
      </c>
      <c r="E3010" s="2" t="s">
        <v>1330</v>
      </c>
      <c r="F3010" s="1">
        <v>4.0</v>
      </c>
      <c r="G3010" s="3" t="s">
        <v>85</v>
      </c>
    </row>
    <row r="3011">
      <c r="A3011" s="3" t="s">
        <v>8724</v>
      </c>
      <c r="B3011" s="4" t="str">
        <f>IFERROR(__xludf.DUMMYFUNCTION("GOOGLETRANSLATE(A3011, ""en"", ""te"")"),"అముల్ పాలు")</f>
        <v>అముల్ పాలు</v>
      </c>
      <c r="C3011" s="4" t="str">
        <f>IFERROR(__xludf.DUMMYFUNCTION("GOOGLETRANSLATE(A3011, ""en"", ""hi"")"),"अमूल दूध")</f>
        <v>अमूल दूध</v>
      </c>
      <c r="D3011" s="2" t="s">
        <v>8512</v>
      </c>
      <c r="E3011" s="2" t="s">
        <v>2369</v>
      </c>
      <c r="F3011" s="1">
        <v>4.0</v>
      </c>
      <c r="G3011" s="3" t="s">
        <v>10</v>
      </c>
    </row>
    <row r="3012">
      <c r="A3012" s="3" t="s">
        <v>7048</v>
      </c>
      <c r="B3012" s="4" t="str">
        <f>IFERROR(__xludf.DUMMYFUNCTION("GOOGLETRANSLATE(A3012, ""en"", ""te"")"),"నిజమైన కొబ్బరి నీరు")</f>
        <v>నిజమైన కొబ్బరి నీరు</v>
      </c>
      <c r="C3012" s="4" t="str">
        <f>IFERROR(__xludf.DUMMYFUNCTION("GOOGLETRANSLATE(A3012, ""en"", ""hi"")"),"असली नारियल पानी")</f>
        <v>असली नारियल पानी</v>
      </c>
      <c r="D3012" s="2" t="s">
        <v>53</v>
      </c>
      <c r="E3012" s="2" t="s">
        <v>1330</v>
      </c>
      <c r="F3012" s="1">
        <v>4.0</v>
      </c>
      <c r="G3012" s="3" t="s">
        <v>85</v>
      </c>
    </row>
    <row r="3013">
      <c r="A3013" s="3" t="s">
        <v>8725</v>
      </c>
      <c r="B3013" s="4" t="str">
        <f>IFERROR(__xludf.DUMMYFUNCTION("GOOGLETRANSLATE(A3013, ""en"", ""te"")"),"కాశ్మీర్ జీరా సోడా క్యాన్")</f>
        <v>కాశ్మీర్ జీరా సోడా క్యాన్</v>
      </c>
      <c r="C3013" s="4" t="str">
        <f>IFERROR(__xludf.DUMMYFUNCTION("GOOGLETRANSLATE(A3013, ""en"", ""hi"")"),"कश्मीर जीरा सोडा कैन")</f>
        <v>कश्मीर जीरा सोडा कैन</v>
      </c>
      <c r="D3013" s="5"/>
      <c r="E3013" s="2" t="s">
        <v>1330</v>
      </c>
      <c r="F3013" s="1">
        <v>4.0</v>
      </c>
      <c r="G3013" s="3" t="s">
        <v>20</v>
      </c>
    </row>
    <row r="3014">
      <c r="A3014" s="3" t="s">
        <v>8726</v>
      </c>
      <c r="B3014" s="4" t="str">
        <f>IFERROR(__xludf.DUMMYFUNCTION("GOOGLETRANSLATE(A3014, ""en"", ""te"")"),"వేప ఆకులు")</f>
        <v>వేప ఆకులు</v>
      </c>
      <c r="C3014" s="4" t="str">
        <f>IFERROR(__xludf.DUMMYFUNCTION("GOOGLETRANSLATE(A3014, ""en"", ""hi"")"),"नीम की पत्तियां")</f>
        <v>नीम की पत्तियां</v>
      </c>
      <c r="D3014" s="5"/>
      <c r="E3014" s="2" t="s">
        <v>442</v>
      </c>
      <c r="F3014" s="1">
        <v>4.0</v>
      </c>
      <c r="G3014" s="3" t="s">
        <v>71</v>
      </c>
    </row>
    <row r="3015">
      <c r="A3015" s="3" t="s">
        <v>8727</v>
      </c>
      <c r="B3015" s="4" t="str">
        <f>IFERROR(__xludf.DUMMYFUNCTION("GOOGLETRANSLATE(A3015, ""en"", ""te"")"),"వైట్ హరాడ్")</f>
        <v>వైట్ హరాడ్</v>
      </c>
      <c r="C3015" s="4" t="str">
        <f>IFERROR(__xludf.DUMMYFUNCTION("GOOGLETRANSLATE(A3015, ""en"", ""hi"")"),"सफेद हार्ड")</f>
        <v>सफेद हार्ड</v>
      </c>
      <c r="D3015" s="5"/>
      <c r="E3015" s="2" t="s">
        <v>442</v>
      </c>
      <c r="F3015" s="1">
        <v>4.0</v>
      </c>
      <c r="G3015" s="3" t="s">
        <v>71</v>
      </c>
    </row>
    <row r="3016">
      <c r="A3016" s="3" t="s">
        <v>8728</v>
      </c>
      <c r="B3016" s="4" t="str">
        <f>IFERROR(__xludf.DUMMYFUNCTION("GOOGLETRANSLATE(A3016, ""en"", ""te"")"),"పిప్లీ")</f>
        <v>పిప్లీ</v>
      </c>
      <c r="C3016" s="4" t="str">
        <f>IFERROR(__xludf.DUMMYFUNCTION("GOOGLETRANSLATE(A3016, ""en"", ""hi"")"),"पिपली")</f>
        <v>पिपली</v>
      </c>
      <c r="D3016" s="5"/>
      <c r="E3016" s="2" t="s">
        <v>442</v>
      </c>
      <c r="F3016" s="1">
        <v>4.0</v>
      </c>
      <c r="G3016" s="3" t="s">
        <v>71</v>
      </c>
    </row>
    <row r="3017">
      <c r="A3017" s="3" t="s">
        <v>6553</v>
      </c>
      <c r="B3017" s="4" t="str">
        <f>IFERROR(__xludf.DUMMYFUNCTION("GOOGLETRANSLATE(A3017, ""en"", ""te"")"),"పసుపు")</f>
        <v>పసుపు</v>
      </c>
      <c r="C3017" s="4" t="str">
        <f>IFERROR(__xludf.DUMMYFUNCTION("GOOGLETRANSLATE(A3017, ""en"", ""hi"")"),"हल्दी")</f>
        <v>हल्दी</v>
      </c>
      <c r="D3017" s="2" t="s">
        <v>708</v>
      </c>
      <c r="E3017" s="2" t="s">
        <v>442</v>
      </c>
      <c r="F3017" s="1">
        <v>4.0</v>
      </c>
      <c r="G3017" s="3" t="s">
        <v>71</v>
      </c>
    </row>
    <row r="3018">
      <c r="A3018" s="3" t="s">
        <v>8729</v>
      </c>
      <c r="B3018" s="4" t="str">
        <f>IFERROR(__xludf.DUMMYFUNCTION("GOOGLETRANSLATE(A3018, ""en"", ""te"")"),"ఇండియన్ బ్రాండ్ హెర్బ్")</f>
        <v>ఇండియన్ బ్రాండ్ హెర్బ్</v>
      </c>
      <c r="C3018" s="4" t="str">
        <f>IFERROR(__xludf.DUMMYFUNCTION("GOOGLETRANSLATE(A3018, ""en"", ""hi"")"),"भारतीय ब्रांड जड़ी बूटी")</f>
        <v>भारतीय ब्रांड जड़ी बूटी</v>
      </c>
      <c r="D3018" s="5"/>
      <c r="E3018" s="2" t="s">
        <v>442</v>
      </c>
      <c r="F3018" s="1">
        <v>4.0</v>
      </c>
      <c r="G3018" s="3" t="s">
        <v>71</v>
      </c>
    </row>
    <row r="3019">
      <c r="A3019" s="3" t="s">
        <v>8730</v>
      </c>
      <c r="B3019" s="4" t="str">
        <f>IFERROR(__xludf.DUMMYFUNCTION("GOOGLETRANSLATE(A3019, ""en"", ""te"")"),"క్రేజీ సూపర్ గ్లూ")</f>
        <v>క్రేజీ సూపర్ గ్లూ</v>
      </c>
      <c r="C3019" s="4" t="str">
        <f>IFERROR(__xludf.DUMMYFUNCTION("GOOGLETRANSLATE(A3019, ""en"", ""hi"")"),"क्रेज़ी सुपर ग्लू")</f>
        <v>क्रेज़ी सुपर ग्लू</v>
      </c>
      <c r="D3019" s="5"/>
      <c r="E3019" s="2" t="s">
        <v>43</v>
      </c>
      <c r="F3019" s="1">
        <v>4.0</v>
      </c>
      <c r="G3019" s="3" t="s">
        <v>71</v>
      </c>
    </row>
    <row r="3020">
      <c r="A3020" s="3" t="s">
        <v>8731</v>
      </c>
      <c r="B3020" s="4" t="str">
        <f>IFERROR(__xludf.DUMMYFUNCTION("GOOGLETRANSLATE(A3020, ""en"", ""te"")"),"వేప పువ్వులు")</f>
        <v>వేప పువ్వులు</v>
      </c>
      <c r="C3020" s="4" t="str">
        <f>IFERROR(__xludf.DUMMYFUNCTION("GOOGLETRANSLATE(A3020, ""en"", ""hi"")"),"नीम के फूल")</f>
        <v>नीम के फूल</v>
      </c>
      <c r="D3020" s="5"/>
      <c r="E3020" s="2" t="s">
        <v>442</v>
      </c>
      <c r="F3020" s="1">
        <v>4.0</v>
      </c>
      <c r="G3020" s="3" t="s">
        <v>76</v>
      </c>
    </row>
    <row r="3021">
      <c r="A3021" s="3" t="s">
        <v>8727</v>
      </c>
      <c r="B3021" s="4" t="str">
        <f>IFERROR(__xludf.DUMMYFUNCTION("GOOGLETRANSLATE(A3021, ""en"", ""te"")"),"వైట్ హరాడ్")</f>
        <v>వైట్ హరాడ్</v>
      </c>
      <c r="C3021" s="4" t="str">
        <f>IFERROR(__xludf.DUMMYFUNCTION("GOOGLETRANSLATE(A3021, ""en"", ""hi"")"),"सफेद हार्ड")</f>
        <v>सफेद हार्ड</v>
      </c>
      <c r="D3021" s="5"/>
      <c r="E3021" s="2" t="s">
        <v>442</v>
      </c>
      <c r="F3021" s="1">
        <v>4.0</v>
      </c>
      <c r="G3021" s="3" t="s">
        <v>76</v>
      </c>
    </row>
    <row r="3022">
      <c r="A3022" s="3" t="s">
        <v>8732</v>
      </c>
      <c r="B3022" s="4" t="str">
        <f>IFERROR(__xludf.DUMMYFUNCTION("GOOGLETRANSLATE(A3022, ""en"", ""te"")"),"బోస్వెల్లియా")</f>
        <v>బోస్వెల్లియా</v>
      </c>
      <c r="C3022" s="4" t="str">
        <f>IFERROR(__xludf.DUMMYFUNCTION("GOOGLETRANSLATE(A3022, ""en"", ""hi"")"),"बोसवेलिया")</f>
        <v>बोसवेलिया</v>
      </c>
      <c r="D3022" s="5"/>
      <c r="E3022" s="2" t="s">
        <v>442</v>
      </c>
      <c r="F3022" s="1">
        <v>4.0</v>
      </c>
      <c r="G3022" s="3" t="s">
        <v>76</v>
      </c>
    </row>
    <row r="3023">
      <c r="A3023" s="3" t="s">
        <v>8729</v>
      </c>
      <c r="B3023" s="4" t="str">
        <f>IFERROR(__xludf.DUMMYFUNCTION("GOOGLETRANSLATE(A3023, ""en"", ""te"")"),"ఇండియన్ బ్రాండ్ హెర్బ్")</f>
        <v>ఇండియన్ బ్రాండ్ హెర్బ్</v>
      </c>
      <c r="C3023" s="4" t="str">
        <f>IFERROR(__xludf.DUMMYFUNCTION("GOOGLETRANSLATE(A3023, ""en"", ""hi"")"),"भारतीय ब्रांड जड़ी बूटी")</f>
        <v>भारतीय ब्रांड जड़ी बूटी</v>
      </c>
      <c r="D3023" s="5"/>
      <c r="E3023" s="2" t="s">
        <v>442</v>
      </c>
      <c r="F3023" s="1">
        <v>4.0</v>
      </c>
      <c r="G3023" s="3" t="s">
        <v>76</v>
      </c>
    </row>
    <row r="3024">
      <c r="A3024" s="3" t="s">
        <v>8733</v>
      </c>
      <c r="B3024" s="4" t="str">
        <f>IFERROR(__xludf.DUMMYFUNCTION("GOOGLETRANSLATE(A3024, ""en"", ""te"")"),"ఫలూదా సేవ్")</f>
        <v>ఫలూదా సేవ్</v>
      </c>
      <c r="C3024" s="4" t="str">
        <f>IFERROR(__xludf.DUMMYFUNCTION("GOOGLETRANSLATE(A3024, ""en"", ""hi"")"),"फालूदा सेव")</f>
        <v>फालूदा सेव</v>
      </c>
      <c r="D3024" s="2" t="s">
        <v>5750</v>
      </c>
      <c r="E3024" s="2" t="s">
        <v>442</v>
      </c>
      <c r="F3024" s="1">
        <v>4.0</v>
      </c>
      <c r="G3024" s="3" t="s">
        <v>76</v>
      </c>
    </row>
    <row r="3025">
      <c r="A3025" s="3" t="s">
        <v>8734</v>
      </c>
      <c r="B3025" s="4" t="str">
        <f>IFERROR(__xludf.DUMMYFUNCTION("GOOGLETRANSLATE(A3025, ""en"", ""te"")"),"తులసి ఆకులు")</f>
        <v>తులసి ఆకులు</v>
      </c>
      <c r="C3025" s="4" t="str">
        <f>IFERROR(__xludf.DUMMYFUNCTION("GOOGLETRANSLATE(A3025, ""en"", ""hi"")"),"तुलसी के पत्ते")</f>
        <v>तुलसी के पत्ते</v>
      </c>
      <c r="D3025" s="5"/>
      <c r="E3025" s="2" t="s">
        <v>442</v>
      </c>
      <c r="F3025" s="1">
        <v>4.0</v>
      </c>
      <c r="G3025" s="3" t="s">
        <v>85</v>
      </c>
    </row>
    <row r="3026">
      <c r="A3026" s="3" t="s">
        <v>8735</v>
      </c>
      <c r="B3026" s="4" t="str">
        <f>IFERROR(__xludf.DUMMYFUNCTION("GOOGLETRANSLATE(A3026, ""en"", ""te"")"),"తయారీ")</f>
        <v>తయారీ</v>
      </c>
      <c r="C3026" s="4" t="str">
        <f>IFERROR(__xludf.DUMMYFUNCTION("GOOGLETRANSLATE(A3026, ""en"", ""hi"")"),"तयारी")</f>
        <v>तयारी</v>
      </c>
      <c r="D3026" s="5"/>
      <c r="E3026" s="2" t="s">
        <v>9</v>
      </c>
      <c r="F3026" s="1">
        <v>4.0</v>
      </c>
      <c r="G3026" s="3" t="s">
        <v>85</v>
      </c>
    </row>
    <row r="3027">
      <c r="A3027" s="3" t="s">
        <v>8736</v>
      </c>
      <c r="B3027" s="4" t="str">
        <f>IFERROR(__xludf.DUMMYFUNCTION("GOOGLETRANSLATE(A3027, ""en"", ""te"")"),"షికాకై")</f>
        <v>షికాకై</v>
      </c>
      <c r="C3027" s="4" t="str">
        <f>IFERROR(__xludf.DUMMYFUNCTION("GOOGLETRANSLATE(A3027, ""en"", ""hi"")"),"Shikakai")</f>
        <v>Shikakai</v>
      </c>
      <c r="D3027" s="5"/>
      <c r="E3027" s="2" t="s">
        <v>442</v>
      </c>
      <c r="F3027" s="1">
        <v>4.0</v>
      </c>
      <c r="G3027" s="3" t="s">
        <v>85</v>
      </c>
    </row>
    <row r="3028">
      <c r="A3028" s="3" t="s">
        <v>8737</v>
      </c>
      <c r="B3028" s="4" t="str">
        <f>IFERROR(__xludf.DUMMYFUNCTION("GOOGLETRANSLATE(A3028, ""en"", ""te"")"),"4 వివిధ పరిమాణాల సేఫ్టీ పిన్‌లు")</f>
        <v>4 వివిధ పరిమాణాల సేఫ్టీ పిన్‌లు</v>
      </c>
      <c r="C3028" s="4" t="str">
        <f>IFERROR(__xludf.DUMMYFUNCTION("GOOGLETRANSLATE(A3028, ""en"", ""hi"")"),"4 विभिन्न आकार की सुरक्षा पिन")</f>
        <v>4 विभिन्न आकार की सुरक्षा पिन</v>
      </c>
      <c r="D3028" s="5"/>
      <c r="E3028" s="2" t="s">
        <v>43</v>
      </c>
      <c r="F3028" s="1">
        <v>4.0</v>
      </c>
      <c r="G3028" s="3" t="s">
        <v>85</v>
      </c>
    </row>
    <row r="3029">
      <c r="A3029" s="3" t="s">
        <v>8738</v>
      </c>
      <c r="B3029" s="4" t="str">
        <f>IFERROR(__xludf.DUMMYFUNCTION("GOOGLETRANSLATE(A3029, ""en"", ""te"")"),"డ్యూరాసెల్ పవర్ బూస్ట్")</f>
        <v>డ్యూరాసెల్ పవర్ బూస్ట్</v>
      </c>
      <c r="C3029" s="4" t="str">
        <f>IFERROR(__xludf.DUMMYFUNCTION("GOOGLETRANSLATE(A3029, ""en"", ""hi"")"),"ड्यूरासेल पावर बूस्ट")</f>
        <v>ड्यूरासेल पावर बूस्ट</v>
      </c>
      <c r="D3029" s="5"/>
      <c r="E3029" s="2" t="s">
        <v>43</v>
      </c>
      <c r="F3029" s="1">
        <v>4.0</v>
      </c>
      <c r="G3029" s="3" t="s">
        <v>85</v>
      </c>
    </row>
    <row r="3030">
      <c r="A3030" s="3" t="s">
        <v>8739</v>
      </c>
      <c r="B3030" s="4" t="str">
        <f>IFERROR(__xludf.DUMMYFUNCTION("GOOGLETRANSLATE(A3030, ""en"", ""te"")"),"కాడ్బరీ డైరీ మిల్క్ చాక్లెట్")</f>
        <v>కాడ్బరీ డైరీ మిల్క్ చాక్లెట్</v>
      </c>
      <c r="C3030" s="4" t="str">
        <f>IFERROR(__xludf.DUMMYFUNCTION("GOOGLETRANSLATE(A3030, ""en"", ""hi"")"),"कैडबरी डेयरी मिल्क चॉकलेट")</f>
        <v>कैडबरी डेयरी मिल्क चॉकलेट</v>
      </c>
      <c r="D3030" s="5"/>
      <c r="E3030" s="2" t="s">
        <v>3438</v>
      </c>
      <c r="F3030" s="1">
        <v>4.0</v>
      </c>
      <c r="G3030" s="3" t="s">
        <v>71</v>
      </c>
    </row>
    <row r="3031">
      <c r="A3031" s="3" t="s">
        <v>8740</v>
      </c>
      <c r="B3031" s="4" t="str">
        <f>IFERROR(__xludf.DUMMYFUNCTION("GOOGLETRANSLATE(A3031, ""en"", ""te"")"),"పెర్క్ చాక్లెట్")</f>
        <v>పెర్క్ చాక్లెట్</v>
      </c>
      <c r="C3031" s="4" t="str">
        <f>IFERROR(__xludf.DUMMYFUNCTION("GOOGLETRANSLATE(A3031, ""en"", ""hi"")"),"पर्क चॉकलेट")</f>
        <v>पर्क चॉकलेट</v>
      </c>
      <c r="D3031" s="5"/>
      <c r="E3031" s="2" t="s">
        <v>4100</v>
      </c>
      <c r="F3031" s="1">
        <v>4.0</v>
      </c>
      <c r="G3031" s="3" t="s">
        <v>76</v>
      </c>
    </row>
    <row r="3032">
      <c r="A3032" s="3" t="s">
        <v>8741</v>
      </c>
      <c r="B3032" s="4" t="str">
        <f>IFERROR(__xludf.DUMMYFUNCTION("GOOGLETRANSLATE(A3032, ""en"", ""te"")"),"బౌంటీ చాక్లెట్ బార్")</f>
        <v>బౌంటీ చాక్లెట్ బార్</v>
      </c>
      <c r="C3032" s="4" t="str">
        <f>IFERROR(__xludf.DUMMYFUNCTION("GOOGLETRANSLATE(A3032, ""en"", ""hi"")"),"बाउंटी चॉकलेट बार")</f>
        <v>बाउंटी चॉकलेट बार</v>
      </c>
      <c r="D3032" s="5"/>
      <c r="E3032" s="2" t="s">
        <v>4100</v>
      </c>
      <c r="F3032" s="1">
        <v>4.0</v>
      </c>
      <c r="G3032" s="3" t="s">
        <v>76</v>
      </c>
    </row>
    <row r="3033">
      <c r="A3033" s="3" t="s">
        <v>8742</v>
      </c>
      <c r="B3033" s="4" t="str">
        <f>IFERROR(__xludf.DUMMYFUNCTION("GOOGLETRANSLATE(A3033, ""en"", ""te"")"),"ట్విర్ల్ చాక్లెట్ బార్")</f>
        <v>ట్విర్ల్ చాక్లెట్ బార్</v>
      </c>
      <c r="C3033" s="4" t="str">
        <f>IFERROR(__xludf.DUMMYFUNCTION("GOOGLETRANSLATE(A3033, ""en"", ""hi"")"),"ट्वर्ल चॉकलेट बार")</f>
        <v>ट्वर्ल चॉकलेट बार</v>
      </c>
      <c r="D3033" s="5"/>
      <c r="E3033" s="2" t="s">
        <v>4100</v>
      </c>
      <c r="F3033" s="1">
        <v>4.0</v>
      </c>
      <c r="G3033" s="3" t="s">
        <v>76</v>
      </c>
    </row>
    <row r="3034">
      <c r="A3034" s="3" t="s">
        <v>8743</v>
      </c>
      <c r="B3034" s="4" t="str">
        <f>IFERROR(__xludf.DUMMYFUNCTION("GOOGLETRANSLATE(A3034, ""en"", ""te"")"),"నెస్లే బ్లాస్ట్ చాక్లెట్")</f>
        <v>నెస్లే బ్లాస్ట్ చాక్లెట్</v>
      </c>
      <c r="C3034" s="4" t="str">
        <f>IFERROR(__xludf.DUMMYFUNCTION("GOOGLETRANSLATE(A3034, ""en"", ""hi"")"),"नेस्ले ब्लास्ट चॉकलेट")</f>
        <v>नेस्ले ब्लास्ट चॉकलेट</v>
      </c>
      <c r="D3034" s="5"/>
      <c r="E3034" s="2" t="s">
        <v>4100</v>
      </c>
      <c r="F3034" s="1">
        <v>4.0</v>
      </c>
      <c r="G3034" s="3" t="s">
        <v>76</v>
      </c>
    </row>
    <row r="3035">
      <c r="A3035" s="3" t="s">
        <v>8744</v>
      </c>
      <c r="B3035" s="4" t="str">
        <f>IFERROR(__xludf.DUMMYFUNCTION("GOOGLETRANSLATE(A3035, ""en"", ""te"")"),"మెంతి గింజలు")</f>
        <v>మెంతి గింజలు</v>
      </c>
      <c r="C3035" s="4" t="str">
        <f>IFERROR(__xludf.DUMMYFUNCTION("GOOGLETRANSLATE(A3035, ""en"", ""hi"")"),"कसूरी मेथी")</f>
        <v>कसूरी मेथी</v>
      </c>
      <c r="D3035" s="5"/>
      <c r="E3035" s="2" t="s">
        <v>442</v>
      </c>
      <c r="F3035" s="1">
        <v>4.0</v>
      </c>
      <c r="G3035" s="3" t="s">
        <v>85</v>
      </c>
    </row>
    <row r="3036">
      <c r="A3036" s="3" t="s">
        <v>8745</v>
      </c>
      <c r="B3036" s="4" t="str">
        <f>IFERROR(__xludf.DUMMYFUNCTION("GOOGLETRANSLATE(A3036, ""en"", ""te"")"),"ట్విక్స్ చాక్లెట్")</f>
        <v>ట్విక్స్ చాక్లెట్</v>
      </c>
      <c r="C3036" s="4" t="str">
        <f>IFERROR(__xludf.DUMMYFUNCTION("GOOGLETRANSLATE(A3036, ""en"", ""hi"")"),"ट्विक्स चॉकलेट")</f>
        <v>ट्विक्स चॉकलेट</v>
      </c>
      <c r="D3036" s="2" t="s">
        <v>8746</v>
      </c>
      <c r="E3036" s="2" t="s">
        <v>1294</v>
      </c>
      <c r="F3036" s="1">
        <v>4.0</v>
      </c>
      <c r="G3036" s="3" t="s">
        <v>71</v>
      </c>
    </row>
    <row r="3037">
      <c r="A3037" s="3" t="s">
        <v>6943</v>
      </c>
      <c r="B3037" s="4" t="str">
        <f>IFERROR(__xludf.DUMMYFUNCTION("GOOGLETRANSLATE(A3037, ""en"", ""te"")"),"కాడ్బరీ డైరీ మిల్క్")</f>
        <v>కాడ్బరీ డైరీ మిల్క్</v>
      </c>
      <c r="C3037" s="4" t="str">
        <f>IFERROR(__xludf.DUMMYFUNCTION("GOOGLETRANSLATE(A3037, ""en"", ""hi"")"),"कैडबरी डेयरी मिल्क")</f>
        <v>कैडबरी डेयरी मिल्क</v>
      </c>
      <c r="D3037" s="2" t="s">
        <v>6944</v>
      </c>
      <c r="E3037" s="2" t="s">
        <v>4100</v>
      </c>
      <c r="F3037" s="1">
        <v>4.0</v>
      </c>
      <c r="G3037" s="3" t="s">
        <v>71</v>
      </c>
    </row>
    <row r="3038">
      <c r="A3038" s="3" t="s">
        <v>8747</v>
      </c>
      <c r="B3038" s="4" t="str">
        <f>IFERROR(__xludf.DUMMYFUNCTION("GOOGLETRANSLATE(A3038, ""en"", ""te"")"),"తెలియని మిఠాయి/చిరుతిండి")</f>
        <v>తెలియని మిఠాయి/చిరుతిండి</v>
      </c>
      <c r="C3038" s="4" t="str">
        <f>IFERROR(__xludf.DUMMYFUNCTION("GOOGLETRANSLATE(A3038, ""en"", ""hi"")"),"अज्ञात कैंडी/स्नैक")</f>
        <v>अज्ञात कैंडी/स्नैक</v>
      </c>
      <c r="D3038" s="2" t="s">
        <v>8748</v>
      </c>
      <c r="E3038" s="2" t="s">
        <v>1294</v>
      </c>
      <c r="F3038" s="1">
        <v>4.0</v>
      </c>
      <c r="G3038" s="3" t="s">
        <v>71</v>
      </c>
    </row>
    <row r="3039">
      <c r="A3039" s="3" t="s">
        <v>8749</v>
      </c>
      <c r="B3039" s="4" t="str">
        <f>IFERROR(__xludf.DUMMYFUNCTION("GOOGLETRANSLATE(A3039, ""en"", ""te"")"),"రకరకాల స్నాక్ ప్యాక్")</f>
        <v>రకరకాల స్నాక్ ప్యాక్</v>
      </c>
      <c r="C3039" s="4" t="str">
        <f>IFERROR(__xludf.DUMMYFUNCTION("GOOGLETRANSLATE(A3039, ""en"", ""hi"")"),"मिश्रित स्नैक पैक")</f>
        <v>मिश्रित स्नैक पैक</v>
      </c>
      <c r="D3039" s="2" t="s">
        <v>8750</v>
      </c>
      <c r="E3039" s="2" t="s">
        <v>1294</v>
      </c>
      <c r="F3039" s="1">
        <v>4.0</v>
      </c>
      <c r="G3039" s="3" t="s">
        <v>76</v>
      </c>
    </row>
    <row r="3040">
      <c r="A3040" s="3" t="s">
        <v>8751</v>
      </c>
      <c r="B3040" s="4" t="str">
        <f>IFERROR(__xludf.DUMMYFUNCTION("GOOGLETRANSLATE(A3040, ""en"", ""te"")"),"రకరకాల చిన్న వస్తువుల పెట్టె")</f>
        <v>రకరకాల చిన్న వస్తువుల పెట్టె</v>
      </c>
      <c r="C3040" s="4" t="str">
        <f>IFERROR(__xludf.DUMMYFUNCTION("GOOGLETRANSLATE(A3040, ""en"", ""hi"")"),"मिश्रित छोटी वस्तुओं का बॉक्स")</f>
        <v>मिश्रित छोटी वस्तुओं का बॉक्स</v>
      </c>
      <c r="D3040" s="5"/>
      <c r="E3040" s="2" t="s">
        <v>2279</v>
      </c>
      <c r="F3040" s="1">
        <v>4.0</v>
      </c>
      <c r="G3040" s="3" t="s">
        <v>76</v>
      </c>
    </row>
    <row r="3041">
      <c r="A3041" s="3" t="s">
        <v>8752</v>
      </c>
      <c r="B3041" s="4" t="str">
        <f>IFERROR(__xludf.DUMMYFUNCTION("GOOGLETRANSLATE(A3041, ""en"", ""te"")"),"పెర్క్")</f>
        <v>పెర్క్</v>
      </c>
      <c r="C3041" s="4" t="str">
        <f>IFERROR(__xludf.DUMMYFUNCTION("GOOGLETRANSLATE(A3041, ""en"", ""hi"")"),"उबाल आना")</f>
        <v>उबाल आना</v>
      </c>
      <c r="D3041" s="5"/>
      <c r="E3041" s="2" t="s">
        <v>2279</v>
      </c>
      <c r="F3041" s="1">
        <v>4.0</v>
      </c>
      <c r="G3041" s="3" t="s">
        <v>76</v>
      </c>
    </row>
    <row r="3042">
      <c r="A3042" s="3" t="s">
        <v>8753</v>
      </c>
      <c r="B3042" s="4" t="str">
        <f>IFERROR(__xludf.DUMMYFUNCTION("GOOGLETRANSLATE(A3042, ""en"", ""te"")"),"కాడ్బరీ బ్లాస్ట్ చాక్లెట్")</f>
        <v>కాడ్బరీ బ్లాస్ట్ చాక్లెట్</v>
      </c>
      <c r="C3042" s="4" t="str">
        <f>IFERROR(__xludf.DUMMYFUNCTION("GOOGLETRANSLATE(A3042, ""en"", ""hi"")"),"कैडबरी ब्लास्ट चॉकलेट")</f>
        <v>कैडबरी ब्लास्ट चॉकलेट</v>
      </c>
      <c r="D3042" s="2" t="s">
        <v>8754</v>
      </c>
      <c r="E3042" s="2" t="s">
        <v>4100</v>
      </c>
      <c r="F3042" s="1">
        <v>4.0</v>
      </c>
      <c r="G3042" s="3" t="s">
        <v>76</v>
      </c>
    </row>
    <row r="3043">
      <c r="A3043" s="3" t="s">
        <v>8755</v>
      </c>
      <c r="B3043" s="4" t="str">
        <f>IFERROR(__xludf.DUMMYFUNCTION("GOOGLETRANSLATE(A3043, ""en"", ""te"")"),"బహుమతి")</f>
        <v>బహుమతి</v>
      </c>
      <c r="C3043" s="4" t="str">
        <f>IFERROR(__xludf.DUMMYFUNCTION("GOOGLETRANSLATE(A3043, ""en"", ""hi"")"),"इनाम")</f>
        <v>इनाम</v>
      </c>
      <c r="D3043" s="5"/>
      <c r="E3043" s="2" t="s">
        <v>2700</v>
      </c>
      <c r="F3043" s="1">
        <v>4.0</v>
      </c>
      <c r="G3043" s="3" t="s">
        <v>76</v>
      </c>
    </row>
    <row r="3044">
      <c r="A3044" s="3" t="s">
        <v>8756</v>
      </c>
      <c r="B3044" s="4" t="str">
        <f>IFERROR(__xludf.DUMMYFUNCTION("GOOGLETRANSLATE(A3044, ""en"", ""te"")"),"స్వీట్ &amp; సాల్టీ స్వాద్ కన్ఫెక్షనరీ")</f>
        <v>స్వీట్ &amp; సాల్టీ స్వాద్ కన్ఫెక్షనరీ</v>
      </c>
      <c r="C3044" s="4" t="str">
        <f>IFERROR(__xludf.DUMMYFUNCTION("GOOGLETRANSLATE(A3044, ""en"", ""hi"")"),"मीठा और नमकीन स्वाद कन्फेक्शनरी")</f>
        <v>मीठा और नमकीन स्वाद कन्फेक्शनरी</v>
      </c>
      <c r="D3044" s="5"/>
      <c r="E3044" s="2" t="s">
        <v>3438</v>
      </c>
      <c r="F3044" s="1">
        <v>4.0</v>
      </c>
      <c r="G3044" s="3" t="s">
        <v>76</v>
      </c>
    </row>
    <row r="3045">
      <c r="A3045" s="3" t="s">
        <v>6943</v>
      </c>
      <c r="B3045" s="4" t="str">
        <f>IFERROR(__xludf.DUMMYFUNCTION("GOOGLETRANSLATE(A3045, ""en"", ""te"")"),"కాడ్బరీ డైరీ మిల్క్")</f>
        <v>కాడ్బరీ డైరీ మిల్క్</v>
      </c>
      <c r="C3045" s="4" t="str">
        <f>IFERROR(__xludf.DUMMYFUNCTION("GOOGLETRANSLATE(A3045, ""en"", ""hi"")"),"कैडबरी डेयरी मिल्क")</f>
        <v>कैडबरी डेयरी मिल्क</v>
      </c>
      <c r="D3045" s="2" t="s">
        <v>6944</v>
      </c>
      <c r="E3045" s="2" t="s">
        <v>4100</v>
      </c>
      <c r="F3045" s="1">
        <v>4.0</v>
      </c>
      <c r="G3045" s="3" t="s">
        <v>85</v>
      </c>
    </row>
    <row r="3046">
      <c r="A3046" s="3" t="s">
        <v>8757</v>
      </c>
      <c r="B3046" s="4" t="str">
        <f>IFERROR(__xludf.DUMMYFUNCTION("GOOGLETRANSLATE(A3046, ""en"", ""te"")"),"రేణువు")</f>
        <v>రేణువు</v>
      </c>
      <c r="C3046" s="4" t="str">
        <f>IFERROR(__xludf.DUMMYFUNCTION("GOOGLETRANSLATE(A3046, ""en"", ""hi"")"),"परत")</f>
        <v>परत</v>
      </c>
      <c r="D3046" s="5"/>
      <c r="E3046" s="2" t="s">
        <v>4100</v>
      </c>
      <c r="F3046" s="1">
        <v>4.0</v>
      </c>
      <c r="G3046" s="3" t="s">
        <v>85</v>
      </c>
    </row>
    <row r="3047">
      <c r="A3047" s="3" t="s">
        <v>8758</v>
      </c>
      <c r="B3047" s="4" t="str">
        <f>IFERROR(__xludf.DUMMYFUNCTION("GOOGLETRANSLATE(A3047, ""en"", ""te"")"),"రెవెల్ స్టెయిన్‌లెస్ స్టీల్ హెర్బ్ &amp; స్పైస్ గ్రైండర్")</f>
        <v>రెవెల్ స్టెయిన్‌లెస్ స్టీల్ హెర్బ్ &amp; స్పైస్ గ్రైండర్</v>
      </c>
      <c r="C3047" s="4" t="str">
        <f>IFERROR(__xludf.DUMMYFUNCTION("GOOGLETRANSLATE(A3047, ""en"", ""hi"")"),"रेवेल स्टेनलेस स्टील जड़ी बूटी और मसाला ग्राइंडर")</f>
        <v>रेवेल स्टेनलेस स्टील जड़ी बूटी और मसाला ग्राइंडर</v>
      </c>
      <c r="D3047" s="5"/>
      <c r="E3047" s="2" t="s">
        <v>327</v>
      </c>
      <c r="F3047" s="1">
        <v>4.0</v>
      </c>
      <c r="G3047" s="3" t="s">
        <v>71</v>
      </c>
    </row>
    <row r="3048">
      <c r="A3048" s="3" t="s">
        <v>8759</v>
      </c>
      <c r="B3048" s="4" t="str">
        <f>IFERROR(__xludf.DUMMYFUNCTION("GOOGLETRANSLATE(A3048, ""en"", ""te"")"),"మైటీ మైట్")</f>
        <v>మైటీ మైట్</v>
      </c>
      <c r="C3048" s="4" t="str">
        <f>IFERROR(__xludf.DUMMYFUNCTION("GOOGLETRANSLATE(A3048, ""en"", ""hi"")"),"शक्तिशाली माइट")</f>
        <v>शक्तिशाली माइट</v>
      </c>
      <c r="D3048" s="5"/>
      <c r="E3048" s="2" t="s">
        <v>43</v>
      </c>
      <c r="F3048" s="1">
        <v>4.0</v>
      </c>
      <c r="G3048" s="3" t="s">
        <v>71</v>
      </c>
    </row>
    <row r="3049">
      <c r="A3049" s="3" t="s">
        <v>8760</v>
      </c>
      <c r="B3049" s="4" t="str">
        <f>IFERROR(__xludf.DUMMYFUNCTION("GOOGLETRANSLATE(A3049, ""en"", ""te"")"),"నెవిక్ థర్మామీటర్")</f>
        <v>నెవిక్ థర్మామీటర్</v>
      </c>
      <c r="C3049" s="4" t="str">
        <f>IFERROR(__xludf.DUMMYFUNCTION("GOOGLETRANSLATE(A3049, ""en"", ""hi"")"),"नेविक थर्मामीटर")</f>
        <v>नेविक थर्मामीटर</v>
      </c>
      <c r="D3049" s="5"/>
      <c r="E3049" s="2" t="s">
        <v>48</v>
      </c>
      <c r="F3049" s="1">
        <v>4.0</v>
      </c>
      <c r="G3049" s="3" t="s">
        <v>76</v>
      </c>
    </row>
    <row r="3050">
      <c r="A3050" s="3" t="s">
        <v>8761</v>
      </c>
      <c r="B3050" s="4" t="str">
        <f>IFERROR(__xludf.DUMMYFUNCTION("GOOGLETRANSLATE(A3050, ""en"", ""te"")"),"స్వాద్ శిలాజిత్ క్యాప్సూల్స్")</f>
        <v>స్వాద్ శిలాజిత్ క్యాప్సూల్స్</v>
      </c>
      <c r="C3050" s="4" t="str">
        <f>IFERROR(__xludf.DUMMYFUNCTION("GOOGLETRANSLATE(A3050, ""en"", ""hi"")"),"स्वाद शिलाजीत कैप्सूल")</f>
        <v>स्वाद शिलाजीत कैप्सूल</v>
      </c>
      <c r="D3050" s="2" t="s">
        <v>8762</v>
      </c>
      <c r="E3050" s="2" t="s">
        <v>1038</v>
      </c>
      <c r="F3050" s="1">
        <v>4.0</v>
      </c>
      <c r="G3050" s="3" t="s">
        <v>114</v>
      </c>
    </row>
    <row r="3051">
      <c r="A3051" s="3" t="s">
        <v>8763</v>
      </c>
      <c r="B3051" s="4" t="str">
        <f>IFERROR(__xludf.DUMMYFUNCTION("GOOGLETRANSLATE(A3051, ""en"", ""te"")"),"స్వాద్ ముఘలాయ్ పాన్")</f>
        <v>స్వాద్ ముఘలాయ్ పాన్</v>
      </c>
      <c r="C3051" s="4" t="str">
        <f>IFERROR(__xludf.DUMMYFUNCTION("GOOGLETRANSLATE(A3051, ""en"", ""hi"")"),"स्वाद मुगलई पान")</f>
        <v>स्वाद मुगलई पान</v>
      </c>
      <c r="D3051" s="5"/>
      <c r="E3051" s="2" t="s">
        <v>442</v>
      </c>
      <c r="F3051" s="1">
        <v>4.0</v>
      </c>
      <c r="G3051" s="3" t="s">
        <v>114</v>
      </c>
    </row>
    <row r="3052">
      <c r="A3052" s="3" t="s">
        <v>8764</v>
      </c>
      <c r="B3052" s="4" t="str">
        <f>IFERROR(__xludf.DUMMYFUNCTION("GOOGLETRANSLATE(A3052, ""en"", ""te"")"),"రాయల్ రాయల్ రాయల్ రాయల్")</f>
        <v>రాయల్ రాయల్ రాయల్ రాయల్</v>
      </c>
      <c r="C3052" s="4" t="str">
        <f>IFERROR(__xludf.DUMMYFUNCTION("GOOGLETRANSLATE(A3052, ""en"", ""hi"")"),"रॉयल रॉयल रॉयल रॉयल")</f>
        <v>रॉयल रॉयल रॉयल रॉयल</v>
      </c>
      <c r="D3052" s="5"/>
      <c r="E3052" s="2" t="s">
        <v>2279</v>
      </c>
      <c r="F3052" s="1">
        <v>4.0</v>
      </c>
      <c r="G3052" s="3" t="s">
        <v>76</v>
      </c>
    </row>
    <row r="3053">
      <c r="A3053" s="3" t="s">
        <v>8765</v>
      </c>
      <c r="B3053" s="4" t="str">
        <f>IFERROR(__xludf.DUMMYFUNCTION("GOOGLETRANSLATE(A3053, ""en"", ""te"")"),"పతంజలి కాజల్")</f>
        <v>పతంజలి కాజల్</v>
      </c>
      <c r="C3053" s="4" t="str">
        <f>IFERROR(__xludf.DUMMYFUNCTION("GOOGLETRANSLATE(A3053, ""en"", ""hi"")"),"पतंजलि काजल")</f>
        <v>पतंजलि काजल</v>
      </c>
      <c r="D3053" s="5"/>
      <c r="E3053" s="2" t="s">
        <v>48</v>
      </c>
      <c r="F3053" s="1">
        <v>4.0</v>
      </c>
      <c r="G3053" s="3" t="s">
        <v>85</v>
      </c>
    </row>
    <row r="3054">
      <c r="A3054" s="3" t="s">
        <v>8766</v>
      </c>
      <c r="B3054" s="4" t="str">
        <f>IFERROR(__xludf.DUMMYFUNCTION("GOOGLETRANSLATE(A3054, ""en"", ""te"")"),"శృంగార సింధూరం")</f>
        <v>శృంగార సింధూరం</v>
      </c>
      <c r="C3054" s="4" t="str">
        <f>IFERROR(__xludf.DUMMYFUNCTION("GOOGLETRANSLATE(A3054, ""en"", ""hi"")"),"श्रृंगार सिंदूर")</f>
        <v>श्रृंगार सिंदूर</v>
      </c>
      <c r="D3054" s="5"/>
      <c r="E3054" s="2" t="s">
        <v>48</v>
      </c>
      <c r="F3054" s="1">
        <v>4.0</v>
      </c>
      <c r="G3054" s="3" t="s">
        <v>85</v>
      </c>
    </row>
    <row r="3055">
      <c r="A3055" s="3" t="s">
        <v>8767</v>
      </c>
      <c r="B3055" s="4" t="str">
        <f>IFERROR(__xludf.DUMMYFUNCTION("GOOGLETRANSLATE(A3055, ""en"", ""te"")"),"జిప్లాక్ సంచులు")</f>
        <v>జిప్లాక్ సంచులు</v>
      </c>
      <c r="C3055" s="4" t="str">
        <f>IFERROR(__xludf.DUMMYFUNCTION("GOOGLETRANSLATE(A3055, ""en"", ""hi"")"),"ज़िपलॉक बैग")</f>
        <v>ज़िपलॉक बैग</v>
      </c>
      <c r="D3055" s="5"/>
      <c r="E3055" s="2" t="s">
        <v>43</v>
      </c>
      <c r="F3055" s="1">
        <v>4.0</v>
      </c>
      <c r="G3055" s="3" t="s">
        <v>85</v>
      </c>
    </row>
    <row r="3056">
      <c r="A3056" s="3" t="s">
        <v>8768</v>
      </c>
      <c r="B3056" s="4" t="str">
        <f>IFERROR(__xludf.DUMMYFUNCTION("GOOGLETRANSLATE(A3056, ""en"", ""te"")"),"బిక్ లైటర్")</f>
        <v>బిక్ లైటర్</v>
      </c>
      <c r="C3056" s="4" t="str">
        <f>IFERROR(__xludf.DUMMYFUNCTION("GOOGLETRANSLATE(A3056, ""en"", ""hi"")"),"बिक लाइटर")</f>
        <v>बिक लाइटर</v>
      </c>
      <c r="D3056" s="5"/>
      <c r="E3056" s="2" t="s">
        <v>43</v>
      </c>
      <c r="F3056" s="1">
        <v>4.0</v>
      </c>
      <c r="G3056" s="3" t="s">
        <v>85</v>
      </c>
    </row>
    <row r="3057">
      <c r="A3057" s="3" t="s">
        <v>8769</v>
      </c>
      <c r="B3057" s="4" t="str">
        <f>IFERROR(__xludf.DUMMYFUNCTION("GOOGLETRANSLATE(A3057, ""en"", ""te"")"),"విక్స్ ఇన్హేలర్")</f>
        <v>విక్స్ ఇన్హేలర్</v>
      </c>
      <c r="C3057" s="4" t="str">
        <f>IFERROR(__xludf.DUMMYFUNCTION("GOOGLETRANSLATE(A3057, ""en"", ""hi"")"),"विक्स इनहेलर")</f>
        <v>विक्स इनहेलर</v>
      </c>
      <c r="D3057" s="5"/>
      <c r="E3057" s="2" t="s">
        <v>48</v>
      </c>
      <c r="F3057" s="1">
        <v>4.0</v>
      </c>
      <c r="G3057" s="3" t="s">
        <v>85</v>
      </c>
    </row>
    <row r="3058">
      <c r="A3058" s="3" t="s">
        <v>8770</v>
      </c>
      <c r="B3058" s="4" t="str">
        <f>IFERROR(__xludf.DUMMYFUNCTION("GOOGLETRANSLATE(A3058, ""en"", ""te"")"),"ఆల్ పర్పస్ మ్యాచ్‌లు")</f>
        <v>ఆల్ పర్పస్ మ్యాచ్‌లు</v>
      </c>
      <c r="C3058" s="4" t="str">
        <f>IFERROR(__xludf.DUMMYFUNCTION("GOOGLETRANSLATE(A3058, ""en"", ""hi"")"),"सभी प्रकार की माचिस")</f>
        <v>सभी प्रकार की माचिस</v>
      </c>
      <c r="D3058" s="5"/>
      <c r="E3058" s="2" t="s">
        <v>43</v>
      </c>
      <c r="F3058" s="1">
        <v>4.0</v>
      </c>
      <c r="G3058" s="3" t="s">
        <v>114</v>
      </c>
    </row>
    <row r="3059">
      <c r="A3059" s="3" t="s">
        <v>8771</v>
      </c>
      <c r="B3059" s="4" t="str">
        <f>IFERROR(__xludf.DUMMYFUNCTION("GOOGLETRANSLATE(A3059, ""en"", ""te"")"),"శృంగార కాజల్")</f>
        <v>శృంగార కాజల్</v>
      </c>
      <c r="C3059" s="4" t="str">
        <f>IFERROR(__xludf.DUMMYFUNCTION("GOOGLETRANSLATE(A3059, ""en"", ""hi"")"),"शिंगार काजल")</f>
        <v>शिंगार काजल</v>
      </c>
      <c r="D3059" s="5"/>
      <c r="E3059" s="2" t="s">
        <v>48</v>
      </c>
      <c r="F3059" s="1">
        <v>4.0</v>
      </c>
      <c r="G3059" s="3" t="s">
        <v>114</v>
      </c>
    </row>
    <row r="3060">
      <c r="A3060" s="3" t="s">
        <v>8767</v>
      </c>
      <c r="B3060" s="4" t="str">
        <f>IFERROR(__xludf.DUMMYFUNCTION("GOOGLETRANSLATE(A3060, ""en"", ""te"")"),"జిప్లాక్ సంచులు")</f>
        <v>జిప్లాక్ సంచులు</v>
      </c>
      <c r="C3060" s="4" t="str">
        <f>IFERROR(__xludf.DUMMYFUNCTION("GOOGLETRANSLATE(A3060, ""en"", ""hi"")"),"ज़िपलॉक बैग")</f>
        <v>ज़िपलॉक बैग</v>
      </c>
      <c r="D3060" s="5"/>
      <c r="E3060" s="2" t="s">
        <v>43</v>
      </c>
      <c r="F3060" s="1">
        <v>4.0</v>
      </c>
      <c r="G3060" s="3" t="s">
        <v>114</v>
      </c>
    </row>
    <row r="3061">
      <c r="A3061" s="3" t="s">
        <v>8772</v>
      </c>
      <c r="B3061" s="4" t="str">
        <f>IFERROR(__xludf.DUMMYFUNCTION("GOOGLETRANSLATE(A3061, ""en"", ""te"")"),"సహ్నాజ్ కాజల్")</f>
        <v>సహ్నాజ్ కాజల్</v>
      </c>
      <c r="C3061" s="4" t="str">
        <f>IFERROR(__xludf.DUMMYFUNCTION("GOOGLETRANSLATE(A3061, ""en"", ""hi"")"),"सहनाज़ काजल")</f>
        <v>सहनाज़ काजल</v>
      </c>
      <c r="D3061" s="5"/>
      <c r="E3061" s="2" t="s">
        <v>48</v>
      </c>
      <c r="F3061" s="1">
        <v>4.0</v>
      </c>
      <c r="G3061" s="3" t="s">
        <v>114</v>
      </c>
    </row>
    <row r="3062">
      <c r="A3062" s="3" t="s">
        <v>8773</v>
      </c>
      <c r="B3062" s="4" t="str">
        <f>IFERROR(__xludf.DUMMYFUNCTION("GOOGLETRANSLATE(A3062, ""en"", ""te"")"),"మూవ్ ఫాస్ట్ పెయిన్ రిలీఫ్")</f>
        <v>మూవ్ ఫాస్ట్ పెయిన్ రిలీఫ్</v>
      </c>
      <c r="C3062" s="4" t="str">
        <f>IFERROR(__xludf.DUMMYFUNCTION("GOOGLETRANSLATE(A3062, ""en"", ""hi"")"),"मूव फास्ट पेन रिलीफ")</f>
        <v>मूव फास्ट पेन रिलीफ</v>
      </c>
      <c r="D3062" s="5"/>
      <c r="E3062" s="2" t="s">
        <v>43</v>
      </c>
      <c r="F3062" s="1">
        <v>4.0</v>
      </c>
      <c r="G3062" s="3" t="s">
        <v>71</v>
      </c>
    </row>
    <row r="3063">
      <c r="A3063" s="3" t="s">
        <v>8774</v>
      </c>
      <c r="B3063" s="4" t="str">
        <f>IFERROR(__xludf.DUMMYFUNCTION("GOOGLETRANSLATE(A3063, ""en"", ""te"")"),"జెనెక్స్ బ్రాస్")</f>
        <v>జెనెక్స్ బ్రాస్</v>
      </c>
      <c r="C3063" s="4" t="str">
        <f>IFERROR(__xludf.DUMMYFUNCTION("GOOGLETRANSLATE(A3063, ""en"", ""hi"")"),"ज़ेनेक्स पीतल")</f>
        <v>ज़ेनेक्स पीतल</v>
      </c>
      <c r="D3063" s="5"/>
      <c r="E3063" s="2" t="s">
        <v>43</v>
      </c>
      <c r="F3063" s="1">
        <v>4.0</v>
      </c>
      <c r="G3063" s="3" t="s">
        <v>76</v>
      </c>
    </row>
    <row r="3064">
      <c r="A3064" s="3" t="s">
        <v>8775</v>
      </c>
      <c r="B3064" s="4" t="str">
        <f>IFERROR(__xludf.DUMMYFUNCTION("GOOGLETRANSLATE(A3064, ""en"", ""te"")"),"చిన్న చెట్లు")</f>
        <v>చిన్న చెట్లు</v>
      </c>
      <c r="C3064" s="4" t="str">
        <f>IFERROR(__xludf.DUMMYFUNCTION("GOOGLETRANSLATE(A3064, ""en"", ""hi"")"),"छोटे पेड़")</f>
        <v>छोटे पेड़</v>
      </c>
      <c r="D3064" s="5"/>
      <c r="E3064" s="2" t="s">
        <v>43</v>
      </c>
      <c r="F3064" s="1">
        <v>4.0</v>
      </c>
      <c r="G3064" s="3" t="s">
        <v>76</v>
      </c>
    </row>
    <row r="3065">
      <c r="A3065" s="44"/>
      <c r="B3065" s="44" t="str">
        <f>IFERROR(__xludf.DUMMYFUNCTION("GOOGLETRANSLATE(A3065, ""en"", ""te"")"),"#VALUE!")</f>
        <v>#VALUE!</v>
      </c>
      <c r="C3065" s="4" t="str">
        <f>IFERROR(__xludf.DUMMYFUNCTION("GOOGLETRANSLATE(A3065, ""en"", ""hi"")"),"#VALUE!")</f>
        <v>#VALUE!</v>
      </c>
      <c r="D3065" s="5"/>
      <c r="E3065" s="5"/>
    </row>
    <row r="3066">
      <c r="A3066" s="3" t="s">
        <v>8776</v>
      </c>
      <c r="B3066" s="4" t="str">
        <f>IFERROR(__xludf.DUMMYFUNCTION("GOOGLETRANSLATE(A3066, ""en"", ""te"")"),"పోహా")</f>
        <v>పోహా</v>
      </c>
      <c r="C3066" s="4" t="str">
        <f>IFERROR(__xludf.DUMMYFUNCTION("GOOGLETRANSLATE(A3066, ""en"", ""hi"")"),"पोहा")</f>
        <v>पोहा</v>
      </c>
      <c r="D3066" s="5"/>
      <c r="E3066" s="2" t="s">
        <v>2649</v>
      </c>
      <c r="F3066" s="1">
        <v>6.0</v>
      </c>
      <c r="G3066" s="3" t="s">
        <v>71</v>
      </c>
    </row>
    <row r="3067">
      <c r="A3067" s="3" t="s">
        <v>8777</v>
      </c>
      <c r="B3067" s="4" t="str">
        <f>IFERROR(__xludf.DUMMYFUNCTION("GOOGLETRANSLATE(A3067, ""en"", ""te"")"),"ఇదయం నువ్వుల నూనె")</f>
        <v>ఇదయం నువ్వుల నూనె</v>
      </c>
      <c r="C3067" s="4" t="str">
        <f>IFERROR(__xludf.DUMMYFUNCTION("GOOGLETRANSLATE(A3067, ""en"", ""hi"")"),"इधायम तिल का तेल")</f>
        <v>इधायम तिल का तेल</v>
      </c>
      <c r="D3067" s="5"/>
      <c r="E3067" s="2" t="s">
        <v>54</v>
      </c>
      <c r="F3067" s="1">
        <v>6.0</v>
      </c>
      <c r="G3067" s="3" t="s">
        <v>71</v>
      </c>
    </row>
    <row r="3068">
      <c r="A3068" s="3" t="s">
        <v>8778</v>
      </c>
      <c r="B3068" s="4" t="str">
        <f>IFERROR(__xludf.DUMMYFUNCTION("GOOGLETRANSLATE(A3068, ""en"", ""te"")"),"వంట నూనె")</f>
        <v>వంట నూనె</v>
      </c>
      <c r="C3068" s="4" t="str">
        <f>IFERROR(__xludf.DUMMYFUNCTION("GOOGLETRANSLATE(A3068, ""en"", ""hi"")"),"खाना पकाने का तेल")</f>
        <v>खाना पकाने का तेल</v>
      </c>
      <c r="D3068" s="2" t="s">
        <v>62</v>
      </c>
      <c r="E3068" s="2" t="s">
        <v>54</v>
      </c>
      <c r="F3068" s="1">
        <v>6.0</v>
      </c>
      <c r="G3068" s="3" t="s">
        <v>76</v>
      </c>
    </row>
    <row r="3069">
      <c r="A3069" s="3" t="s">
        <v>8778</v>
      </c>
      <c r="B3069" s="4" t="str">
        <f>IFERROR(__xludf.DUMMYFUNCTION("GOOGLETRANSLATE(A3069, ""en"", ""te"")"),"వంట నూనె")</f>
        <v>వంట నూనె</v>
      </c>
      <c r="C3069" s="4" t="str">
        <f>IFERROR(__xludf.DUMMYFUNCTION("GOOGLETRANSLATE(A3069, ""en"", ""hi"")"),"खाना पकाने का तेल")</f>
        <v>खाना पकाने का तेल</v>
      </c>
      <c r="D3069" s="2" t="s">
        <v>62</v>
      </c>
      <c r="E3069" s="2" t="s">
        <v>54</v>
      </c>
      <c r="F3069" s="1">
        <v>6.0</v>
      </c>
      <c r="G3069" s="3" t="s">
        <v>85</v>
      </c>
    </row>
    <row r="3070">
      <c r="A3070" s="3" t="s">
        <v>8778</v>
      </c>
      <c r="B3070" s="4" t="str">
        <f>IFERROR(__xludf.DUMMYFUNCTION("GOOGLETRANSLATE(A3070, ""en"", ""te"")"),"వంట నూనె")</f>
        <v>వంట నూనె</v>
      </c>
      <c r="C3070" s="4" t="str">
        <f>IFERROR(__xludf.DUMMYFUNCTION("GOOGLETRANSLATE(A3070, ""en"", ""hi"")"),"खाना पकाने का तेल")</f>
        <v>खाना पकाने का तेल</v>
      </c>
      <c r="D3070" s="2" t="s">
        <v>62</v>
      </c>
      <c r="E3070" s="2" t="s">
        <v>54</v>
      </c>
      <c r="F3070" s="1">
        <v>6.0</v>
      </c>
      <c r="G3070" s="3" t="s">
        <v>114</v>
      </c>
    </row>
    <row r="3071">
      <c r="A3071" s="3" t="s">
        <v>8778</v>
      </c>
      <c r="B3071" s="4" t="str">
        <f>IFERROR(__xludf.DUMMYFUNCTION("GOOGLETRANSLATE(A3071, ""en"", ""te"")"),"వంట నూనె")</f>
        <v>వంట నూనె</v>
      </c>
      <c r="C3071" s="4" t="str">
        <f>IFERROR(__xludf.DUMMYFUNCTION("GOOGLETRANSLATE(A3071, ""en"", ""hi"")"),"खाना पकाने का तेल")</f>
        <v>खाना पकाने का तेल</v>
      </c>
      <c r="D3071" s="2" t="s">
        <v>62</v>
      </c>
      <c r="E3071" s="2" t="s">
        <v>54</v>
      </c>
      <c r="F3071" s="1">
        <v>6.0</v>
      </c>
      <c r="G3071" s="3" t="s">
        <v>10</v>
      </c>
    </row>
    <row r="3072">
      <c r="A3072" s="3" t="s">
        <v>8778</v>
      </c>
      <c r="B3072" s="4" t="str">
        <f>IFERROR(__xludf.DUMMYFUNCTION("GOOGLETRANSLATE(A3072, ""en"", ""te"")"),"వంట నూనె")</f>
        <v>వంట నూనె</v>
      </c>
      <c r="C3072" s="4" t="str">
        <f>IFERROR(__xludf.DUMMYFUNCTION("GOOGLETRANSLATE(A3072, ""en"", ""hi"")"),"खाना पकाने का तेल")</f>
        <v>खाना पकाने का तेल</v>
      </c>
      <c r="D3072" s="2" t="s">
        <v>62</v>
      </c>
      <c r="E3072" s="2" t="s">
        <v>54</v>
      </c>
      <c r="F3072" s="1">
        <v>6.0</v>
      </c>
      <c r="G3072" s="3" t="s">
        <v>20</v>
      </c>
    </row>
    <row r="3073">
      <c r="A3073" s="3" t="s">
        <v>5047</v>
      </c>
      <c r="B3073" s="4" t="str">
        <f>IFERROR(__xludf.DUMMYFUNCTION("GOOGLETRANSLATE(A3073, ""en"", ""te"")"),"నుట్రెలా సోయా మినీ చంక్స్")</f>
        <v>నుట్రెలా సోయా మినీ చంక్స్</v>
      </c>
      <c r="C3073" s="4" t="str">
        <f>IFERROR(__xludf.DUMMYFUNCTION("GOOGLETRANSLATE(A3073, ""en"", ""hi"")"),"न्यूट्रेला सोया मिनी चंक्स")</f>
        <v>न्यूट्रेला सोया मिनी चंक्स</v>
      </c>
      <c r="D3073" s="5"/>
      <c r="E3073" s="2" t="s">
        <v>1038</v>
      </c>
      <c r="F3073" s="1">
        <v>6.0</v>
      </c>
      <c r="G3073" s="3" t="s">
        <v>20</v>
      </c>
    </row>
    <row r="3074">
      <c r="A3074" s="3" t="s">
        <v>8573</v>
      </c>
      <c r="B3074" s="4" t="str">
        <f>IFERROR(__xludf.DUMMYFUNCTION("GOOGLETRANSLATE(A3074, ""en"", ""te"")"),"స్వాద్ సోయా వాడి సోయా చంక్స్")</f>
        <v>స్వాద్ సోయా వాడి సోయా చంక్స్</v>
      </c>
      <c r="C3074" s="4" t="str">
        <f>IFERROR(__xludf.DUMMYFUNCTION("GOOGLETRANSLATE(A3074, ""en"", ""hi"")"),"स्वाद सोया वड़ी सोया चंक्स")</f>
        <v>स्वाद सोया वड़ी सोया चंक्स</v>
      </c>
      <c r="D3074" s="5"/>
      <c r="E3074" s="2" t="s">
        <v>1038</v>
      </c>
      <c r="F3074" s="1">
        <v>6.0</v>
      </c>
      <c r="G3074" s="3" t="s">
        <v>29</v>
      </c>
    </row>
    <row r="3075">
      <c r="A3075" s="3" t="s">
        <v>8779</v>
      </c>
      <c r="B3075" s="4" t="str">
        <f>IFERROR(__xludf.DUMMYFUNCTION("GOOGLETRANSLATE(A3075, ""en"", ""te"")"),"రాఘవ్ సోయా వాడి")</f>
        <v>రాఘవ్ సోయా వాడి</v>
      </c>
      <c r="C3075" s="4" t="str">
        <f>IFERROR(__xludf.DUMMYFUNCTION("GOOGLETRANSLATE(A3075, ""en"", ""hi"")"),"राघव सोया वाडी")</f>
        <v>राघव सोया वाडी</v>
      </c>
      <c r="D3075" s="5"/>
      <c r="E3075" s="2" t="s">
        <v>1038</v>
      </c>
      <c r="F3075" s="1">
        <v>6.0</v>
      </c>
      <c r="G3075" s="3" t="s">
        <v>29</v>
      </c>
    </row>
    <row r="3076">
      <c r="A3076" s="3" t="s">
        <v>993</v>
      </c>
      <c r="B3076" s="4" t="str">
        <f>IFERROR(__xludf.DUMMYFUNCTION("GOOGLETRANSLATE(A3076, ""en"", ""te"")"),"బన్సీ చోరా వాడి")</f>
        <v>బన్సీ చోరా వాడి</v>
      </c>
      <c r="C3076" s="4" t="str">
        <f>IFERROR(__xludf.DUMMYFUNCTION("GOOGLETRANSLATE(A3076, ""en"", ""hi"")"),"बंसी चोरा वादी")</f>
        <v>बंसी चोरा वादी</v>
      </c>
      <c r="D3076" s="2" t="s">
        <v>7569</v>
      </c>
      <c r="E3076" s="2" t="s">
        <v>2700</v>
      </c>
      <c r="F3076" s="1">
        <v>6.0</v>
      </c>
      <c r="G3076" s="3" t="s">
        <v>29</v>
      </c>
    </row>
    <row r="3077">
      <c r="A3077" s="3" t="s">
        <v>8780</v>
      </c>
      <c r="B3077" s="4" t="str">
        <f>IFERROR(__xludf.DUMMYFUNCTION("GOOGLETRANSLATE(A3077, ""en"", ""te"")"),"వెర్మిసెల్లి")</f>
        <v>వెర్మిసెల్లి</v>
      </c>
      <c r="C3077" s="4" t="str">
        <f>IFERROR(__xludf.DUMMYFUNCTION("GOOGLETRANSLATE(A3077, ""en"", ""hi"")"),"वर्मीसेली")</f>
        <v>वर्मीसेली</v>
      </c>
      <c r="D3077" s="2" t="s">
        <v>8781</v>
      </c>
      <c r="E3077" s="2" t="s">
        <v>2649</v>
      </c>
      <c r="F3077" s="1">
        <v>6.0</v>
      </c>
      <c r="G3077" s="3" t="s">
        <v>29</v>
      </c>
    </row>
    <row r="3078">
      <c r="A3078" s="3" t="s">
        <v>961</v>
      </c>
      <c r="B3078" s="4" t="str">
        <f>IFERROR(__xludf.DUMMYFUNCTION("GOOGLETRANSLATE(A3078, ""en"", ""te"")"),"బాంబినో వెర్మిసెల్లి")</f>
        <v>బాంబినో వెర్మిసెల్లి</v>
      </c>
      <c r="C3078" s="4" t="str">
        <f>IFERROR(__xludf.DUMMYFUNCTION("GOOGLETRANSLATE(A3078, ""en"", ""hi"")"),"बाम्बिनो वर्मीसेली")</f>
        <v>बाम्बिनो वर्मीसेली</v>
      </c>
      <c r="D3078" s="2" t="s">
        <v>8782</v>
      </c>
      <c r="E3078" s="2" t="s">
        <v>2649</v>
      </c>
      <c r="F3078" s="1">
        <v>6.0</v>
      </c>
      <c r="G3078" s="3" t="s">
        <v>39</v>
      </c>
    </row>
    <row r="3079">
      <c r="A3079" s="3" t="s">
        <v>8783</v>
      </c>
      <c r="B3079" s="4" t="str">
        <f>IFERROR(__xludf.DUMMYFUNCTION("GOOGLETRANSLATE(A3079, ""en"", ""te"")"),"బాంబినో రోగనిరోధక శక్తిని పెంచే సేమియా")</f>
        <v>బాంబినో రోగనిరోధక శక్తిని పెంచే సేమియా</v>
      </c>
      <c r="C3079" s="4" t="str">
        <f>IFERROR(__xludf.DUMMYFUNCTION("GOOGLETRANSLATE(A3079, ""en"", ""hi"")"),"बाम्बिनो रोग प्रतिरोधक क्षमता बढ़ाने वाली वर्मीसेली")</f>
        <v>बाम्बिनो रोग प्रतिरोधक क्षमता बढ़ाने वाली वर्मीसेली</v>
      </c>
      <c r="D3079" s="2" t="s">
        <v>8784</v>
      </c>
      <c r="E3079" s="2" t="s">
        <v>2649</v>
      </c>
      <c r="F3079" s="1">
        <v>6.0</v>
      </c>
      <c r="G3079" s="3" t="s">
        <v>39</v>
      </c>
    </row>
    <row r="3080">
      <c r="A3080" s="3" t="s">
        <v>8785</v>
      </c>
      <c r="B3080" s="4" t="str">
        <f>IFERROR(__xludf.DUMMYFUNCTION("GOOGLETRANSLATE(A3080, ""en"", ""te"")"),"ప్రియా వర్మిసెల్లి")</f>
        <v>ప్రియా వర్మిసెల్లి</v>
      </c>
      <c r="C3080" s="4" t="str">
        <f>IFERROR(__xludf.DUMMYFUNCTION("GOOGLETRANSLATE(A3080, ""en"", ""hi"")"),"प्रिया वर्मीसेली")</f>
        <v>प्रिया वर्मीसेली</v>
      </c>
      <c r="D3080" s="2" t="s">
        <v>8781</v>
      </c>
      <c r="E3080" s="2" t="s">
        <v>2649</v>
      </c>
      <c r="F3080" s="1">
        <v>6.0</v>
      </c>
      <c r="G3080" s="3" t="s">
        <v>39</v>
      </c>
    </row>
    <row r="3081">
      <c r="A3081" s="3" t="s">
        <v>8786</v>
      </c>
      <c r="B3081" s="4" t="str">
        <f>IFERROR(__xludf.DUMMYFUNCTION("GOOGLETRANSLATE(A3081, ""en"", ""te"")"),"అనిల్ రోస్టెడ్ సెమియా")</f>
        <v>అనిల్ రోస్టెడ్ సెమియా</v>
      </c>
      <c r="C3081" s="4" t="str">
        <f>IFERROR(__xludf.DUMMYFUNCTION("GOOGLETRANSLATE(A3081, ""en"", ""hi"")"),"अनिल ने सेमिया को भून दिया")</f>
        <v>अनिल ने सेमिया को भून दिया</v>
      </c>
      <c r="D3081" s="2" t="s">
        <v>8787</v>
      </c>
      <c r="E3081" s="2" t="s">
        <v>2649</v>
      </c>
      <c r="F3081" s="1">
        <v>6.0</v>
      </c>
      <c r="G3081" s="3" t="s">
        <v>194</v>
      </c>
    </row>
    <row r="3082">
      <c r="A3082" s="3" t="s">
        <v>8788</v>
      </c>
      <c r="B3082" s="4" t="str">
        <f>IFERROR(__xludf.DUMMYFUNCTION("GOOGLETRANSLATE(A3082, ""en"", ""te"")"),"అనిల్ రాగులు సేమ్యా")</f>
        <v>అనిల్ రాగులు సేమ్యా</v>
      </c>
      <c r="C3082" s="4" t="str">
        <f>IFERROR(__xludf.DUMMYFUNCTION("GOOGLETRANSLATE(A3082, ""en"", ""hi"")"),"अनिल फिंगर मिलेट वर्मीसेली")</f>
        <v>अनिल फिंगर मिलेट वर्मीसेली</v>
      </c>
      <c r="D3082" s="5"/>
      <c r="E3082" s="2" t="s">
        <v>2649</v>
      </c>
      <c r="F3082" s="1">
        <v>6.0</v>
      </c>
      <c r="G3082" s="3" t="s">
        <v>194</v>
      </c>
    </row>
    <row r="3083">
      <c r="A3083" s="3" t="s">
        <v>8789</v>
      </c>
      <c r="B3083" s="4" t="str">
        <f>IFERROR(__xludf.DUMMYFUNCTION("GOOGLETRANSLATE(A3083, ""en"", ""te"")"),"అనిల్ రైస్ వెర్మిసెల్లి")</f>
        <v>అనిల్ రైస్ వెర్మిసెల్లి</v>
      </c>
      <c r="C3083" s="4" t="str">
        <f>IFERROR(__xludf.DUMMYFUNCTION("GOOGLETRANSLATE(A3083, ""en"", ""hi"")"),"अनिल राइस वर्मीसेली")</f>
        <v>अनिल राइस वर्मीसेली</v>
      </c>
      <c r="D3083" s="2" t="s">
        <v>8790</v>
      </c>
      <c r="E3083" s="2" t="s">
        <v>9</v>
      </c>
      <c r="F3083" s="1">
        <v>6.0</v>
      </c>
      <c r="G3083" s="3" t="s">
        <v>194</v>
      </c>
    </row>
    <row r="3084">
      <c r="A3084" s="3" t="s">
        <v>8791</v>
      </c>
      <c r="B3084" s="4" t="str">
        <f>IFERROR(__xludf.DUMMYFUNCTION("GOOGLETRANSLATE(A3084, ""en"", ""te"")"),"అనిల్ పెరల్ మిల్లెట్ వెర్మిసెల్లి")</f>
        <v>అనిల్ పెరల్ మిల్లెట్ వెర్మిసెల్లి</v>
      </c>
      <c r="C3084" s="4" t="str">
        <f>IFERROR(__xludf.DUMMYFUNCTION("GOOGLETRANSLATE(A3084, ""en"", ""hi"")"),"अनिल पर्ल मिलेट वर्मीसेली")</f>
        <v>अनिल पर्ल मिलेट वर्मीसेली</v>
      </c>
      <c r="D3084" s="5"/>
      <c r="E3084" s="2" t="s">
        <v>2649</v>
      </c>
      <c r="F3084" s="1">
        <v>6.0</v>
      </c>
      <c r="G3084" s="3" t="s">
        <v>194</v>
      </c>
    </row>
    <row r="3085">
      <c r="A3085" s="3" t="s">
        <v>8571</v>
      </c>
      <c r="B3085" s="4" t="str">
        <f>IFERROR(__xludf.DUMMYFUNCTION("GOOGLETRANSLATE(A3085, ""en"", ""te"")"),"మోర్టన్ అయోడైజ్డ్ సాల్ట్")</f>
        <v>మోర్టన్ అయోడైజ్డ్ సాల్ట్</v>
      </c>
      <c r="C3085" s="4" t="str">
        <f>IFERROR(__xludf.DUMMYFUNCTION("GOOGLETRANSLATE(A3085, ""en"", ""hi"")"),"मॉर्टन आयोडीन युक्त नमक")</f>
        <v>मॉर्टन आयोडीन युक्त नमक</v>
      </c>
      <c r="D3085" s="5"/>
      <c r="E3085" s="2" t="s">
        <v>4407</v>
      </c>
      <c r="F3085" s="1">
        <v>6.0</v>
      </c>
      <c r="G3085" s="3" t="s">
        <v>240</v>
      </c>
    </row>
    <row r="3086">
      <c r="A3086" s="3" t="s">
        <v>8792</v>
      </c>
      <c r="B3086" s="4" t="str">
        <f>IFERROR(__xludf.DUMMYFUNCTION("GOOGLETRANSLATE(A3086, ""en"", ""te"")"),"సముద్రపు ఉప్పు")</f>
        <v>సముద్రపు ఉప్పు</v>
      </c>
      <c r="C3086" s="4" t="str">
        <f>IFERROR(__xludf.DUMMYFUNCTION("GOOGLETRANSLATE(A3086, ""en"", ""hi"")"),"समुद्री नमक")</f>
        <v>समुद्री नमक</v>
      </c>
      <c r="D3086" s="5"/>
      <c r="E3086" s="2" t="s">
        <v>4407</v>
      </c>
      <c r="F3086" s="1">
        <v>6.0</v>
      </c>
      <c r="G3086" s="3" t="s">
        <v>240</v>
      </c>
    </row>
    <row r="3087">
      <c r="A3087" s="3" t="s">
        <v>6464</v>
      </c>
      <c r="B3087" s="4" t="str">
        <f>IFERROR(__xludf.DUMMYFUNCTION("GOOGLETRANSLATE(A3087, ""en"", ""te"")"),"టాటా సాల్ట్")</f>
        <v>టాటా సాల్ట్</v>
      </c>
      <c r="C3087" s="4" t="str">
        <f>IFERROR(__xludf.DUMMYFUNCTION("GOOGLETRANSLATE(A3087, ""en"", ""hi"")"),"टाटा सॉल्ट")</f>
        <v>टाटा सॉल्ट</v>
      </c>
      <c r="D3087" s="5"/>
      <c r="E3087" s="2" t="s">
        <v>4407</v>
      </c>
      <c r="F3087" s="1">
        <v>6.0</v>
      </c>
      <c r="G3087" s="3" t="s">
        <v>240</v>
      </c>
    </row>
    <row r="3088">
      <c r="A3088" s="3" t="s">
        <v>5047</v>
      </c>
      <c r="B3088" s="4" t="str">
        <f>IFERROR(__xludf.DUMMYFUNCTION("GOOGLETRANSLATE(A3088, ""en"", ""te"")"),"నుట్రెలా సోయా మినీ చంక్స్")</f>
        <v>నుట్రెలా సోయా మినీ చంక్స్</v>
      </c>
      <c r="C3088" s="4" t="str">
        <f>IFERROR(__xludf.DUMMYFUNCTION("GOOGLETRANSLATE(A3088, ""en"", ""hi"")"),"न्यूट्रेला सोया मिनी चंक्स")</f>
        <v>न्यूट्रेला सोया मिनी चंक्स</v>
      </c>
      <c r="D3088" s="5"/>
      <c r="E3088" s="2" t="s">
        <v>1038</v>
      </c>
      <c r="F3088" s="1">
        <v>6.0</v>
      </c>
      <c r="G3088" s="3" t="s">
        <v>71</v>
      </c>
    </row>
    <row r="3089">
      <c r="A3089" s="3" t="s">
        <v>993</v>
      </c>
      <c r="B3089" s="4" t="str">
        <f>IFERROR(__xludf.DUMMYFUNCTION("GOOGLETRANSLATE(A3089, ""en"", ""te"")"),"బన్సీ చోరా వాడి")</f>
        <v>బన్సీ చోరా వాడి</v>
      </c>
      <c r="C3089" s="4" t="str">
        <f>IFERROR(__xludf.DUMMYFUNCTION("GOOGLETRANSLATE(A3089, ""en"", ""hi"")"),"बंसी चोरा वादी")</f>
        <v>बंसी चोरा वादी</v>
      </c>
      <c r="D3089" s="2" t="s">
        <v>7569</v>
      </c>
      <c r="E3089" s="2" t="s">
        <v>2700</v>
      </c>
      <c r="F3089" s="1">
        <v>6.0</v>
      </c>
      <c r="G3089" s="3" t="s">
        <v>76</v>
      </c>
    </row>
    <row r="3090">
      <c r="A3090" s="3" t="s">
        <v>8793</v>
      </c>
      <c r="B3090" s="4" t="str">
        <f>IFERROR(__xludf.DUMMYFUNCTION("GOOGLETRANSLATE(A3090, ""en"", ""te"")"),"బాన్సీ వెర్మిసెల్లి")</f>
        <v>బాన్సీ వెర్మిసెల్లి</v>
      </c>
      <c r="C3090" s="4" t="str">
        <f>IFERROR(__xludf.DUMMYFUNCTION("GOOGLETRANSLATE(A3090, ""en"", ""hi"")"),"बंसी वर्मीसेली")</f>
        <v>बंसी वर्मीसेली</v>
      </c>
      <c r="D3090" s="5"/>
      <c r="E3090" s="2" t="s">
        <v>2649</v>
      </c>
      <c r="F3090" s="1">
        <v>6.0</v>
      </c>
      <c r="G3090" s="3" t="s">
        <v>76</v>
      </c>
    </row>
    <row r="3091">
      <c r="A3091" s="3" t="s">
        <v>8794</v>
      </c>
      <c r="B3091" s="4" t="str">
        <f>IFERROR(__xludf.DUMMYFUNCTION("GOOGLETRANSLATE(A3091, ""en"", ""te"")"),"బ్లిస్ ట్రీ మాపిల్లై సాంబ వెర్మిసెల్లి")</f>
        <v>బ్లిస్ ట్రీ మాపిల్లై సాంబ వెర్మిసెల్లి</v>
      </c>
      <c r="C3091" s="4" t="str">
        <f>IFERROR(__xludf.DUMMYFUNCTION("GOOGLETRANSLATE(A3091, ""en"", ""hi"")"),"ब्लिस ट्री मापिल्लई सांबा वर्मीसेली")</f>
        <v>ब्लिस ट्री मापिल्लई सांबा वर्मीसेली</v>
      </c>
      <c r="D3091" s="2" t="s">
        <v>2291</v>
      </c>
      <c r="E3091" s="2" t="s">
        <v>2649</v>
      </c>
      <c r="F3091" s="1">
        <v>6.0</v>
      </c>
      <c r="G3091" s="3" t="s">
        <v>76</v>
      </c>
    </row>
    <row r="3092">
      <c r="A3092" s="3" t="s">
        <v>8795</v>
      </c>
      <c r="B3092" s="4" t="str">
        <f>IFERROR(__xludf.DUMMYFUNCTION("GOOGLETRANSLATE(A3092, ""en"", ""te"")"),"బ్లిస్ ట్రీ వి-మొగ్గ పెసర మొలకలు")</f>
        <v>బ్లిస్ ట్రీ వి-మొగ్గ పెసర మొలకలు</v>
      </c>
      <c r="C3092" s="4" t="str">
        <f>IFERROR(__xludf.DUMMYFUNCTION("GOOGLETRANSLATE(A3092, ""en"", ""hi"")"),"ब्लिस ट्री वी-मोंग हरी मूंग के अंकुर")</f>
        <v>ब्लिस ट्री वी-मोंग हरी मूंग के अंकुर</v>
      </c>
      <c r="D3092" s="5"/>
      <c r="E3092" s="2" t="s">
        <v>1038</v>
      </c>
      <c r="F3092" s="1">
        <v>6.0</v>
      </c>
      <c r="G3092" s="3" t="s">
        <v>76</v>
      </c>
    </row>
    <row r="3093">
      <c r="A3093" s="3" t="s">
        <v>8796</v>
      </c>
      <c r="B3093" s="4" t="str">
        <f>IFERROR(__xludf.DUMMYFUNCTION("GOOGLETRANSLATE(A3093, ""en"", ""te"")"),"షాన్ రోస్టెడ్ వెర్మిసెల్లి")</f>
        <v>షాన్ రోస్టెడ్ వెర్మిసెల్లి</v>
      </c>
      <c r="C3093" s="4" t="str">
        <f>IFERROR(__xludf.DUMMYFUNCTION("GOOGLETRANSLATE(A3093, ""en"", ""hi"")"),"शान रोस्टेड वर्मीसेली")</f>
        <v>शान रोस्टेड वर्मीसेली</v>
      </c>
      <c r="D3093" s="5"/>
      <c r="E3093" s="2" t="s">
        <v>2649</v>
      </c>
      <c r="F3093" s="1">
        <v>6.0</v>
      </c>
      <c r="G3093" s="3" t="s">
        <v>76</v>
      </c>
    </row>
    <row r="3094">
      <c r="A3094" s="3" t="s">
        <v>8797</v>
      </c>
      <c r="B3094" s="4" t="str">
        <f>IFERROR(__xludf.DUMMYFUNCTION("GOOGLETRANSLATE(A3094, ""en"", ""te"")"),"MTR వర్మిసెల్లి")</f>
        <v>MTR వర్మిసెల్లి</v>
      </c>
      <c r="C3094" s="4" t="str">
        <f>IFERROR(__xludf.DUMMYFUNCTION("GOOGLETRANSLATE(A3094, ""en"", ""hi"")"),"एमटीआर वर्मीसेली")</f>
        <v>एमटीआर वर्मीसेली</v>
      </c>
      <c r="D3094" s="2" t="s">
        <v>8798</v>
      </c>
      <c r="E3094" s="2" t="s">
        <v>2649</v>
      </c>
      <c r="F3094" s="1">
        <v>6.0</v>
      </c>
      <c r="G3094" s="3" t="s">
        <v>85</v>
      </c>
    </row>
    <row r="3095">
      <c r="A3095" s="3" t="s">
        <v>8799</v>
      </c>
      <c r="B3095" s="4" t="str">
        <f>IFERROR(__xludf.DUMMYFUNCTION("GOOGLETRANSLATE(A3095, ""en"", ""te"")"),"అరియన్ వెర్మిసెల్లి")</f>
        <v>అరియన్ వెర్మిసెల్లి</v>
      </c>
      <c r="C3095" s="4" t="str">
        <f>IFERROR(__xludf.DUMMYFUNCTION("GOOGLETRANSLATE(A3095, ""en"", ""hi"")"),"एरियन वर्मीसेली")</f>
        <v>एरियन वर्मीसेली</v>
      </c>
      <c r="D3095" s="2" t="s">
        <v>8800</v>
      </c>
      <c r="E3095" s="2" t="s">
        <v>2649</v>
      </c>
      <c r="F3095" s="1">
        <v>6.0</v>
      </c>
      <c r="G3095" s="3" t="s">
        <v>85</v>
      </c>
    </row>
    <row r="3096">
      <c r="A3096" s="3" t="s">
        <v>8801</v>
      </c>
      <c r="B3096" s="4" t="str">
        <f>IFERROR(__xludf.DUMMYFUNCTION("GOOGLETRANSLATE(A3096, ""en"", ""te"")"),"గణేష్ రైస్ సేవి")</f>
        <v>గణేష్ రైస్ సేవి</v>
      </c>
      <c r="C3096" s="4" t="str">
        <f>IFERROR(__xludf.DUMMYFUNCTION("GOOGLETRANSLATE(A3096, ""en"", ""hi"")"),"गणेश चावल सेवई")</f>
        <v>गणेश चावल सेवई</v>
      </c>
      <c r="D3096" s="2" t="s">
        <v>38</v>
      </c>
      <c r="E3096" s="2" t="s">
        <v>2649</v>
      </c>
      <c r="F3096" s="1">
        <v>6.0</v>
      </c>
      <c r="G3096" s="3" t="s">
        <v>85</v>
      </c>
    </row>
    <row r="3097">
      <c r="A3097" s="3" t="s">
        <v>8802</v>
      </c>
      <c r="B3097" s="4" t="str">
        <f>IFERROR(__xludf.DUMMYFUNCTION("GOOGLETRANSLATE(A3097, ""en"", ""te"")"),"777 బ్రాండ్ వేయించిన సేమియా")</f>
        <v>777 బ్రాండ్ వేయించిన సేమియా</v>
      </c>
      <c r="C3097" s="4" t="str">
        <f>IFERROR(__xludf.DUMMYFUNCTION("GOOGLETRANSLATE(A3097, ""en"", ""hi"")"),"777 ब्रांड की भुनी हुई सेवई")</f>
        <v>777 ब्रांड की भुनी हुई सेवई</v>
      </c>
      <c r="D3097" s="2" t="s">
        <v>8803</v>
      </c>
      <c r="E3097" s="2" t="s">
        <v>2649</v>
      </c>
      <c r="F3097" s="1">
        <v>6.0</v>
      </c>
      <c r="G3097" s="3" t="s">
        <v>85</v>
      </c>
    </row>
    <row r="3098">
      <c r="A3098" s="3" t="s">
        <v>8789</v>
      </c>
      <c r="B3098" s="4" t="str">
        <f>IFERROR(__xludf.DUMMYFUNCTION("GOOGLETRANSLATE(A3098, ""en"", ""te"")"),"అనిల్ రైస్ వెర్మిసెల్లి")</f>
        <v>అనిల్ రైస్ వెర్మిసెల్లి</v>
      </c>
      <c r="C3098" s="4" t="str">
        <f>IFERROR(__xludf.DUMMYFUNCTION("GOOGLETRANSLATE(A3098, ""en"", ""hi"")"),"अनिल राइस वर्मीसेली")</f>
        <v>अनिल राइस वर्मीसेली</v>
      </c>
      <c r="D3098" s="2" t="s">
        <v>8790</v>
      </c>
      <c r="E3098" s="2" t="s">
        <v>9</v>
      </c>
      <c r="F3098" s="1">
        <v>6.0</v>
      </c>
      <c r="G3098" s="3" t="s">
        <v>114</v>
      </c>
    </row>
    <row r="3099">
      <c r="A3099" s="3" t="s">
        <v>8791</v>
      </c>
      <c r="B3099" s="4" t="str">
        <f>IFERROR(__xludf.DUMMYFUNCTION("GOOGLETRANSLATE(A3099, ""en"", ""te"")"),"అనిల్ పెరల్ మిల్లెట్ వెర్మిసెల్లి")</f>
        <v>అనిల్ పెరల్ మిల్లెట్ వెర్మిసెల్లి</v>
      </c>
      <c r="C3099" s="4" t="str">
        <f>IFERROR(__xludf.DUMMYFUNCTION("GOOGLETRANSLATE(A3099, ""en"", ""hi"")"),"अनिल पर्ल मिलेट वर्मीसेली")</f>
        <v>अनिल पर्ल मिलेट वर्मीसेली</v>
      </c>
      <c r="D3099" s="5"/>
      <c r="E3099" s="2" t="s">
        <v>2649</v>
      </c>
      <c r="F3099" s="1">
        <v>6.0</v>
      </c>
      <c r="G3099" s="3" t="s">
        <v>114</v>
      </c>
    </row>
    <row r="3100">
      <c r="A3100" s="3" t="s">
        <v>8804</v>
      </c>
      <c r="B3100" s="4" t="str">
        <f>IFERROR(__xludf.DUMMYFUNCTION("GOOGLETRANSLATE(A3100, ""en"", ""te"")"),"హిమాలయన్ క్రిస్టల్ సాల్ట్")</f>
        <v>హిమాలయన్ క్రిస్టల్ సాల్ట్</v>
      </c>
      <c r="C3100" s="4" t="str">
        <f>IFERROR(__xludf.DUMMYFUNCTION("GOOGLETRANSLATE(A3100, ""en"", ""hi"")"),"हिमालयी क्रिस्टल नमक")</f>
        <v>हिमालयी क्रिस्टल नमक</v>
      </c>
      <c r="D3100" s="5"/>
      <c r="E3100" s="2" t="s">
        <v>4407</v>
      </c>
      <c r="F3100" s="1">
        <v>6.0</v>
      </c>
      <c r="G3100" s="3" t="s">
        <v>114</v>
      </c>
    </row>
    <row r="3101">
      <c r="A3101" s="3" t="s">
        <v>8805</v>
      </c>
      <c r="B3101" s="4" t="str">
        <f>IFERROR(__xludf.DUMMYFUNCTION("GOOGLETRANSLATE(A3101, ""en"", ""te"")"),"సోబి హిమాలయన్ పింక్ సాల్ట్")</f>
        <v>సోబి హిమాలయన్ పింక్ సాల్ట్</v>
      </c>
      <c r="C3101" s="4" t="str">
        <f>IFERROR(__xludf.DUMMYFUNCTION("GOOGLETRANSLATE(A3101, ""en"", ""hi"")"),"सोबी हिमालयन पिंक सॉल्ट")</f>
        <v>सोबी हिमालयन पिंक सॉल्ट</v>
      </c>
      <c r="D3101" s="2" t="s">
        <v>7276</v>
      </c>
      <c r="E3101" s="2" t="s">
        <v>4407</v>
      </c>
      <c r="F3101" s="1">
        <v>6.0</v>
      </c>
      <c r="G3101" s="3" t="s">
        <v>114</v>
      </c>
    </row>
    <row r="3102">
      <c r="A3102" s="3" t="s">
        <v>8806</v>
      </c>
      <c r="B3102" s="4" t="str">
        <f>IFERROR(__xludf.DUMMYFUNCTION("GOOGLETRANSLATE(A3102, ""en"", ""te"")"),"సోబి పింక్ సాల్ట్")</f>
        <v>సోబి పింక్ సాల్ట్</v>
      </c>
      <c r="C3102" s="4" t="str">
        <f>IFERROR(__xludf.DUMMYFUNCTION("GOOGLETRANSLATE(A3102, ""en"", ""hi"")"),"सोबी पिंक सॉल्ट")</f>
        <v>सोबी पिंक सॉल्ट</v>
      </c>
      <c r="D3102" s="2" t="s">
        <v>7276</v>
      </c>
      <c r="E3102" s="2" t="s">
        <v>4407</v>
      </c>
      <c r="F3102" s="1">
        <v>6.0</v>
      </c>
      <c r="G3102" s="3" t="s">
        <v>114</v>
      </c>
    </row>
    <row r="3103">
      <c r="A3103" s="3" t="s">
        <v>8807</v>
      </c>
      <c r="B3103" s="4" t="str">
        <f>IFERROR(__xludf.DUMMYFUNCTION("GOOGLETRANSLATE(A3103, ""en"", ""te"")"),"హిమాలయన్ పింక్ సాల్ట్")</f>
        <v>హిమాలయన్ పింక్ సాల్ట్</v>
      </c>
      <c r="C3103" s="4" t="str">
        <f>IFERROR(__xludf.DUMMYFUNCTION("GOOGLETRANSLATE(A3103, ""en"", ""hi"")"),"हिमालयी गुलाबी नमक")</f>
        <v>हिमालयी गुलाबी नमक</v>
      </c>
      <c r="D3103" s="2" t="s">
        <v>7276</v>
      </c>
      <c r="E3103" s="2" t="s">
        <v>4407</v>
      </c>
      <c r="F3103" s="1">
        <v>6.0</v>
      </c>
      <c r="G3103" s="3" t="s">
        <v>114</v>
      </c>
    </row>
    <row r="3104">
      <c r="A3104" s="3" t="s">
        <v>8808</v>
      </c>
      <c r="B3104" s="4" t="str">
        <f>IFERROR(__xludf.DUMMYFUNCTION("GOOGLETRANSLATE(A3104, ""en"", ""te"")"),"టాటా సాల్ట్ లైట్")</f>
        <v>టాటా సాల్ట్ లైట్</v>
      </c>
      <c r="C3104" s="4" t="str">
        <f>IFERROR(__xludf.DUMMYFUNCTION("GOOGLETRANSLATE(A3104, ""en"", ""hi"")"),"टाटा सॉल्ट लाइट")</f>
        <v>टाटा सॉल्ट लाइट</v>
      </c>
      <c r="D3104" s="2" t="s">
        <v>7276</v>
      </c>
      <c r="E3104" s="2" t="s">
        <v>4407</v>
      </c>
      <c r="F3104" s="1">
        <v>6.0</v>
      </c>
      <c r="G3104" s="3" t="s">
        <v>10</v>
      </c>
    </row>
    <row r="3105">
      <c r="A3105" s="3" t="s">
        <v>8809</v>
      </c>
      <c r="B3105" s="4" t="str">
        <f>IFERROR(__xludf.DUMMYFUNCTION("GOOGLETRANSLATE(A3105, ""en"", ""te"")"),"పతంజలి అయోడైజ్డ్ ఉప్పు")</f>
        <v>పతంజలి అయోడైజ్డ్ ఉప్పు</v>
      </c>
      <c r="C3105" s="4" t="str">
        <f>IFERROR(__xludf.DUMMYFUNCTION("GOOGLETRANSLATE(A3105, ""en"", ""hi"")"),"पतंजलि आयोडीन युक्त नमक")</f>
        <v>पतंजलि आयोडीन युक्त नमक</v>
      </c>
      <c r="D3105" s="2" t="s">
        <v>7276</v>
      </c>
      <c r="E3105" s="2" t="s">
        <v>4407</v>
      </c>
      <c r="F3105" s="1">
        <v>6.0</v>
      </c>
      <c r="G3105" s="3" t="s">
        <v>10</v>
      </c>
    </row>
    <row r="3106">
      <c r="A3106" s="3" t="s">
        <v>8810</v>
      </c>
      <c r="B3106" s="4" t="str">
        <f>IFERROR(__xludf.DUMMYFUNCTION("GOOGLETRANSLATE(A3106, ""en"", ""te"")"),"టాటా బ్లాక్ సాల్ట్")</f>
        <v>టాటా బ్లాక్ సాల్ట్</v>
      </c>
      <c r="C3106" s="4" t="str">
        <f>IFERROR(__xludf.DUMMYFUNCTION("GOOGLETRANSLATE(A3106, ""en"", ""hi"")"),"टाटा ब्लैक सॉल्ट")</f>
        <v>टाटा ब्लैक सॉल्ट</v>
      </c>
      <c r="D3106" s="2" t="s">
        <v>6853</v>
      </c>
      <c r="E3106" s="2" t="s">
        <v>442</v>
      </c>
      <c r="F3106" s="1">
        <v>6.0</v>
      </c>
      <c r="G3106" s="3" t="s">
        <v>10</v>
      </c>
    </row>
    <row r="3107">
      <c r="A3107" s="3" t="s">
        <v>8811</v>
      </c>
      <c r="B3107" s="4" t="str">
        <f>IFERROR(__xludf.DUMMYFUNCTION("GOOGLETRANSLATE(A3107, ""en"", ""te"")"),"లక్ష్మి నువ్వుల నూనె")</f>
        <v>లక్ష్మి నువ్వుల నూనె</v>
      </c>
      <c r="C3107" s="4" t="str">
        <f>IFERROR(__xludf.DUMMYFUNCTION("GOOGLETRANSLATE(A3107, ""en"", ""hi"")"),"लक्ष्मी तिल का तेल")</f>
        <v>लक्ष्मी तिल का तेल</v>
      </c>
      <c r="D3107" s="5"/>
      <c r="E3107" s="2" t="s">
        <v>54</v>
      </c>
      <c r="F3107" s="1">
        <v>6.0</v>
      </c>
      <c r="G3107" s="3" t="s">
        <v>258</v>
      </c>
    </row>
    <row r="3108">
      <c r="A3108" s="3" t="s">
        <v>8812</v>
      </c>
      <c r="B3108" s="4" t="str">
        <f>IFERROR(__xludf.DUMMYFUNCTION("GOOGLETRANSLATE(A3108, ""en"", ""te"")"),"పతంజలి వేరుశెనగ నూనె")</f>
        <v>పతంజలి వేరుశెనగ నూనె</v>
      </c>
      <c r="C3108" s="4" t="str">
        <f>IFERROR(__xludf.DUMMYFUNCTION("GOOGLETRANSLATE(A3108, ""en"", ""hi"")"),"पतंजलि मूंगफली का तेल")</f>
        <v>पतंजलि मूंगफली का तेल</v>
      </c>
      <c r="D3108" s="2" t="s">
        <v>59</v>
      </c>
      <c r="E3108" s="2" t="s">
        <v>54</v>
      </c>
      <c r="F3108" s="1">
        <v>6.0</v>
      </c>
      <c r="G3108" s="3" t="s">
        <v>258</v>
      </c>
    </row>
    <row r="3109">
      <c r="A3109" s="3" t="s">
        <v>8813</v>
      </c>
      <c r="B3109" s="4" t="str">
        <f>IFERROR(__xludf.DUMMYFUNCTION("GOOGLETRANSLATE(A3109, ""en"", ""te"")"),"గ్రామియా వుడ్ కోల్డ్ ప్రెస్డ్ వేరుశనగ నూనె")</f>
        <v>గ్రామియా వుడ్ కోల్డ్ ప్రెస్డ్ వేరుశనగ నూనె</v>
      </c>
      <c r="C3109" s="4" t="str">
        <f>IFERROR(__xludf.DUMMYFUNCTION("GOOGLETRANSLATE(A3109, ""en"", ""hi"")"),"ग्रामिया वुड कोल्ड प्रेस्ड मूंगफली का तेल")</f>
        <v>ग्रामिया वुड कोल्ड प्रेस्ड मूंगफली का तेल</v>
      </c>
      <c r="D3109" s="2" t="s">
        <v>59</v>
      </c>
      <c r="E3109" s="2" t="s">
        <v>54</v>
      </c>
      <c r="F3109" s="1">
        <v>6.0</v>
      </c>
      <c r="G3109" s="3" t="s">
        <v>258</v>
      </c>
    </row>
    <row r="3110">
      <c r="A3110" s="3" t="s">
        <v>8814</v>
      </c>
      <c r="B3110" s="4" t="str">
        <f>IFERROR(__xludf.DUMMYFUNCTION("GOOGLETRANSLATE(A3110, ""en"", ""te"")"),"పతంజలి ఆవ నూనె")</f>
        <v>పతంజలి ఆవ నూనె</v>
      </c>
      <c r="C3110" s="4" t="str">
        <f>IFERROR(__xludf.DUMMYFUNCTION("GOOGLETRANSLATE(A3110, ""en"", ""hi"")"),"पतंजलि सरसों का तेल")</f>
        <v>पतंजलि सरसों का तेल</v>
      </c>
      <c r="D3110" s="2" t="s">
        <v>1617</v>
      </c>
      <c r="E3110" s="2" t="s">
        <v>54</v>
      </c>
      <c r="F3110" s="1">
        <v>6.0</v>
      </c>
      <c r="G3110" s="3" t="s">
        <v>292</v>
      </c>
    </row>
    <row r="3111">
      <c r="A3111" s="3" t="s">
        <v>8815</v>
      </c>
      <c r="B3111" s="4" t="str">
        <f>IFERROR(__xludf.DUMMYFUNCTION("GOOGLETRANSLATE(A3111, ""en"", ""te"")"),"తేజ్ ఆవ నూనె")</f>
        <v>తేజ్ ఆవ నూనె</v>
      </c>
      <c r="C3111" s="4" t="str">
        <f>IFERROR(__xludf.DUMMYFUNCTION("GOOGLETRANSLATE(A3111, ""en"", ""hi"")"),"तेज सरसों का तेल")</f>
        <v>तेज सरसों का तेल</v>
      </c>
      <c r="D3111" s="2" t="s">
        <v>1617</v>
      </c>
      <c r="E3111" s="2" t="s">
        <v>54</v>
      </c>
      <c r="F3111" s="1">
        <v>6.0</v>
      </c>
      <c r="G3111" s="3" t="s">
        <v>292</v>
      </c>
    </row>
    <row r="3112">
      <c r="A3112" s="3" t="s">
        <v>8816</v>
      </c>
      <c r="B3112" s="4" t="str">
        <f>IFERROR(__xludf.DUMMYFUNCTION("GOOGLETRANSLATE(A3112, ""en"", ""te"")"),"పతంజలి ఆవ నూనె (పెద్ద జగ్)")</f>
        <v>పతంజలి ఆవ నూనె (పెద్ద జగ్)</v>
      </c>
      <c r="C3112" s="4" t="str">
        <f>IFERROR(__xludf.DUMMYFUNCTION("GOOGLETRANSLATE(A3112, ""en"", ""hi"")"),"पतंजलि सरसों का तेल (बड़ा जग)")</f>
        <v>पतंजलि सरसों का तेल (बड़ा जग)</v>
      </c>
      <c r="D3112" s="2" t="s">
        <v>1617</v>
      </c>
      <c r="E3112" s="2" t="s">
        <v>54</v>
      </c>
      <c r="F3112" s="1">
        <v>6.0</v>
      </c>
      <c r="G3112" s="3" t="s">
        <v>292</v>
      </c>
    </row>
    <row r="3113">
      <c r="A3113" s="3" t="s">
        <v>8777</v>
      </c>
      <c r="B3113" s="4" t="str">
        <f>IFERROR(__xludf.DUMMYFUNCTION("GOOGLETRANSLATE(A3113, ""en"", ""te"")"),"ఇదయం నువ్వుల నూనె")</f>
        <v>ఇదయం నువ్వుల నూనె</v>
      </c>
      <c r="C3113" s="4" t="str">
        <f>IFERROR(__xludf.DUMMYFUNCTION("GOOGLETRANSLATE(A3113, ""en"", ""hi"")"),"इधायम तिल का तेल")</f>
        <v>इधायम तिल का तेल</v>
      </c>
      <c r="D3113" s="5"/>
      <c r="E3113" s="2" t="s">
        <v>54</v>
      </c>
      <c r="F3113" s="1">
        <v>6.0</v>
      </c>
      <c r="G3113" s="3" t="s">
        <v>292</v>
      </c>
    </row>
    <row r="3114">
      <c r="A3114" s="3" t="s">
        <v>8813</v>
      </c>
      <c r="B3114" s="4" t="str">
        <f>IFERROR(__xludf.DUMMYFUNCTION("GOOGLETRANSLATE(A3114, ""en"", ""te"")"),"గ్రామియా వుడ్ కోల్డ్ ప్రెస్డ్ వేరుశనగ నూనె")</f>
        <v>గ్రామియా వుడ్ కోల్డ్ ప్రెస్డ్ వేరుశనగ నూనె</v>
      </c>
      <c r="C3114" s="4" t="str">
        <f>IFERROR(__xludf.DUMMYFUNCTION("GOOGLETRANSLATE(A3114, ""en"", ""hi"")"),"ग्रामिया वुड कोल्ड प्रेस्ड मूंगफली का तेल")</f>
        <v>ग्रामिया वुड कोल्ड प्रेस्ड मूंगफली का तेल</v>
      </c>
      <c r="D3114" s="2" t="s">
        <v>59</v>
      </c>
      <c r="E3114" s="2" t="s">
        <v>54</v>
      </c>
      <c r="F3114" s="1">
        <v>6.0</v>
      </c>
      <c r="G3114" s="3" t="s">
        <v>7053</v>
      </c>
    </row>
    <row r="3115">
      <c r="A3115" s="3" t="s">
        <v>8812</v>
      </c>
      <c r="B3115" s="4" t="str">
        <f>IFERROR(__xludf.DUMMYFUNCTION("GOOGLETRANSLATE(A3115, ""en"", ""te"")"),"పతంజలి వేరుశెనగ నూనె")</f>
        <v>పతంజలి వేరుశెనగ నూనె</v>
      </c>
      <c r="C3115" s="4" t="str">
        <f>IFERROR(__xludf.DUMMYFUNCTION("GOOGLETRANSLATE(A3115, ""en"", ""hi"")"),"पतंजलि मूंगफली का तेल")</f>
        <v>पतंजलि मूंगफली का तेल</v>
      </c>
      <c r="D3115" s="2" t="s">
        <v>59</v>
      </c>
      <c r="E3115" s="2" t="s">
        <v>54</v>
      </c>
      <c r="F3115" s="1">
        <v>6.0</v>
      </c>
      <c r="G3115" s="3" t="s">
        <v>7053</v>
      </c>
    </row>
    <row r="3116">
      <c r="A3116" s="3" t="s">
        <v>8817</v>
      </c>
      <c r="B3116" s="4" t="str">
        <f>IFERROR(__xludf.DUMMYFUNCTION("GOOGLETRANSLATE(A3116, ""en"", ""te"")"),"లక్ష్మి వేరుశెనగ నూనె")</f>
        <v>లక్ష్మి వేరుశెనగ నూనె</v>
      </c>
      <c r="C3116" s="4" t="str">
        <f>IFERROR(__xludf.DUMMYFUNCTION("GOOGLETRANSLATE(A3116, ""en"", ""hi"")"),"लक्ष्मी मूंगफली का तेल")</f>
        <v>लक्ष्मी मूंगफली का तेल</v>
      </c>
      <c r="D3116" s="2" t="s">
        <v>8818</v>
      </c>
      <c r="E3116" s="2" t="s">
        <v>54</v>
      </c>
      <c r="F3116" s="1">
        <v>6.0</v>
      </c>
      <c r="G3116" s="3" t="s">
        <v>7053</v>
      </c>
    </row>
    <row r="3117">
      <c r="A3117" s="3" t="s">
        <v>8819</v>
      </c>
      <c r="B3117" s="4" t="str">
        <f>IFERROR(__xludf.DUMMYFUNCTION("GOOGLETRANSLATE(A3117, ""en"", ""te"")"),"జస్ట్ ఆర్గానిక్ పీనట్ ఆయిల్")</f>
        <v>జస్ట్ ఆర్గానిక్ పీనట్ ఆయిల్</v>
      </c>
      <c r="C3117" s="4" t="str">
        <f>IFERROR(__xludf.DUMMYFUNCTION("GOOGLETRANSLATE(A3117, ""en"", ""hi"")"),"जस्ट ऑर्गेनिक मूंगफली का तेल")</f>
        <v>जस्ट ऑर्गेनिक मूंगफली का तेल</v>
      </c>
      <c r="D3117" s="2" t="s">
        <v>8820</v>
      </c>
      <c r="E3117" s="2" t="s">
        <v>54</v>
      </c>
      <c r="F3117" s="1">
        <v>6.0</v>
      </c>
      <c r="G3117" s="3" t="s">
        <v>7053</v>
      </c>
    </row>
    <row r="3118">
      <c r="A3118" s="3" t="s">
        <v>8821</v>
      </c>
      <c r="B3118" s="4" t="str">
        <f>IFERROR(__xludf.DUMMYFUNCTION("GOOGLETRANSLATE(A3118, ""en"", ""te"")"),"జస్ట్ ఆర్గానిక్ సన్‌ఫ్లవర్ ఆయిల్")</f>
        <v>జస్ట్ ఆర్గానిక్ సన్‌ఫ్లవర్ ఆయిల్</v>
      </c>
      <c r="C3118" s="4" t="str">
        <f>IFERROR(__xludf.DUMMYFUNCTION("GOOGLETRANSLATE(A3118, ""en"", ""hi"")"),"जस्ट ऑर्गेनिक सूरजमुखी तेल")</f>
        <v>जस्ट ऑर्गेनिक सूरजमुखी तेल</v>
      </c>
      <c r="D3118" s="2" t="s">
        <v>8822</v>
      </c>
      <c r="E3118" s="2" t="s">
        <v>54</v>
      </c>
      <c r="F3118" s="1">
        <v>6.0</v>
      </c>
      <c r="G3118" s="3" t="s">
        <v>4469</v>
      </c>
    </row>
    <row r="3119">
      <c r="A3119" s="3" t="s">
        <v>8811</v>
      </c>
      <c r="B3119" s="4" t="str">
        <f>IFERROR(__xludf.DUMMYFUNCTION("GOOGLETRANSLATE(A3119, ""en"", ""te"")"),"లక్ష్మి నువ్వుల నూనె")</f>
        <v>లక్ష్మి నువ్వుల నూనె</v>
      </c>
      <c r="C3119" s="4" t="str">
        <f>IFERROR(__xludf.DUMMYFUNCTION("GOOGLETRANSLATE(A3119, ""en"", ""hi"")"),"लक्ष्मी तिल का तेल")</f>
        <v>लक्ष्मी तिल का तेल</v>
      </c>
      <c r="D3119" s="5"/>
      <c r="E3119" s="2" t="s">
        <v>54</v>
      </c>
      <c r="F3119" s="1">
        <v>6.0</v>
      </c>
      <c r="G3119" s="3" t="s">
        <v>4469</v>
      </c>
    </row>
    <row r="3120">
      <c r="A3120" s="3" t="s">
        <v>8823</v>
      </c>
      <c r="B3120" s="4" t="str">
        <f>IFERROR(__xludf.DUMMYFUNCTION("GOOGLETRANSLATE(A3120, ""en"", ""te"")"),"ఇదయం నువ్వుల నూనె")</f>
        <v>ఇదయం నువ్వుల నూనె</v>
      </c>
      <c r="C3120" s="4" t="str">
        <f>IFERROR(__xludf.DUMMYFUNCTION("GOOGLETRANSLATE(A3120, ""en"", ""hi"")"),"इधयम तिल का तेल")</f>
        <v>इधयम तिल का तेल</v>
      </c>
      <c r="D3120" s="2" t="s">
        <v>47</v>
      </c>
      <c r="E3120" s="2" t="s">
        <v>54</v>
      </c>
      <c r="F3120" s="1">
        <v>6.0</v>
      </c>
      <c r="G3120" s="3" t="s">
        <v>4469</v>
      </c>
    </row>
    <row r="3121">
      <c r="A3121" s="3" t="s">
        <v>8777</v>
      </c>
      <c r="B3121" s="4" t="str">
        <f>IFERROR(__xludf.DUMMYFUNCTION("GOOGLETRANSLATE(A3121, ""en"", ""te"")"),"ఇదయం నువ్వుల నూనె")</f>
        <v>ఇదయం నువ్వుల నూనె</v>
      </c>
      <c r="C3121" s="4" t="str">
        <f>IFERROR(__xludf.DUMMYFUNCTION("GOOGLETRANSLATE(A3121, ""en"", ""hi"")"),"इधायम तिल का तेल")</f>
        <v>इधायम तिल का तेल</v>
      </c>
      <c r="D3121" s="5"/>
      <c r="E3121" s="2" t="s">
        <v>54</v>
      </c>
      <c r="F3121" s="1">
        <v>6.0</v>
      </c>
      <c r="G3121" s="3" t="s">
        <v>4469</v>
      </c>
    </row>
    <row r="3122">
      <c r="A3122" s="3" t="s">
        <v>8824</v>
      </c>
      <c r="B3122" s="4" t="str">
        <f>IFERROR(__xludf.DUMMYFUNCTION("GOOGLETRANSLATE(A3122, ""en"", ""te"")"),"మజోలా మొక్కజొన్న నూనె")</f>
        <v>మజోలా మొక్కజొన్న నూనె</v>
      </c>
      <c r="C3122" s="4" t="str">
        <f>IFERROR(__xludf.DUMMYFUNCTION("GOOGLETRANSLATE(A3122, ""en"", ""hi"")"),"माज़ोला कॉर्न ऑयल")</f>
        <v>माज़ोला कॉर्न ऑयल</v>
      </c>
      <c r="D3122" s="2" t="s">
        <v>8825</v>
      </c>
      <c r="E3122" s="2" t="s">
        <v>54</v>
      </c>
      <c r="F3122" s="1">
        <v>6.0</v>
      </c>
      <c r="G3122" s="3" t="s">
        <v>4480</v>
      </c>
    </row>
    <row r="3123">
      <c r="A3123" s="3" t="s">
        <v>8826</v>
      </c>
      <c r="B3123" s="4" t="str">
        <f>IFERROR(__xludf.DUMMYFUNCTION("GOOGLETRANSLATE(A3123, ""en"", ""te"")"),"బ్రియో ఆలివ్ ఆయిల్ పోమేస్")</f>
        <v>బ్రియో ఆలివ్ ఆయిల్ పోమేస్</v>
      </c>
      <c r="C3123" s="4" t="str">
        <f>IFERROR(__xludf.DUMMYFUNCTION("GOOGLETRANSLATE(A3123, ""en"", ""hi"")"),"ब्रियो ऑलिव ऑयल पोमेस")</f>
        <v>ब्रियो ऑलिव ऑयल पोमेस</v>
      </c>
      <c r="D3123" s="2" t="s">
        <v>62</v>
      </c>
      <c r="E3123" s="2" t="s">
        <v>54</v>
      </c>
      <c r="F3123" s="1">
        <v>6.0</v>
      </c>
      <c r="G3123" s="3" t="s">
        <v>4480</v>
      </c>
    </row>
    <row r="3124">
      <c r="A3124" s="3" t="s">
        <v>8827</v>
      </c>
      <c r="B3124" s="4" t="str">
        <f>IFERROR(__xludf.DUMMYFUNCTION("GOOGLETRANSLATE(A3124, ""en"", ""te"")"),"బ్రియో ఎక్స్‌ట్రా వర్జిన్ ఆలివ్ ఆయిల్")</f>
        <v>బ్రియో ఎక్స్‌ట్రా వర్జిన్ ఆలివ్ ఆయిల్</v>
      </c>
      <c r="C3124" s="4" t="str">
        <f>IFERROR(__xludf.DUMMYFUNCTION("GOOGLETRANSLATE(A3124, ""en"", ""hi"")"),"ब्रियो एक्स्ट्रा वर्जिन ऑलिव ऑयल")</f>
        <v>ब्रियो एक्स्ट्रा वर्जिन ऑलिव ऑयल</v>
      </c>
      <c r="D3124" s="2" t="s">
        <v>62</v>
      </c>
      <c r="E3124" s="2" t="s">
        <v>54</v>
      </c>
      <c r="F3124" s="1">
        <v>6.0</v>
      </c>
      <c r="G3124" s="3" t="s">
        <v>4480</v>
      </c>
    </row>
    <row r="3125">
      <c r="A3125" s="3" t="s">
        <v>8828</v>
      </c>
      <c r="B3125" s="4" t="str">
        <f>IFERROR(__xludf.DUMMYFUNCTION("GOOGLETRANSLATE(A3125, ""en"", ""te"")"),"లక్ష్మి ఆవ నూనె")</f>
        <v>లక్ష్మి ఆవ నూనె</v>
      </c>
      <c r="C3125" s="4" t="str">
        <f>IFERROR(__xludf.DUMMYFUNCTION("GOOGLETRANSLATE(A3125, ""en"", ""hi"")"),"लक्ष्मी सरसों का तेल")</f>
        <v>लक्ष्मी सरसों का तेल</v>
      </c>
      <c r="D3125" s="2" t="s">
        <v>8829</v>
      </c>
      <c r="E3125" s="2" t="s">
        <v>54</v>
      </c>
      <c r="F3125" s="1">
        <v>6.0</v>
      </c>
      <c r="G3125" s="3" t="s">
        <v>7053</v>
      </c>
    </row>
    <row r="3126">
      <c r="A3126" s="3" t="s">
        <v>8828</v>
      </c>
      <c r="B3126" s="4" t="str">
        <f>IFERROR(__xludf.DUMMYFUNCTION("GOOGLETRANSLATE(A3126, ""en"", ""te"")"),"లక్ష్మి ఆవ నూనె")</f>
        <v>లక్ష్మి ఆవ నూనె</v>
      </c>
      <c r="C3126" s="4" t="str">
        <f>IFERROR(__xludf.DUMMYFUNCTION("GOOGLETRANSLATE(A3126, ""en"", ""hi"")"),"लक्ष्मी सरसों का तेल")</f>
        <v>लक्ष्मी सरसों का तेल</v>
      </c>
      <c r="D3126" s="2" t="s">
        <v>8829</v>
      </c>
      <c r="E3126" s="2" t="s">
        <v>54</v>
      </c>
      <c r="F3126" s="1">
        <v>6.0</v>
      </c>
      <c r="G3126" s="3" t="s">
        <v>4480</v>
      </c>
    </row>
    <row r="3127">
      <c r="A3127" s="3" t="s">
        <v>8830</v>
      </c>
      <c r="B3127" s="4" t="str">
        <f>IFERROR(__xludf.DUMMYFUNCTION("GOOGLETRANSLATE(A3127, ""en"", ""te"")"),"బ్రియో ఆలివ్ నూనె")</f>
        <v>బ్రియో ఆలివ్ నూనె</v>
      </c>
      <c r="C3127" s="4" t="str">
        <f>IFERROR(__xludf.DUMMYFUNCTION("GOOGLETRANSLATE(A3127, ""en"", ""hi"")"),"ब्रियो ऑलिव ऑयल")</f>
        <v>ब्रियो ऑलिव ऑयल</v>
      </c>
      <c r="D3127" s="2" t="s">
        <v>62</v>
      </c>
      <c r="E3127" s="2" t="s">
        <v>54</v>
      </c>
      <c r="F3127" s="1">
        <v>6.0</v>
      </c>
      <c r="G3127" s="3" t="s">
        <v>4480</v>
      </c>
    </row>
    <row r="3128">
      <c r="A3128" s="3" t="s">
        <v>8831</v>
      </c>
      <c r="B3128" s="4" t="str">
        <f>IFERROR(__xludf.DUMMYFUNCTION("GOOGLETRANSLATE(A3128, ""en"", ""te"")"),"బ్రియో నువ్వుల నూనె")</f>
        <v>బ్రియో నువ్వుల నూనె</v>
      </c>
      <c r="C3128" s="4" t="str">
        <f>IFERROR(__xludf.DUMMYFUNCTION("GOOGLETRANSLATE(A3128, ""en"", ""hi"")"),"ब्रियो तिल का तेल")</f>
        <v>ब्रियो तिल का तेल</v>
      </c>
      <c r="D3128" s="2" t="s">
        <v>8825</v>
      </c>
      <c r="E3128" s="2" t="s">
        <v>54</v>
      </c>
      <c r="F3128" s="1">
        <v>6.0</v>
      </c>
      <c r="G3128" s="3" t="s">
        <v>4480</v>
      </c>
    </row>
    <row r="3129">
      <c r="A3129" s="3" t="s">
        <v>8817</v>
      </c>
      <c r="B3129" s="4" t="str">
        <f>IFERROR(__xludf.DUMMYFUNCTION("GOOGLETRANSLATE(A3129, ""en"", ""te"")"),"లక్ష్మి వేరుశెనగ నూనె")</f>
        <v>లక్ష్మి వేరుశెనగ నూనె</v>
      </c>
      <c r="C3129" s="4" t="str">
        <f>IFERROR(__xludf.DUMMYFUNCTION("GOOGLETRANSLATE(A3129, ""en"", ""hi"")"),"लक्ष्मी मूंगफली का तेल")</f>
        <v>लक्ष्मी मूंगफली का तेल</v>
      </c>
      <c r="D3129" s="2" t="s">
        <v>8818</v>
      </c>
      <c r="E3129" s="2" t="s">
        <v>54</v>
      </c>
      <c r="F3129" s="1">
        <v>6.0</v>
      </c>
      <c r="G3129" s="3" t="s">
        <v>258</v>
      </c>
    </row>
    <row r="3130">
      <c r="A3130" s="3" t="s">
        <v>8828</v>
      </c>
      <c r="B3130" s="4" t="str">
        <f>IFERROR(__xludf.DUMMYFUNCTION("GOOGLETRANSLATE(A3130, ""en"", ""te"")"),"లక్ష్మి ఆవ నూనె")</f>
        <v>లక్ష్మి ఆవ నూనె</v>
      </c>
      <c r="C3130" s="4" t="str">
        <f>IFERROR(__xludf.DUMMYFUNCTION("GOOGLETRANSLATE(A3130, ""en"", ""hi"")"),"लक्ष्मी सरसों का तेल")</f>
        <v>लक्ष्मी सरसों का तेल</v>
      </c>
      <c r="D3130" s="2" t="s">
        <v>8829</v>
      </c>
      <c r="E3130" s="2" t="s">
        <v>54</v>
      </c>
      <c r="F3130" s="1">
        <v>6.0</v>
      </c>
      <c r="G3130" s="3" t="s">
        <v>292</v>
      </c>
    </row>
    <row r="3131">
      <c r="A3131" s="3" t="s">
        <v>8832</v>
      </c>
      <c r="B3131" s="4" t="str">
        <f>IFERROR(__xludf.DUMMYFUNCTION("GOOGLETRANSLATE(A3131, ""en"", ""te"")"),"గ్రామియం వేరుశెనగ నూనె")</f>
        <v>గ్రామియం వేరుశెనగ నూనె</v>
      </c>
      <c r="C3131" s="4" t="str">
        <f>IFERROR(__xludf.DUMMYFUNCTION("GOOGLETRANSLATE(A3131, ""en"", ""hi"")"),"ग्रामियम मूंगफली का तेल")</f>
        <v>ग्रामियम मूंगफली का तेल</v>
      </c>
      <c r="D3131" s="2" t="s">
        <v>8833</v>
      </c>
      <c r="E3131" s="2" t="s">
        <v>54</v>
      </c>
      <c r="F3131" s="1">
        <v>6.0</v>
      </c>
      <c r="G3131" s="3" t="s">
        <v>7053</v>
      </c>
    </row>
    <row r="3132">
      <c r="A3132" s="3" t="s">
        <v>8834</v>
      </c>
      <c r="B3132" s="4" t="str">
        <f>IFERROR(__xludf.DUMMYFUNCTION("GOOGLETRANSLATE(A3132, ""en"", ""te"")"),"లక్ష్మి నువ్వుల నూనె")</f>
        <v>లక్ష్మి నువ్వుల నూనె</v>
      </c>
      <c r="C3132" s="4" t="str">
        <f>IFERROR(__xludf.DUMMYFUNCTION("GOOGLETRANSLATE(A3132, ""en"", ""hi"")"),"लक्ष्मी तिल का तेल")</f>
        <v>लक्ष्मी तिल का तेल</v>
      </c>
      <c r="D3132" s="2" t="s">
        <v>8825</v>
      </c>
      <c r="E3132" s="2" t="s">
        <v>54</v>
      </c>
      <c r="F3132" s="1">
        <v>6.0</v>
      </c>
      <c r="G3132" s="3" t="s">
        <v>4480</v>
      </c>
    </row>
    <row r="3133">
      <c r="A3133" s="3" t="s">
        <v>8835</v>
      </c>
      <c r="B3133" s="4" t="str">
        <f>IFERROR(__xludf.DUMMYFUNCTION("GOOGLETRANSLATE(A3133, ""en"", ""te"")"),"లక్ష్మి కనోలా నూనె")</f>
        <v>లక్ష్మి కనోలా నూనె</v>
      </c>
      <c r="C3133" s="4" t="str">
        <f>IFERROR(__xludf.DUMMYFUNCTION("GOOGLETRANSLATE(A3133, ""en"", ""hi"")"),"लक्ष्मी कैनोला तेल")</f>
        <v>लक्ष्मी कैनोला तेल</v>
      </c>
      <c r="D3133" s="2" t="s">
        <v>62</v>
      </c>
      <c r="E3133" s="2" t="s">
        <v>54</v>
      </c>
      <c r="F3133" s="1">
        <v>6.0</v>
      </c>
      <c r="G3133" s="3" t="s">
        <v>4480</v>
      </c>
    </row>
    <row r="3134">
      <c r="A3134" s="3" t="s">
        <v>4186</v>
      </c>
      <c r="B3134" s="4" t="str">
        <f>IFERROR(__xludf.DUMMYFUNCTION("GOOGLETRANSLATE(A3134, ""en"", ""te"")"),"లక్ష్మి మొక్కజొన్న నూనె")</f>
        <v>లక్ష్మి మొక్కజొన్న నూనె</v>
      </c>
      <c r="C3134" s="4" t="str">
        <f>IFERROR(__xludf.DUMMYFUNCTION("GOOGLETRANSLATE(A3134, ""en"", ""hi"")"),"लक्ष्मी कॉर्न ऑयल")</f>
        <v>लक्ष्मी कॉर्न ऑयल</v>
      </c>
      <c r="D3134" s="2" t="s">
        <v>62</v>
      </c>
      <c r="E3134" s="2" t="s">
        <v>54</v>
      </c>
      <c r="F3134" s="1">
        <v>6.0</v>
      </c>
      <c r="G3134" s="3" t="s">
        <v>4480</v>
      </c>
    </row>
    <row r="3135">
      <c r="A3135" s="3" t="s">
        <v>8836</v>
      </c>
      <c r="B3135" s="4" t="str">
        <f>IFERROR(__xludf.DUMMYFUNCTION("GOOGLETRANSLATE(A3135, ""en"", ""te"")"),"బ్రియో ఆలివ్ పోమేస్ ఆయిల్")</f>
        <v>బ్రియో ఆలివ్ పోమేస్ ఆయిల్</v>
      </c>
      <c r="C3135" s="4" t="str">
        <f>IFERROR(__xludf.DUMMYFUNCTION("GOOGLETRANSLATE(A3135, ""en"", ""hi"")"),"ब्रियो ऑलिव पोमेस ऑयल")</f>
        <v>ब्रियो ऑलिव पोमेस ऑयल</v>
      </c>
      <c r="D3135" s="2" t="s">
        <v>62</v>
      </c>
      <c r="E3135" s="2" t="s">
        <v>54</v>
      </c>
      <c r="F3135" s="1">
        <v>6.0</v>
      </c>
      <c r="G3135" s="3" t="s">
        <v>4480</v>
      </c>
    </row>
    <row r="3136">
      <c r="A3136" s="3" t="s">
        <v>8811</v>
      </c>
      <c r="B3136" s="4" t="str">
        <f>IFERROR(__xludf.DUMMYFUNCTION("GOOGLETRANSLATE(A3136, ""en"", ""te"")"),"లక్ష్మి నువ్వుల నూనె")</f>
        <v>లక్ష్మి నువ్వుల నూనె</v>
      </c>
      <c r="C3136" s="4" t="str">
        <f>IFERROR(__xludf.DUMMYFUNCTION("GOOGLETRANSLATE(A3136, ""en"", ""hi"")"),"लक्ष्मी तिल का तेल")</f>
        <v>लक्ष्मी तिल का तेल</v>
      </c>
      <c r="D3136" s="5"/>
      <c r="E3136" s="2" t="s">
        <v>54</v>
      </c>
      <c r="F3136" s="1">
        <v>6.0</v>
      </c>
      <c r="G3136" s="3" t="s">
        <v>8837</v>
      </c>
    </row>
    <row r="3137">
      <c r="A3137" s="3" t="s">
        <v>8828</v>
      </c>
      <c r="B3137" s="4" t="str">
        <f>IFERROR(__xludf.DUMMYFUNCTION("GOOGLETRANSLATE(A3137, ""en"", ""te"")"),"లక్ష్మి ఆవ నూనె")</f>
        <v>లక్ష్మి ఆవ నూనె</v>
      </c>
      <c r="C3137" s="4" t="str">
        <f>IFERROR(__xludf.DUMMYFUNCTION("GOOGLETRANSLATE(A3137, ""en"", ""hi"")"),"लक्ष्मी सरसों का तेल")</f>
        <v>लक्ष्मी सरसों का तेल</v>
      </c>
      <c r="D3137" s="2" t="s">
        <v>8829</v>
      </c>
      <c r="E3137" s="2" t="s">
        <v>54</v>
      </c>
      <c r="F3137" s="1">
        <v>6.0</v>
      </c>
      <c r="G3137" s="3" t="s">
        <v>4924</v>
      </c>
    </row>
    <row r="3138">
      <c r="A3138" s="3" t="s">
        <v>8815</v>
      </c>
      <c r="B3138" s="4" t="str">
        <f>IFERROR(__xludf.DUMMYFUNCTION("GOOGLETRANSLATE(A3138, ""en"", ""te"")"),"తేజ్ ఆవ నూనె")</f>
        <v>తేజ్ ఆవ నూనె</v>
      </c>
      <c r="C3138" s="4" t="str">
        <f>IFERROR(__xludf.DUMMYFUNCTION("GOOGLETRANSLATE(A3138, ""en"", ""hi"")"),"तेज सरसों का तेल")</f>
        <v>तेज सरसों का तेल</v>
      </c>
      <c r="D3138" s="2" t="s">
        <v>1617</v>
      </c>
      <c r="E3138" s="2" t="s">
        <v>54</v>
      </c>
      <c r="F3138" s="1">
        <v>6.0</v>
      </c>
      <c r="G3138" s="3" t="s">
        <v>4924</v>
      </c>
    </row>
    <row r="3139">
      <c r="A3139" s="3" t="s">
        <v>8814</v>
      </c>
      <c r="B3139" s="4" t="str">
        <f>IFERROR(__xludf.DUMMYFUNCTION("GOOGLETRANSLATE(A3139, ""en"", ""te"")"),"పతంజలి ఆవ నూనె")</f>
        <v>పతంజలి ఆవ నూనె</v>
      </c>
      <c r="C3139" s="4" t="str">
        <f>IFERROR(__xludf.DUMMYFUNCTION("GOOGLETRANSLATE(A3139, ""en"", ""hi"")"),"पतंजलि सरसों का तेल")</f>
        <v>पतंजलि सरसों का तेल</v>
      </c>
      <c r="D3139" s="2" t="s">
        <v>1617</v>
      </c>
      <c r="E3139" s="2" t="s">
        <v>54</v>
      </c>
      <c r="F3139" s="1">
        <v>6.0</v>
      </c>
      <c r="G3139" s="3" t="s">
        <v>8837</v>
      </c>
    </row>
    <row r="3140">
      <c r="A3140" s="3" t="s">
        <v>8838</v>
      </c>
      <c r="B3140" s="4" t="str">
        <f>IFERROR(__xludf.DUMMYFUNCTION("GOOGLETRANSLATE(A3140, ""en"", ""te"")"),"స్వాద్ వేరుశనగ నూనె")</f>
        <v>స్వాద్ వేరుశనగ నూనె</v>
      </c>
      <c r="C3140" s="4" t="str">
        <f>IFERROR(__xludf.DUMMYFUNCTION("GOOGLETRANSLATE(A3140, ""en"", ""hi"")"),"स्वाद मूंगफली का तेल")</f>
        <v>स्वाद मूंगफली का तेल</v>
      </c>
      <c r="D3140" s="2" t="s">
        <v>47</v>
      </c>
      <c r="E3140" s="2" t="s">
        <v>54</v>
      </c>
      <c r="F3140" s="1">
        <v>6.0</v>
      </c>
      <c r="G3140" s="3" t="s">
        <v>4933</v>
      </c>
    </row>
    <row r="3141">
      <c r="A3141" s="3" t="s">
        <v>8839</v>
      </c>
      <c r="B3141" s="4" t="str">
        <f>IFERROR(__xludf.DUMMYFUNCTION("GOOGLETRANSLATE(A3141, ""en"", ""te"")"),"తేజ్ వేరుశనగ నూనె")</f>
        <v>తేజ్ వేరుశనగ నూనె</v>
      </c>
      <c r="C3141" s="4" t="str">
        <f>IFERROR(__xludf.DUMMYFUNCTION("GOOGLETRANSLATE(A3141, ""en"", ""hi"")"),"तेज मूंगफली का तेल")</f>
        <v>तेज मूंगफली का तेल</v>
      </c>
      <c r="D3141" s="2" t="s">
        <v>47</v>
      </c>
      <c r="E3141" s="2" t="s">
        <v>54</v>
      </c>
      <c r="F3141" s="1">
        <v>6.0</v>
      </c>
      <c r="G3141" s="3" t="s">
        <v>4933</v>
      </c>
    </row>
    <row r="3142">
      <c r="A3142" s="3" t="s">
        <v>8840</v>
      </c>
      <c r="B3142" s="4" t="str">
        <f>IFERROR(__xludf.DUMMYFUNCTION("GOOGLETRANSLATE(A3142, ""en"", ""te"")"),"సేంద్రీయ వేరుశెనగ నూనె")</f>
        <v>సేంద్రీయ వేరుశెనగ నూనె</v>
      </c>
      <c r="C3142" s="4" t="str">
        <f>IFERROR(__xludf.DUMMYFUNCTION("GOOGLETRANSLATE(A3142, ""en"", ""hi"")"),"जैविक मूंगफली का तेल")</f>
        <v>जैविक मूंगफली का तेल</v>
      </c>
      <c r="D3142" s="2" t="s">
        <v>8841</v>
      </c>
      <c r="E3142" s="2" t="s">
        <v>54</v>
      </c>
      <c r="F3142" s="1">
        <v>6.0</v>
      </c>
      <c r="G3142" s="3" t="s">
        <v>4933</v>
      </c>
    </row>
    <row r="3143">
      <c r="A3143" s="3" t="s">
        <v>8812</v>
      </c>
      <c r="B3143" s="4" t="str">
        <f>IFERROR(__xludf.DUMMYFUNCTION("GOOGLETRANSLATE(A3143, ""en"", ""te"")"),"పతంజలి వేరుశెనగ నూనె")</f>
        <v>పతంజలి వేరుశెనగ నూనె</v>
      </c>
      <c r="C3143" s="4" t="str">
        <f>IFERROR(__xludf.DUMMYFUNCTION("GOOGLETRANSLATE(A3143, ""en"", ""hi"")"),"पतंजलि मूंगफली का तेल")</f>
        <v>पतंजलि मूंगफली का तेल</v>
      </c>
      <c r="D3143" s="2" t="s">
        <v>59</v>
      </c>
      <c r="E3143" s="2" t="s">
        <v>54</v>
      </c>
      <c r="F3143" s="1">
        <v>6.0</v>
      </c>
      <c r="G3143" s="3" t="s">
        <v>4933</v>
      </c>
    </row>
    <row r="3144">
      <c r="A3144" s="3" t="s">
        <v>8832</v>
      </c>
      <c r="B3144" s="4" t="str">
        <f>IFERROR(__xludf.DUMMYFUNCTION("GOOGLETRANSLATE(A3144, ""en"", ""te"")"),"గ్రామియం వేరుశెనగ నూనె")</f>
        <v>గ్రామియం వేరుశెనగ నూనె</v>
      </c>
      <c r="C3144" s="4" t="str">
        <f>IFERROR(__xludf.DUMMYFUNCTION("GOOGLETRANSLATE(A3144, ""en"", ""hi"")"),"ग्रामियम मूंगफली का तेल")</f>
        <v>ग्रामियम मूंगफली का तेल</v>
      </c>
      <c r="D3144" s="2" t="s">
        <v>8833</v>
      </c>
      <c r="E3144" s="2" t="s">
        <v>54</v>
      </c>
      <c r="F3144" s="1">
        <v>6.0</v>
      </c>
      <c r="G3144" s="3" t="s">
        <v>8837</v>
      </c>
    </row>
    <row r="3145">
      <c r="A3145" s="3" t="s">
        <v>8819</v>
      </c>
      <c r="B3145" s="4" t="str">
        <f>IFERROR(__xludf.DUMMYFUNCTION("GOOGLETRANSLATE(A3145, ""en"", ""te"")"),"జస్ట్ ఆర్గానిక్ పీనట్ ఆయిల్")</f>
        <v>జస్ట్ ఆర్గానిక్ పీనట్ ఆయిల్</v>
      </c>
      <c r="C3145" s="4" t="str">
        <f>IFERROR(__xludf.DUMMYFUNCTION("GOOGLETRANSLATE(A3145, ""en"", ""hi"")"),"जस्ट ऑर्गेनिक मूंगफली का तेल")</f>
        <v>जस्ट ऑर्गेनिक मूंगफली का तेल</v>
      </c>
      <c r="D3145" s="2" t="s">
        <v>8820</v>
      </c>
      <c r="E3145" s="2" t="s">
        <v>54</v>
      </c>
      <c r="F3145" s="1">
        <v>6.0</v>
      </c>
      <c r="G3145" s="3" t="s">
        <v>8837</v>
      </c>
    </row>
    <row r="3146">
      <c r="A3146" s="3" t="s">
        <v>6279</v>
      </c>
      <c r="B3146" s="4" t="str">
        <f>IFERROR(__xludf.DUMMYFUNCTION("GOOGLETRANSLATE(A3146, ""en"", ""te"")"),"స్వాద్ కొబ్బరి నూనె")</f>
        <v>స్వాద్ కొబ్బరి నూనె</v>
      </c>
      <c r="C3146" s="4" t="str">
        <f>IFERROR(__xludf.DUMMYFUNCTION("GOOGLETRANSLATE(A3146, ""en"", ""hi"")"),"स्वाद नारियल तेल")</f>
        <v>स्वाद नारियल तेल</v>
      </c>
      <c r="D3146" s="2" t="s">
        <v>53</v>
      </c>
      <c r="E3146" s="2" t="s">
        <v>54</v>
      </c>
      <c r="F3146" s="1">
        <v>6.0</v>
      </c>
      <c r="G3146" s="3" t="s">
        <v>7163</v>
      </c>
    </row>
    <row r="3147">
      <c r="A3147" s="3" t="s">
        <v>6209</v>
      </c>
      <c r="B3147" s="4" t="str">
        <f>IFERROR(__xludf.DUMMYFUNCTION("GOOGLETRANSLATE(A3147, ""en"", ""te"")"),"పొద్దుతిరుగుడు నూనె")</f>
        <v>పొద్దుతిరుగుడు నూనె</v>
      </c>
      <c r="C3147" s="4" t="str">
        <f>IFERROR(__xludf.DUMMYFUNCTION("GOOGLETRANSLATE(A3147, ""en"", ""hi"")"),"सूरजमुखी का तेल")</f>
        <v>सूरजमुखी का तेल</v>
      </c>
      <c r="D3147" s="2" t="s">
        <v>62</v>
      </c>
      <c r="E3147" s="2" t="s">
        <v>54</v>
      </c>
      <c r="F3147" s="1">
        <v>6.0</v>
      </c>
      <c r="G3147" s="3" t="s">
        <v>7163</v>
      </c>
    </row>
    <row r="3148">
      <c r="A3148" s="3" t="s">
        <v>8824</v>
      </c>
      <c r="B3148" s="4" t="str">
        <f>IFERROR(__xludf.DUMMYFUNCTION("GOOGLETRANSLATE(A3148, ""en"", ""te"")"),"మజోలా మొక్కజొన్న నూనె")</f>
        <v>మజోలా మొక్కజొన్న నూనె</v>
      </c>
      <c r="C3148" s="4" t="str">
        <f>IFERROR(__xludf.DUMMYFUNCTION("GOOGLETRANSLATE(A3148, ""en"", ""hi"")"),"माज़ोला कॉर्न ऑयल")</f>
        <v>माज़ोला कॉर्न ऑयल</v>
      </c>
      <c r="D3148" s="2" t="s">
        <v>8825</v>
      </c>
      <c r="E3148" s="2" t="s">
        <v>54</v>
      </c>
      <c r="F3148" s="1">
        <v>6.0</v>
      </c>
      <c r="G3148" s="3" t="s">
        <v>8842</v>
      </c>
    </row>
    <row r="3149">
      <c r="A3149" s="3" t="s">
        <v>1663</v>
      </c>
      <c r="B3149" s="4" t="str">
        <f>IFERROR(__xludf.DUMMYFUNCTION("GOOGLETRANSLATE(A3149, ""en"", ""te"")"),"కనోలా నూనె")</f>
        <v>కనోలా నూనె</v>
      </c>
      <c r="C3149" s="4" t="str">
        <f>IFERROR(__xludf.DUMMYFUNCTION("GOOGLETRANSLATE(A3149, ""en"", ""hi"")"),"कैनोला का तेल")</f>
        <v>कैनोला का तेल</v>
      </c>
      <c r="D3149" s="2" t="s">
        <v>62</v>
      </c>
      <c r="E3149" s="2" t="s">
        <v>54</v>
      </c>
      <c r="F3149" s="1">
        <v>6.0</v>
      </c>
      <c r="G3149" s="3" t="s">
        <v>8842</v>
      </c>
    </row>
    <row r="3150">
      <c r="A3150" s="3" t="s">
        <v>8843</v>
      </c>
      <c r="B3150" s="4" t="str">
        <f>IFERROR(__xludf.DUMMYFUNCTION("GOOGLETRANSLATE(A3150, ""en"", ""te"")"),"తేజ్ నువ్వుల నూనె")</f>
        <v>తేజ్ నువ్వుల నూనె</v>
      </c>
      <c r="C3150" s="4" t="str">
        <f>IFERROR(__xludf.DUMMYFUNCTION("GOOGLETRANSLATE(A3150, ""en"", ""hi"")"),"तेज तिल का तेल")</f>
        <v>तेज तिल का तेल</v>
      </c>
      <c r="D3150" s="2" t="s">
        <v>8825</v>
      </c>
      <c r="E3150" s="2" t="s">
        <v>54</v>
      </c>
      <c r="F3150" s="1">
        <v>6.0</v>
      </c>
      <c r="G3150" s="3" t="s">
        <v>8842</v>
      </c>
    </row>
    <row r="3151">
      <c r="A3151" s="3" t="s">
        <v>8834</v>
      </c>
      <c r="B3151" s="4" t="str">
        <f>IFERROR(__xludf.DUMMYFUNCTION("GOOGLETRANSLATE(A3151, ""en"", ""te"")"),"లక్ష్మి నువ్వుల నూనె")</f>
        <v>లక్ష్మి నువ్వుల నూనె</v>
      </c>
      <c r="C3151" s="4" t="str">
        <f>IFERROR(__xludf.DUMMYFUNCTION("GOOGLETRANSLATE(A3151, ""en"", ""hi"")"),"लक्ष्मी तिल का तेल")</f>
        <v>लक्ष्मी तिल का तेल</v>
      </c>
      <c r="D3151" s="2" t="s">
        <v>8825</v>
      </c>
      <c r="E3151" s="2" t="s">
        <v>54</v>
      </c>
      <c r="F3151" s="1">
        <v>6.0</v>
      </c>
      <c r="G3151" s="3" t="s">
        <v>8842</v>
      </c>
    </row>
    <row r="3152">
      <c r="A3152" s="3" t="s">
        <v>8844</v>
      </c>
      <c r="B3152" s="4" t="str">
        <f>IFERROR(__xludf.DUMMYFUNCTION("GOOGLETRANSLATE(A3152, ""en"", ""te"")"),"డాబర్ మస్టర్డ్ ఆయిల్")</f>
        <v>డాబర్ మస్టర్డ్ ఆయిల్</v>
      </c>
      <c r="C3152" s="4" t="str">
        <f>IFERROR(__xludf.DUMMYFUNCTION("GOOGLETRANSLATE(A3152, ""en"", ""hi"")"),"डाबर सरसों का तेल")</f>
        <v>डाबर सरसों का तेल</v>
      </c>
      <c r="D3152" s="2" t="s">
        <v>8845</v>
      </c>
      <c r="E3152" s="2" t="s">
        <v>54</v>
      </c>
      <c r="F3152" s="1">
        <v>6.0</v>
      </c>
      <c r="G3152" s="3" t="s">
        <v>4924</v>
      </c>
    </row>
    <row r="3153">
      <c r="A3153" s="3" t="s">
        <v>8846</v>
      </c>
      <c r="B3153" s="4" t="str">
        <f>IFERROR(__xludf.DUMMYFUNCTION("GOOGLETRANSLATE(A3153, ""en"", ""te"")"),"777 వేరుశెనగ నూనె")</f>
        <v>777 వేరుశెనగ నూనె</v>
      </c>
      <c r="C3153" s="4" t="str">
        <f>IFERROR(__xludf.DUMMYFUNCTION("GOOGLETRANSLATE(A3153, ""en"", ""hi"")"),"777 मूंगफली का तेल")</f>
        <v>777 मूंगफली का तेल</v>
      </c>
      <c r="D3153" s="2" t="s">
        <v>47</v>
      </c>
      <c r="E3153" s="2" t="s">
        <v>54</v>
      </c>
      <c r="F3153" s="1">
        <v>6.0</v>
      </c>
      <c r="G3153" s="3" t="s">
        <v>4933</v>
      </c>
    </row>
    <row r="3154">
      <c r="A3154" s="3" t="s">
        <v>8847</v>
      </c>
      <c r="B3154" s="4" t="str">
        <f>IFERROR(__xludf.DUMMYFUNCTION("GOOGLETRANSLATE(A3154, ""en"", ""te"")"),"పతంజలి ఆర్గానిక్ వేరుశెనగ నూనె")</f>
        <v>పతంజలి ఆర్గానిక్ వేరుశెనగ నూనె</v>
      </c>
      <c r="C3154" s="4" t="str">
        <f>IFERROR(__xludf.DUMMYFUNCTION("GOOGLETRANSLATE(A3154, ""en"", ""hi"")"),"पतंजलि ऑर्गेनिक मूंगफली का तेल")</f>
        <v>पतंजलि ऑर्गेनिक मूंगफली का तेल</v>
      </c>
      <c r="D3154" s="2" t="s">
        <v>8818</v>
      </c>
      <c r="E3154" s="2" t="s">
        <v>54</v>
      </c>
      <c r="F3154" s="1">
        <v>6.0</v>
      </c>
      <c r="G3154" s="3" t="s">
        <v>4933</v>
      </c>
    </row>
    <row r="3155">
      <c r="A3155" s="3" t="s">
        <v>8848</v>
      </c>
      <c r="B3155" s="4" t="str">
        <f>IFERROR(__xludf.DUMMYFUNCTION("GOOGLETRANSLATE(A3155, ""en"", ""te"")"),"గ్రామినియా వేరుశెనగ నూనె")</f>
        <v>గ్రామినియా వేరుశెనగ నూనె</v>
      </c>
      <c r="C3155" s="4" t="str">
        <f>IFERROR(__xludf.DUMMYFUNCTION("GOOGLETRANSLATE(A3155, ""en"", ""hi"")"),"ग्रामिनिया मूंगफली का तेल")</f>
        <v>ग्रामिनिया मूंगफली का तेल</v>
      </c>
      <c r="D3155" s="2" t="s">
        <v>8849</v>
      </c>
      <c r="E3155" s="2" t="s">
        <v>54</v>
      </c>
      <c r="F3155" s="1">
        <v>6.0</v>
      </c>
      <c r="G3155" s="3" t="s">
        <v>4933</v>
      </c>
    </row>
    <row r="3156">
      <c r="A3156" s="3" t="s">
        <v>8850</v>
      </c>
      <c r="B3156" s="4" t="str">
        <f>IFERROR(__xludf.DUMMYFUNCTION("GOOGLETRANSLATE(A3156, ""en"", ""te"")"),"స్వాద్ పొద్దుతిరుగుడు నూనె")</f>
        <v>స్వాద్ పొద్దుతిరుగుడు నూనె</v>
      </c>
      <c r="C3156" s="4" t="str">
        <f>IFERROR(__xludf.DUMMYFUNCTION("GOOGLETRANSLATE(A3156, ""en"", ""hi"")"),"स्वाद सूरजमुखी तेल")</f>
        <v>स्वाद सूरजमुखी तेल</v>
      </c>
      <c r="D3156" s="2" t="s">
        <v>62</v>
      </c>
      <c r="E3156" s="2" t="s">
        <v>54</v>
      </c>
      <c r="F3156" s="1">
        <v>6.0</v>
      </c>
      <c r="G3156" s="3" t="s">
        <v>7163</v>
      </c>
    </row>
    <row r="3157">
      <c r="A3157" s="3" t="s">
        <v>8843</v>
      </c>
      <c r="B3157" s="4" t="str">
        <f>IFERROR(__xludf.DUMMYFUNCTION("GOOGLETRANSLATE(A3157, ""en"", ""te"")"),"తేజ్ నువ్వుల నూనె")</f>
        <v>తేజ్ నువ్వుల నూనె</v>
      </c>
      <c r="C3157" s="4" t="str">
        <f>IFERROR(__xludf.DUMMYFUNCTION("GOOGLETRANSLATE(A3157, ""en"", ""hi"")"),"तेज तिल का तेल")</f>
        <v>तेज तिल का तेल</v>
      </c>
      <c r="D3157" s="2" t="s">
        <v>8825</v>
      </c>
      <c r="E3157" s="2" t="s">
        <v>54</v>
      </c>
      <c r="F3157" s="1">
        <v>6.0</v>
      </c>
      <c r="G3157" s="3" t="s">
        <v>4419</v>
      </c>
    </row>
    <row r="3158">
      <c r="A3158" s="3" t="s">
        <v>8851</v>
      </c>
      <c r="B3158" s="4" t="str">
        <f>IFERROR(__xludf.DUMMYFUNCTION("GOOGLETRANSLATE(A3158, ""en"", ""te"")"),"గ్రామినియా ఆయిల్")</f>
        <v>గ్రామినియా ఆయిల్</v>
      </c>
      <c r="C3158" s="4" t="str">
        <f>IFERROR(__xludf.DUMMYFUNCTION("GOOGLETRANSLATE(A3158, ""en"", ""hi"")"),"ग्रामिनिया तेल")</f>
        <v>ग्रामिनिया तेल</v>
      </c>
      <c r="D3158" s="2" t="s">
        <v>59</v>
      </c>
      <c r="E3158" s="2" t="s">
        <v>54</v>
      </c>
      <c r="F3158" s="1">
        <v>6.0</v>
      </c>
      <c r="G3158" s="3" t="s">
        <v>4419</v>
      </c>
    </row>
    <row r="3159">
      <c r="A3159" s="3" t="s">
        <v>5934</v>
      </c>
      <c r="B3159" s="4" t="str">
        <f>IFERROR(__xludf.DUMMYFUNCTION("GOOGLETRANSLATE(A3159, ""en"", ""te"")"),"నువ్వుల నూనె")</f>
        <v>నువ్వుల నూనె</v>
      </c>
      <c r="C3159" s="4" t="str">
        <f>IFERROR(__xludf.DUMMYFUNCTION("GOOGLETRANSLATE(A3159, ""en"", ""hi"")"),"तिल का तेल")</f>
        <v>तिल का तेल</v>
      </c>
      <c r="D3159" s="2" t="s">
        <v>8825</v>
      </c>
      <c r="E3159" s="2" t="s">
        <v>54</v>
      </c>
      <c r="F3159" s="1">
        <v>6.0</v>
      </c>
      <c r="G3159" s="3" t="s">
        <v>4419</v>
      </c>
    </row>
    <row r="3160">
      <c r="A3160" s="3" t="s">
        <v>8834</v>
      </c>
      <c r="B3160" s="4" t="str">
        <f>IFERROR(__xludf.DUMMYFUNCTION("GOOGLETRANSLATE(A3160, ""en"", ""te"")"),"లక్ష్మి నువ్వుల నూనె")</f>
        <v>లక్ష్మి నువ్వుల నూనె</v>
      </c>
      <c r="C3160" s="4" t="str">
        <f>IFERROR(__xludf.DUMMYFUNCTION("GOOGLETRANSLATE(A3160, ""en"", ""hi"")"),"लक्ष्मी तिल का तेल")</f>
        <v>लक्ष्मी तिल का तेल</v>
      </c>
      <c r="D3160" s="2" t="s">
        <v>8825</v>
      </c>
      <c r="E3160" s="2" t="s">
        <v>54</v>
      </c>
      <c r="F3160" s="1">
        <v>6.0</v>
      </c>
      <c r="G3160" s="3" t="s">
        <v>4419</v>
      </c>
    </row>
    <row r="3161">
      <c r="A3161" s="3" t="s">
        <v>1663</v>
      </c>
      <c r="B3161" s="4" t="str">
        <f>IFERROR(__xludf.DUMMYFUNCTION("GOOGLETRANSLATE(A3161, ""en"", ""te"")"),"కనోలా నూనె")</f>
        <v>కనోలా నూనె</v>
      </c>
      <c r="C3161" s="4" t="str">
        <f>IFERROR(__xludf.DUMMYFUNCTION("GOOGLETRANSLATE(A3161, ""en"", ""hi"")"),"कैनोला का तेल")</f>
        <v>कैनोला का तेल</v>
      </c>
      <c r="D3161" s="2" t="s">
        <v>62</v>
      </c>
      <c r="E3161" s="2" t="s">
        <v>54</v>
      </c>
      <c r="F3161" s="1">
        <v>6.0</v>
      </c>
      <c r="G3161" s="3" t="s">
        <v>4419</v>
      </c>
    </row>
    <row r="3162">
      <c r="A3162" s="3" t="s">
        <v>8852</v>
      </c>
      <c r="B3162" s="4" t="str">
        <f>IFERROR(__xludf.DUMMYFUNCTION("GOOGLETRANSLATE(A3162, ""en"", ""te"")"),"గ్రామియా వుడ్ కోల్డ్ ప్రెస్డ్ మస్టర్డ్ ఆయిల్")</f>
        <v>గ్రామియా వుడ్ కోల్డ్ ప్రెస్డ్ మస్టర్డ్ ఆయిల్</v>
      </c>
      <c r="C3162" s="4" t="str">
        <f>IFERROR(__xludf.DUMMYFUNCTION("GOOGLETRANSLATE(A3162, ""en"", ""hi"")"),"ग्रामिया वुड कोल्ड प्रेस्ड सरसों का तेल")</f>
        <v>ग्रामिया वुड कोल्ड प्रेस्ड सरसों का तेल</v>
      </c>
      <c r="D3162" s="2" t="s">
        <v>8853</v>
      </c>
      <c r="E3162" s="2" t="s">
        <v>54</v>
      </c>
      <c r="F3162" s="1">
        <v>6.0</v>
      </c>
      <c r="G3162" s="3" t="s">
        <v>4434</v>
      </c>
    </row>
    <row r="3163">
      <c r="A3163" s="3" t="s">
        <v>8815</v>
      </c>
      <c r="B3163" s="4" t="str">
        <f>IFERROR(__xludf.DUMMYFUNCTION("GOOGLETRANSLATE(A3163, ""en"", ""te"")"),"తేజ్ ఆవ నూనె")</f>
        <v>తేజ్ ఆవ నూనె</v>
      </c>
      <c r="C3163" s="4" t="str">
        <f>IFERROR(__xludf.DUMMYFUNCTION("GOOGLETRANSLATE(A3163, ""en"", ""hi"")"),"तेज सरसों का तेल")</f>
        <v>तेज सरसों का तेल</v>
      </c>
      <c r="D3163" s="2" t="s">
        <v>1617</v>
      </c>
      <c r="E3163" s="2" t="s">
        <v>54</v>
      </c>
      <c r="F3163" s="1">
        <v>6.0</v>
      </c>
      <c r="G3163" s="3" t="s">
        <v>4434</v>
      </c>
    </row>
    <row r="3164">
      <c r="A3164" s="3" t="s">
        <v>8844</v>
      </c>
      <c r="B3164" s="4" t="str">
        <f>IFERROR(__xludf.DUMMYFUNCTION("GOOGLETRANSLATE(A3164, ""en"", ""te"")"),"డాబర్ మస్టర్డ్ ఆయిల్")</f>
        <v>డాబర్ మస్టర్డ్ ఆయిల్</v>
      </c>
      <c r="C3164" s="4" t="str">
        <f>IFERROR(__xludf.DUMMYFUNCTION("GOOGLETRANSLATE(A3164, ""en"", ""hi"")"),"डाबर सरसों का तेल")</f>
        <v>डाबर सरसों का तेल</v>
      </c>
      <c r="D3164" s="2" t="s">
        <v>8845</v>
      </c>
      <c r="E3164" s="2" t="s">
        <v>54</v>
      </c>
      <c r="F3164" s="1">
        <v>6.0</v>
      </c>
      <c r="G3164" s="3" t="s">
        <v>4434</v>
      </c>
    </row>
    <row r="3165">
      <c r="A3165" s="3" t="s">
        <v>6370</v>
      </c>
      <c r="B3165" s="4" t="str">
        <f>IFERROR(__xludf.DUMMYFUNCTION("GOOGLETRANSLATE(A3165, ""en"", ""te"")"),"స్వాద్ వేరుశెనగ నూనె")</f>
        <v>స్వాద్ వేరుశెనగ నూనె</v>
      </c>
      <c r="C3165" s="4" t="str">
        <f>IFERROR(__xludf.DUMMYFUNCTION("GOOGLETRANSLATE(A3165, ""en"", ""hi"")"),"स्वाद मूंगफली का तेल")</f>
        <v>स्वाद मूंगफली का तेल</v>
      </c>
      <c r="D3165" s="2" t="s">
        <v>8841</v>
      </c>
      <c r="E3165" s="2" t="s">
        <v>54</v>
      </c>
      <c r="F3165" s="1">
        <v>6.0</v>
      </c>
      <c r="G3165" s="3" t="s">
        <v>4446</v>
      </c>
    </row>
    <row r="3166">
      <c r="A3166" s="3" t="s">
        <v>8854</v>
      </c>
      <c r="B3166" s="4" t="str">
        <f>IFERROR(__xludf.DUMMYFUNCTION("GOOGLETRANSLATE(A3166, ""en"", ""te"")"),"మంత్ర పీనట్ ఆయిల్")</f>
        <v>మంత్ర పీనట్ ఆయిల్</v>
      </c>
      <c r="C3166" s="4" t="str">
        <f>IFERROR(__xludf.DUMMYFUNCTION("GOOGLETRANSLATE(A3166, ""en"", ""hi"")"),"मंत्रा मूंगफली का तेल")</f>
        <v>मंत्रा मूंगफली का तेल</v>
      </c>
      <c r="D3166" s="2" t="s">
        <v>8841</v>
      </c>
      <c r="E3166" s="2" t="s">
        <v>54</v>
      </c>
      <c r="F3166" s="1">
        <v>6.0</v>
      </c>
      <c r="G3166" s="3" t="s">
        <v>4446</v>
      </c>
    </row>
    <row r="3167">
      <c r="A3167" s="3" t="s">
        <v>8817</v>
      </c>
      <c r="B3167" s="4" t="str">
        <f>IFERROR(__xludf.DUMMYFUNCTION("GOOGLETRANSLATE(A3167, ""en"", ""te"")"),"లక్ష్మి వేరుశెనగ నూనె")</f>
        <v>లక్ష్మి వేరుశెనగ నూనె</v>
      </c>
      <c r="C3167" s="4" t="str">
        <f>IFERROR(__xludf.DUMMYFUNCTION("GOOGLETRANSLATE(A3167, ""en"", ""hi"")"),"लक्ष्मी मूंगफली का तेल")</f>
        <v>लक्ष्मी मूंगफली का तेल</v>
      </c>
      <c r="D3167" s="2" t="s">
        <v>8818</v>
      </c>
      <c r="E3167" s="2" t="s">
        <v>54</v>
      </c>
      <c r="F3167" s="1">
        <v>6.0</v>
      </c>
      <c r="G3167" s="3" t="s">
        <v>4446</v>
      </c>
    </row>
    <row r="3168">
      <c r="A3168" s="3" t="s">
        <v>8855</v>
      </c>
      <c r="B3168" s="4" t="str">
        <f>IFERROR(__xludf.DUMMYFUNCTION("GOOGLETRANSLATE(A3168, ""en"", ""te"")"),"777 వేరుశెనగ నూనె")</f>
        <v>777 వేరుశెనగ నూనె</v>
      </c>
      <c r="C3168" s="4" t="str">
        <f>IFERROR(__xludf.DUMMYFUNCTION("GOOGLETRANSLATE(A3168, ""en"", ""hi"")"),"777 मूंगफली का तेल")</f>
        <v>777 मूंगफली का तेल</v>
      </c>
      <c r="D3168" s="2" t="s">
        <v>8841</v>
      </c>
      <c r="E3168" s="2" t="s">
        <v>54</v>
      </c>
      <c r="F3168" s="1">
        <v>6.0</v>
      </c>
      <c r="G3168" s="3" t="s">
        <v>4446</v>
      </c>
    </row>
    <row r="3169">
      <c r="A3169" s="3" t="s">
        <v>8856</v>
      </c>
      <c r="B3169" s="4" t="str">
        <f>IFERROR(__xludf.DUMMYFUNCTION("GOOGLETRANSLATE(A3169, ""en"", ""te"")"),"బ్రియో సన్‌ఫ్లవర్ ఆయిల్")</f>
        <v>బ్రియో సన్‌ఫ్లవర్ ఆయిల్</v>
      </c>
      <c r="C3169" s="4" t="str">
        <f>IFERROR(__xludf.DUMMYFUNCTION("GOOGLETRANSLATE(A3169, ""en"", ""hi"")"),"ब्रियो सूरजमुखी तेल")</f>
        <v>ब्रियो सूरजमुखी तेल</v>
      </c>
      <c r="D3169" s="2" t="s">
        <v>62</v>
      </c>
      <c r="E3169" s="2" t="s">
        <v>54</v>
      </c>
      <c r="F3169" s="1">
        <v>6.0</v>
      </c>
      <c r="G3169" s="3" t="s">
        <v>329</v>
      </c>
    </row>
    <row r="3170">
      <c r="A3170" s="3" t="s">
        <v>8857</v>
      </c>
      <c r="B3170" s="4" t="str">
        <f>IFERROR(__xludf.DUMMYFUNCTION("GOOGLETRANSLATE(A3170, ""en"", ""te"")"),"స్వాద్ హై ఒలిక్ పొద్దుతిరుగుడు నూనె")</f>
        <v>స్వాద్ హై ఒలిక్ పొద్దుతిరుగుడు నూనె</v>
      </c>
      <c r="C3170" s="4" t="str">
        <f>IFERROR(__xludf.DUMMYFUNCTION("GOOGLETRANSLATE(A3170, ""en"", ""hi"")"),"स्वाद हाई ओलिक सूरजमुखी तेल")</f>
        <v>स्वाद हाई ओलिक सूरजमुखी तेल</v>
      </c>
      <c r="D3170" s="2" t="s">
        <v>62</v>
      </c>
      <c r="E3170" s="2" t="s">
        <v>54</v>
      </c>
      <c r="F3170" s="1">
        <v>6.0</v>
      </c>
      <c r="G3170" s="3" t="s">
        <v>329</v>
      </c>
    </row>
    <row r="3171">
      <c r="A3171" s="3" t="s">
        <v>8858</v>
      </c>
      <c r="B3171" s="4" t="str">
        <f>IFERROR(__xludf.DUMMYFUNCTION("GOOGLETRANSLATE(A3171, ""en"", ""te"")"),"సఫోలా గోల్డ్ ఆయిల్")</f>
        <v>సఫోలా గోల్డ్ ఆయిల్</v>
      </c>
      <c r="C3171" s="4" t="str">
        <f>IFERROR(__xludf.DUMMYFUNCTION("GOOGLETRANSLATE(A3171, ""en"", ""hi"")"),"सैफोला गोल्ड ऑयल")</f>
        <v>सैफोला गोल्ड ऑयल</v>
      </c>
      <c r="D3171" s="2" t="s">
        <v>62</v>
      </c>
      <c r="E3171" s="2" t="s">
        <v>54</v>
      </c>
      <c r="F3171" s="1">
        <v>6.0</v>
      </c>
      <c r="G3171" s="3" t="s">
        <v>350</v>
      </c>
    </row>
    <row r="3172">
      <c r="A3172" s="3" t="s">
        <v>8859</v>
      </c>
      <c r="B3172" s="4" t="str">
        <f>IFERROR(__xludf.DUMMYFUNCTION("GOOGLETRANSLATE(A3172, ""en"", ""te"")"),"స్వాద్ వెజిటబుల్ ఆయిల్")</f>
        <v>స్వాద్ వెజిటబుల్ ఆయిల్</v>
      </c>
      <c r="C3172" s="4" t="str">
        <f>IFERROR(__xludf.DUMMYFUNCTION("GOOGLETRANSLATE(A3172, ""en"", ""hi"")"),"स्वाद वनस्पति तेल")</f>
        <v>स्वाद वनस्पति तेल</v>
      </c>
      <c r="D3172" s="5"/>
      <c r="E3172" s="2" t="s">
        <v>54</v>
      </c>
      <c r="F3172" s="1">
        <v>6.0</v>
      </c>
      <c r="G3172" s="3" t="s">
        <v>350</v>
      </c>
    </row>
    <row r="3173">
      <c r="A3173" s="3" t="s">
        <v>8860</v>
      </c>
      <c r="B3173" s="4" t="str">
        <f>IFERROR(__xludf.DUMMYFUNCTION("GOOGLETRANSLATE(A3173, ""en"", ""te"")"),"అజాక్స్ డిష్ సోప్")</f>
        <v>అజాక్స్ డిష్ సోప్</v>
      </c>
      <c r="C3173" s="4" t="str">
        <f>IFERROR(__xludf.DUMMYFUNCTION("GOOGLETRANSLATE(A3173, ""en"", ""hi"")"),"एजैक्स डिश सोप")</f>
        <v>एजैक्स डिश सोप</v>
      </c>
      <c r="D3173" s="5"/>
      <c r="E3173" s="2" t="s">
        <v>43</v>
      </c>
      <c r="F3173" s="1">
        <v>6.0</v>
      </c>
      <c r="G3173" s="3" t="s">
        <v>492</v>
      </c>
    </row>
    <row r="3174">
      <c r="A3174" s="3" t="s">
        <v>8861</v>
      </c>
      <c r="B3174" s="4" t="str">
        <f>IFERROR(__xludf.DUMMYFUNCTION("GOOGLETRANSLATE(A3174, ""en"", ""te"")"),"పాల్మోలివ్ డిష్ సోప్")</f>
        <v>పాల్మోలివ్ డిష్ సోప్</v>
      </c>
      <c r="C3174" s="4" t="str">
        <f>IFERROR(__xludf.DUMMYFUNCTION("GOOGLETRANSLATE(A3174, ""en"", ""hi"")"),"पामोलिव डिश सोप")</f>
        <v>पामोलिव डिश सोप</v>
      </c>
      <c r="D3174" s="5"/>
      <c r="E3174" s="2" t="s">
        <v>43</v>
      </c>
      <c r="F3174" s="1">
        <v>6.0</v>
      </c>
      <c r="G3174" s="3" t="s">
        <v>492</v>
      </c>
    </row>
    <row r="3175">
      <c r="A3175" s="3" t="s">
        <v>8862</v>
      </c>
      <c r="B3175" s="4" t="str">
        <f>IFERROR(__xludf.DUMMYFUNCTION("GOOGLETRANSLATE(A3175, ""en"", ""te"")"),"గుడ్‌సెన్స్ ఫ్లాప్-టైస్ ట్రాష్ బ్యాగ్‌లు")</f>
        <v>గుడ్‌సెన్స్ ఫ్లాప్-టైస్ ట్రాష్ బ్యాగ్‌లు</v>
      </c>
      <c r="C3175" s="4" t="str">
        <f>IFERROR(__xludf.DUMMYFUNCTION("GOOGLETRANSLATE(A3175, ""en"", ""hi"")"),"गुडसेंस फ्लैप-टाई ट्रैश बैग")</f>
        <v>गुडसेंस फ्लैप-टाई ट्रैश बैग</v>
      </c>
      <c r="D3175" s="5"/>
      <c r="E3175" s="2" t="s">
        <v>43</v>
      </c>
      <c r="F3175" s="1">
        <v>6.0</v>
      </c>
      <c r="G3175" s="3" t="s">
        <v>497</v>
      </c>
    </row>
    <row r="3176">
      <c r="A3176" s="3" t="s">
        <v>8863</v>
      </c>
      <c r="B3176" s="4" t="str">
        <f>IFERROR(__xludf.DUMMYFUNCTION("GOOGLETRANSLATE(A3176, ""en"", ""te"")"),"ఇటల్‌ఎక్స్‌ప్రెస్ కాఫీ మేకర్")</f>
        <v>ఇటల్‌ఎక్స్‌ప్రెస్ కాఫీ మేకర్</v>
      </c>
      <c r="C3176" s="4" t="str">
        <f>IFERROR(__xludf.DUMMYFUNCTION("GOOGLETRANSLATE(A3176, ""en"", ""hi"")"),"इटैलएक्सप्रेस कॉफी मेकर")</f>
        <v>इटैलएक्सप्रेस कॉफी मेकर</v>
      </c>
      <c r="D3176" s="2" t="s">
        <v>8864</v>
      </c>
      <c r="E3176" s="2" t="s">
        <v>3927</v>
      </c>
      <c r="F3176" s="1">
        <v>6.0</v>
      </c>
      <c r="G3176" s="3" t="s">
        <v>497</v>
      </c>
    </row>
    <row r="3177">
      <c r="A3177" s="3" t="s">
        <v>8865</v>
      </c>
      <c r="B3177" s="4" t="str">
        <f>IFERROR(__xludf.DUMMYFUNCTION("GOOGLETRANSLATE(A3177, ""en"", ""te"")"),"ఫేమర్ గ్లాస్‌వేర్")</f>
        <v>ఫేమర్ గ్లాస్‌వేర్</v>
      </c>
      <c r="C3177" s="4" t="str">
        <f>IFERROR(__xludf.DUMMYFUNCTION("GOOGLETRANSLATE(A3177, ""en"", ""hi"")"),"किसान कांच के बर्तन")</f>
        <v>किसान कांच के बर्तन</v>
      </c>
      <c r="D3177" s="5"/>
      <c r="E3177" s="2" t="s">
        <v>327</v>
      </c>
      <c r="F3177" s="1">
        <v>6.0</v>
      </c>
      <c r="G3177" s="3" t="s">
        <v>497</v>
      </c>
    </row>
    <row r="3178">
      <c r="A3178" s="3" t="s">
        <v>8866</v>
      </c>
      <c r="B3178" s="4" t="str">
        <f>IFERROR(__xludf.DUMMYFUNCTION("GOOGLETRANSLATE(A3178, ""en"", ""te"")"),"మిల్టన్ థర్మోస్టీల్")</f>
        <v>మిల్టన్ థర్మోస్టీల్</v>
      </c>
      <c r="C3178" s="4" t="str">
        <f>IFERROR(__xludf.DUMMYFUNCTION("GOOGLETRANSLATE(A3178, ""en"", ""hi"")"),"मिल्टन थर्मोस्टील")</f>
        <v>मिल्टन थर्मोस्टील</v>
      </c>
      <c r="D3178" s="5"/>
      <c r="E3178" s="2" t="s">
        <v>48</v>
      </c>
      <c r="F3178" s="1">
        <v>6.0</v>
      </c>
      <c r="G3178" s="3" t="s">
        <v>508</v>
      </c>
    </row>
    <row r="3179">
      <c r="A3179" s="3" t="s">
        <v>8867</v>
      </c>
      <c r="B3179" s="4" t="str">
        <f>IFERROR(__xludf.DUMMYFUNCTION("GOOGLETRANSLATE(A3179, ""en"", ""te"")"),"మార్వెల్ స్టెయిన్‌లెస్ స్టీల్ బాటిల్")</f>
        <v>మార్వెల్ స్టెయిన్‌లెస్ స్టీల్ బాటిల్</v>
      </c>
      <c r="C3179" s="4" t="str">
        <f>IFERROR(__xludf.DUMMYFUNCTION("GOOGLETRANSLATE(A3179, ""en"", ""hi"")"),"मार्वल स्टेनलेस स्टील की बोतल")</f>
        <v>मार्वल स्टेनलेस स्टील की बोतल</v>
      </c>
      <c r="D3179" s="5"/>
      <c r="E3179" s="2" t="s">
        <v>1330</v>
      </c>
      <c r="F3179" s="1">
        <v>6.0</v>
      </c>
      <c r="G3179" s="3" t="s">
        <v>508</v>
      </c>
    </row>
    <row r="3180">
      <c r="A3180" s="3" t="s">
        <v>8868</v>
      </c>
      <c r="B3180" s="4" t="str">
        <f>IFERROR(__xludf.DUMMYFUNCTION("GOOGLETRANSLATE(A3180, ""en"", ""te"")"),"అపెక్స్ మల్టీ స్లైసర్")</f>
        <v>అపెక్స్ మల్టీ స్లైసర్</v>
      </c>
      <c r="C3180" s="4" t="str">
        <f>IFERROR(__xludf.DUMMYFUNCTION("GOOGLETRANSLATE(A3180, ""en"", ""hi"")"),"एपेक्स मल्टी स्लाइसर")</f>
        <v>एपेक्स मल्टी स्लाइसर</v>
      </c>
      <c r="D3180" s="5"/>
      <c r="E3180" s="2" t="s">
        <v>327</v>
      </c>
      <c r="F3180" s="1">
        <v>6.0</v>
      </c>
      <c r="G3180" s="3" t="s">
        <v>508</v>
      </c>
    </row>
    <row r="3181">
      <c r="A3181" s="3" t="s">
        <v>8869</v>
      </c>
      <c r="B3181" s="4" t="str">
        <f>IFERROR(__xludf.DUMMYFUNCTION("GOOGLETRANSLATE(A3181, ""en"", ""te"")"),"జస్ట్ ఆర్గానిక్ మూంగ్ స్ప్లిట్")</f>
        <v>జస్ట్ ఆర్గానిక్ మూంగ్ స్ప్లిట్</v>
      </c>
      <c r="C3181" s="4" t="str">
        <f>IFERROR(__xludf.DUMMYFUNCTION("GOOGLETRANSLATE(A3181, ""en"", ""hi"")"),"जस्ट ऑर्गेनिक मूंग स्प्लिट")</f>
        <v>जस्ट ऑर्गेनिक मूंग स्प्लिट</v>
      </c>
      <c r="D3181" s="5"/>
      <c r="E3181" s="2" t="s">
        <v>1038</v>
      </c>
      <c r="F3181" s="1">
        <v>6.0</v>
      </c>
      <c r="G3181" s="3" t="s">
        <v>508</v>
      </c>
    </row>
    <row r="3182">
      <c r="A3182" s="3" t="s">
        <v>8865</v>
      </c>
      <c r="B3182" s="4" t="str">
        <f>IFERROR(__xludf.DUMMYFUNCTION("GOOGLETRANSLATE(A3182, ""en"", ""te"")"),"ఫేమర్ గ్లాస్‌వేర్")</f>
        <v>ఫేమర్ గ్లాస్‌వేర్</v>
      </c>
      <c r="C3182" s="4" t="str">
        <f>IFERROR(__xludf.DUMMYFUNCTION("GOOGLETRANSLATE(A3182, ""en"", ""hi"")"),"किसान कांच के बर्तन")</f>
        <v>किसान कांच के बर्तन</v>
      </c>
      <c r="D3182" s="5"/>
      <c r="E3182" s="2" t="s">
        <v>327</v>
      </c>
      <c r="F3182" s="1">
        <v>6.0</v>
      </c>
      <c r="G3182" s="3" t="s">
        <v>508</v>
      </c>
    </row>
    <row r="3183">
      <c r="A3183" s="3" t="s">
        <v>8870</v>
      </c>
      <c r="B3183" s="4" t="str">
        <f>IFERROR(__xludf.DUMMYFUNCTION("GOOGLETRANSLATE(A3183, ""en"", ""te"")"),"నాణ్యమైన నెయ్యి కుండ")</f>
        <v>నాణ్యమైన నెయ్యి కుండ</v>
      </c>
      <c r="C3183" s="4" t="str">
        <f>IFERROR(__xludf.DUMMYFUNCTION("GOOGLETRANSLATE(A3183, ""en"", ""hi"")"),"उच्च गुणवत्ता वाला घी का बर्तन")</f>
        <v>उच्च गुणवत्ता वाला घी का बर्तन</v>
      </c>
      <c r="D3183" s="2" t="s">
        <v>8871</v>
      </c>
      <c r="E3183" s="2" t="s">
        <v>54</v>
      </c>
      <c r="F3183" s="1">
        <v>6.0</v>
      </c>
      <c r="G3183" s="3" t="s">
        <v>418</v>
      </c>
    </row>
    <row r="3184">
      <c r="A3184" s="3" t="s">
        <v>8872</v>
      </c>
      <c r="B3184" s="4" t="str">
        <f>IFERROR(__xludf.DUMMYFUNCTION("GOOGLETRANSLATE(A3184, ""en"", ""te"")"),"కేతన్ నెయ్యి కుండ")</f>
        <v>కేతన్ నెయ్యి కుండ</v>
      </c>
      <c r="C3184" s="4" t="str">
        <f>IFERROR(__xludf.DUMMYFUNCTION("GOOGLETRANSLATE(A3184, ""en"", ""hi"")"),"केतन घी पॉट")</f>
        <v>केतन घी पॉट</v>
      </c>
      <c r="D3184" s="2" t="s">
        <v>8871</v>
      </c>
      <c r="E3184" s="2" t="s">
        <v>54</v>
      </c>
      <c r="F3184" s="1">
        <v>6.0</v>
      </c>
      <c r="G3184" s="3" t="s">
        <v>418</v>
      </c>
    </row>
    <row r="3185">
      <c r="A3185" s="3" t="s">
        <v>8873</v>
      </c>
      <c r="B3185" s="4" t="str">
        <f>IFERROR(__xludf.DUMMYFUNCTION("GOOGLETRANSLATE(A3185, ""en"", ""te"")"),"సూపర్ షైన్ స్టెయిన్‌లెస్ స్టీల్ నెయ్యి కుండ")</f>
        <v>సూపర్ షైన్ స్టెయిన్‌లెస్ స్టీల్ నెయ్యి కుండ</v>
      </c>
      <c r="C3185" s="4" t="str">
        <f>IFERROR(__xludf.DUMMYFUNCTION("GOOGLETRANSLATE(A3185, ""en"", ""hi"")"),"सुपर शाइन स्टेनलेस स्टील घी का बर्तन")</f>
        <v>सुपर शाइन स्टेनलेस स्टील घी का बर्तन</v>
      </c>
      <c r="D3185" s="5"/>
      <c r="E3185" s="2" t="s">
        <v>327</v>
      </c>
      <c r="F3185" s="1">
        <v>6.0</v>
      </c>
      <c r="G3185" s="3" t="s">
        <v>418</v>
      </c>
    </row>
    <row r="3186">
      <c r="A3186" s="3" t="s">
        <v>8874</v>
      </c>
      <c r="B3186" s="4" t="str">
        <f>IFERROR(__xludf.DUMMYFUNCTION("GOOGLETRANSLATE(A3186, ""en"", ""te"")"),"నోబుల్ పౌడర్-ఫ్రీ వినైల్ గ్లోవ్స్")</f>
        <v>నోబుల్ పౌడర్-ఫ్రీ వినైల్ గ్లోవ్స్</v>
      </c>
      <c r="C3186" s="4" t="str">
        <f>IFERROR(__xludf.DUMMYFUNCTION("GOOGLETRANSLATE(A3186, ""en"", ""hi"")"),"नोबल पाउडर-फ्री विनाइल ग्लव्स")</f>
        <v>नोबल पाउडर-फ्री विनाइल ग्लव्स</v>
      </c>
      <c r="D3186" s="5"/>
      <c r="E3186" s="2" t="s">
        <v>43</v>
      </c>
      <c r="F3186" s="1">
        <v>6.0</v>
      </c>
      <c r="G3186" s="3" t="s">
        <v>418</v>
      </c>
    </row>
    <row r="3187">
      <c r="A3187" s="3" t="s">
        <v>8875</v>
      </c>
      <c r="B3187" s="4" t="str">
        <f>IFERROR(__xludf.DUMMYFUNCTION("GOOGLETRANSLATE(A3187, ""en"", ""te"")"),"జయ ఇతర ఉత్పత్తులు")</f>
        <v>జయ ఇతర ఉత్పత్తులు</v>
      </c>
      <c r="C3187" s="4" t="str">
        <f>IFERROR(__xludf.DUMMYFUNCTION("GOOGLETRANSLATE(A3187, ""en"", ""hi"")"),"जय अन्य उत्पाद")</f>
        <v>जय अन्य उत्पाद</v>
      </c>
      <c r="D3187" s="5"/>
      <c r="E3187" s="2" t="s">
        <v>2279</v>
      </c>
      <c r="F3187" s="1">
        <v>6.0</v>
      </c>
      <c r="G3187" s="3" t="s">
        <v>418</v>
      </c>
    </row>
    <row r="3188">
      <c r="A3188" s="3" t="s">
        <v>8876</v>
      </c>
      <c r="B3188" s="4" t="str">
        <f>IFERROR(__xludf.DUMMYFUNCTION("GOOGLETRANSLATE(A3188, ""en"", ""te"")"),"స్టెయిన్‌లెస్ స్టీల్ కంటైనర్")</f>
        <v>స్టెయిన్‌లెస్ స్టీల్ కంటైనర్</v>
      </c>
      <c r="C3188" s="4" t="str">
        <f>IFERROR(__xludf.DUMMYFUNCTION("GOOGLETRANSLATE(A3188, ""en"", ""hi"")"),"स्टेनलेस स्टील कंटेनर")</f>
        <v>स्टेनलेस स्टील कंटेनर</v>
      </c>
      <c r="D3188" s="5"/>
      <c r="E3188" s="2" t="s">
        <v>327</v>
      </c>
      <c r="F3188" s="1">
        <v>6.0</v>
      </c>
      <c r="G3188" s="3" t="s">
        <v>437</v>
      </c>
    </row>
    <row r="3189">
      <c r="A3189" s="3" t="s">
        <v>8877</v>
      </c>
      <c r="B3189" s="4" t="str">
        <f>IFERROR(__xludf.DUMMYFUNCTION("GOOGLETRANSLATE(A3189, ""en"", ""te"")"),"మూతతో కూడిన అల్యూమినియం కుండ")</f>
        <v>మూతతో కూడిన అల్యూమినియం కుండ</v>
      </c>
      <c r="C3189" s="4" t="str">
        <f>IFERROR(__xludf.DUMMYFUNCTION("GOOGLETRANSLATE(A3189, ""en"", ""hi"")"),"ढक्कन सहित एल्युमिनियम का बर्तन")</f>
        <v>ढक्कन सहित एल्युमिनियम का बर्तन</v>
      </c>
      <c r="D3189" s="5"/>
      <c r="E3189" s="2" t="s">
        <v>327</v>
      </c>
      <c r="F3189" s="1">
        <v>6.0</v>
      </c>
      <c r="G3189" s="3" t="s">
        <v>437</v>
      </c>
    </row>
    <row r="3190">
      <c r="A3190" s="3" t="s">
        <v>8878</v>
      </c>
      <c r="B3190" s="4" t="str">
        <f>IFERROR(__xludf.DUMMYFUNCTION("GOOGLETRANSLATE(A3190, ""en"", ""te"")"),"లోహపు టర్కిష్ కాఫీ కుండ")</f>
        <v>లోహపు టర్కిష్ కాఫీ కుండ</v>
      </c>
      <c r="C3190" s="4" t="str">
        <f>IFERROR(__xludf.DUMMYFUNCTION("GOOGLETRANSLATE(A3190, ""en"", ""hi"")"),"धातु का तुर्की कॉफी पॉट")</f>
        <v>धातु का तुर्की कॉफी पॉट</v>
      </c>
      <c r="D3190" s="2" t="s">
        <v>8864</v>
      </c>
      <c r="E3190" s="2" t="s">
        <v>3927</v>
      </c>
      <c r="F3190" s="1">
        <v>6.0</v>
      </c>
      <c r="G3190" s="3" t="s">
        <v>437</v>
      </c>
    </row>
    <row r="3191">
      <c r="A3191" s="3" t="s">
        <v>8879</v>
      </c>
      <c r="B3191" s="4" t="str">
        <f>IFERROR(__xludf.DUMMYFUNCTION("GOOGLETRANSLATE(A3191, ""en"", ""te"")"),"స్టెయిన్‌లెస్ స్టీల్ గొబ్లెట్లు")</f>
        <v>స్టెయిన్‌లెస్ స్టీల్ గొబ్లెట్లు</v>
      </c>
      <c r="C3191" s="4" t="str">
        <f>IFERROR(__xludf.DUMMYFUNCTION("GOOGLETRANSLATE(A3191, ""en"", ""hi"")"),"स्टेनलेस स्टील के गिलास")</f>
        <v>स्टेनलेस स्टील के गिलास</v>
      </c>
      <c r="D3191" s="5"/>
      <c r="E3191" s="2" t="s">
        <v>3927</v>
      </c>
      <c r="F3191" s="1">
        <v>6.0</v>
      </c>
      <c r="G3191" s="3" t="s">
        <v>446</v>
      </c>
    </row>
    <row r="3192">
      <c r="A3192" s="3" t="s">
        <v>8880</v>
      </c>
      <c r="B3192" s="4" t="str">
        <f>IFERROR(__xludf.DUMMYFUNCTION("GOOGLETRANSLATE(A3192, ""en"", ""te"")"),"స్టెయిన్‌లెస్ స్టీల్ కాఫీ ఫిల్టర్")</f>
        <v>స్టెయిన్‌లెస్ స్టీల్ కాఫీ ఫిల్టర్</v>
      </c>
      <c r="C3192" s="4" t="str">
        <f>IFERROR(__xludf.DUMMYFUNCTION("GOOGLETRANSLATE(A3192, ""en"", ""hi"")"),"स्टेनलेस स्टील कॉफी फिल्टर")</f>
        <v>स्टेनलेस स्टील कॉफी फिल्टर</v>
      </c>
      <c r="D3192" s="2" t="s">
        <v>8864</v>
      </c>
      <c r="E3192" s="2" t="s">
        <v>3927</v>
      </c>
      <c r="F3192" s="1">
        <v>6.0</v>
      </c>
      <c r="G3192" s="3" t="s">
        <v>446</v>
      </c>
    </row>
    <row r="3193">
      <c r="A3193" s="3" t="s">
        <v>8881</v>
      </c>
      <c r="B3193" s="4" t="str">
        <f>IFERROR(__xludf.DUMMYFUNCTION("GOOGLETRANSLATE(A3193, ""en"", ""te"")"),"సూపర్ షైన్ స్టెయిన్‌లెస్ స్టీల్ గ్లాస్ సెట్")</f>
        <v>సూపర్ షైన్ స్టెయిన్‌లెస్ స్టీల్ గ్లాస్ సెట్</v>
      </c>
      <c r="C3193" s="4" t="str">
        <f>IFERROR(__xludf.DUMMYFUNCTION("GOOGLETRANSLATE(A3193, ""en"", ""hi"")"),"सुपर शाइन स्टेनलेस स्टील ग्लास सेट")</f>
        <v>सुपर शाइन स्टेनलेस स्टील ग्लास सेट</v>
      </c>
      <c r="D3193" s="5"/>
      <c r="E3193" s="2" t="s">
        <v>327</v>
      </c>
      <c r="F3193" s="1">
        <v>6.0</v>
      </c>
      <c r="G3193" s="3" t="s">
        <v>446</v>
      </c>
    </row>
    <row r="3194">
      <c r="A3194" s="3" t="s">
        <v>8882</v>
      </c>
      <c r="B3194" s="4" t="str">
        <f>IFERROR(__xludf.DUMMYFUNCTION("GOOGLETRANSLATE(A3194, ""en"", ""te"")"),"స్టెయిన్‌లెస్ స్టీల్ ఫుడ్ క్యాన్స్టర్లు")</f>
        <v>స్టెయిన్‌లెస్ స్టీల్ ఫుడ్ క్యాన్స్టర్లు</v>
      </c>
      <c r="C3194" s="4" t="str">
        <f>IFERROR(__xludf.DUMMYFUNCTION("GOOGLETRANSLATE(A3194, ""en"", ""hi"")"),"स्टेनलेस स्टील के खाद्य डिब्बे")</f>
        <v>स्टेनलेस स्टील के खाद्य डिब्बे</v>
      </c>
      <c r="D3194" s="5"/>
      <c r="E3194" s="2" t="s">
        <v>43</v>
      </c>
      <c r="F3194" s="1">
        <v>6.0</v>
      </c>
      <c r="G3194" s="3" t="s">
        <v>446</v>
      </c>
    </row>
    <row r="3195">
      <c r="A3195" s="3" t="s">
        <v>8883</v>
      </c>
      <c r="B3195" s="4" t="str">
        <f>IFERROR(__xludf.DUMMYFUNCTION("GOOGLETRANSLATE(A3195, ""en"", ""te"")"),"అజాక్స్ డిష్‌వాషింగ్ లిక్విడ్")</f>
        <v>అజాక్స్ డిష్‌వాషింగ్ లిక్విడ్</v>
      </c>
      <c r="C3195" s="4" t="str">
        <f>IFERROR(__xludf.DUMMYFUNCTION("GOOGLETRANSLATE(A3195, ""en"", ""hi"")"),"एजैक्स डिशवॉशिंग लिक्विड")</f>
        <v>एजैक्स डिशवॉशिंग लिक्विड</v>
      </c>
      <c r="D3195" s="5"/>
      <c r="E3195" s="2" t="s">
        <v>43</v>
      </c>
      <c r="F3195" s="1">
        <v>6.0</v>
      </c>
      <c r="G3195" s="3" t="s">
        <v>446</v>
      </c>
    </row>
    <row r="3196">
      <c r="A3196" s="3" t="s">
        <v>8884</v>
      </c>
      <c r="B3196" s="4" t="str">
        <f>IFERROR(__xludf.DUMMYFUNCTION("GOOGLETRANSLATE(A3196, ""en"", ""te"")"),"పాల్మోలివ్ డిష్‌వాషింగ్ లిక్విడ్")</f>
        <v>పాల్మోలివ్ డిష్‌వాషింగ్ లిక్విడ్</v>
      </c>
      <c r="C3196" s="4" t="str">
        <f>IFERROR(__xludf.DUMMYFUNCTION("GOOGLETRANSLATE(A3196, ""en"", ""hi"")"),"पालमोलिव डिशवॉशिंग लिक्विड")</f>
        <v>पालमोलिव डिशवॉशिंग लिक्विड</v>
      </c>
      <c r="D3196" s="5"/>
      <c r="E3196" s="2" t="s">
        <v>43</v>
      </c>
      <c r="F3196" s="1">
        <v>6.0</v>
      </c>
      <c r="G3196" s="3" t="s">
        <v>446</v>
      </c>
    </row>
    <row r="3197">
      <c r="A3197" s="3" t="s">
        <v>8885</v>
      </c>
      <c r="B3197" s="4" t="str">
        <f>IFERROR(__xludf.DUMMYFUNCTION("GOOGLETRANSLATE(A3197, ""en"", ""te"")"),"ఫేమర్ స్టెయిన్‌లెస్ స్టీల్ గ్లాస్")</f>
        <v>ఫేమర్ స్టెయిన్‌లెస్ స్టీల్ గ్లాస్</v>
      </c>
      <c r="C3197" s="4" t="str">
        <f>IFERROR(__xludf.DUMMYFUNCTION("GOOGLETRANSLATE(A3197, ""en"", ""hi"")"),"किसान स्टेनलेस स्टील ग्लास")</f>
        <v>किसान स्टेनलेस स्टील ग्लास</v>
      </c>
      <c r="D3197" s="5"/>
      <c r="E3197" s="2" t="s">
        <v>327</v>
      </c>
      <c r="F3197" s="1">
        <v>6.0</v>
      </c>
      <c r="G3197" s="3" t="s">
        <v>518</v>
      </c>
    </row>
    <row r="3198">
      <c r="A3198" s="3" t="s">
        <v>8886</v>
      </c>
      <c r="B3198" s="4" t="str">
        <f>IFERROR(__xludf.DUMMYFUNCTION("GOOGLETRANSLATE(A3198, ""en"", ""te"")"),"సూపర్ షైన్ స్టెయిన్‌లెస్ స్టీల్ ఇడ్లీ కుక్కర్")</f>
        <v>సూపర్ షైన్ స్టెయిన్‌లెస్ స్టీల్ ఇడ్లీ కుక్కర్</v>
      </c>
      <c r="C3198" s="4" t="str">
        <f>IFERROR(__xludf.DUMMYFUNCTION("GOOGLETRANSLATE(A3198, ""en"", ""hi"")"),"सुपर शाइन स्टेनलेस स्टील इडली कुकर")</f>
        <v>सुपर शाइन स्टेनलेस स्टील इडली कुकर</v>
      </c>
      <c r="D3198" s="5"/>
      <c r="E3198" s="2" t="s">
        <v>327</v>
      </c>
      <c r="F3198" s="1">
        <v>6.0</v>
      </c>
      <c r="G3198" s="3" t="s">
        <v>518</v>
      </c>
    </row>
    <row r="3199">
      <c r="A3199" s="3" t="s">
        <v>8887</v>
      </c>
      <c r="B3199" s="4" t="str">
        <f>IFERROR(__xludf.DUMMYFUNCTION("GOOGLETRANSLATE(A3199, ""en"", ""te"")"),"కుసినార్ట్ శాండ్‌విచ్ గ్రిల్")</f>
        <v>కుసినార్ట్ శాండ్‌విచ్ గ్రిల్</v>
      </c>
      <c r="C3199" s="4" t="str">
        <f>IFERROR(__xludf.DUMMYFUNCTION("GOOGLETRANSLATE(A3199, ""en"", ""hi"")"),"कुइसिनार्ट सैंडविच ग्रिल")</f>
        <v>कुइसिनार्ट सैंडविच ग्रिल</v>
      </c>
      <c r="D3199" s="5"/>
      <c r="E3199" s="2" t="s">
        <v>327</v>
      </c>
      <c r="F3199" s="1">
        <v>6.0</v>
      </c>
      <c r="G3199" s="3" t="s">
        <v>518</v>
      </c>
    </row>
    <row r="3200">
      <c r="A3200" s="3" t="s">
        <v>8888</v>
      </c>
      <c r="B3200" s="4" t="str">
        <f>IFERROR(__xludf.DUMMYFUNCTION("GOOGLETRANSLATE(A3200, ""en"", ""te"")"),"ఫ్రెష్‌రైట్ శాండ్‌విచ్ బ్యాగ్")</f>
        <v>ఫ్రెష్‌రైట్ శాండ్‌విచ్ బ్యాగ్</v>
      </c>
      <c r="C3200" s="4" t="str">
        <f>IFERROR(__xludf.DUMMYFUNCTION("GOOGLETRANSLATE(A3200, ""en"", ""hi"")"),"फ्रेशराइट सैंडविच बैग")</f>
        <v>फ्रेशराइट सैंडविच बैग</v>
      </c>
      <c r="D3200" s="5"/>
      <c r="E3200" s="2" t="s">
        <v>43</v>
      </c>
      <c r="F3200" s="1">
        <v>6.0</v>
      </c>
      <c r="G3200" s="3" t="s">
        <v>530</v>
      </c>
    </row>
    <row r="3201">
      <c r="A3201" s="3" t="s">
        <v>8889</v>
      </c>
      <c r="B3201" s="4" t="str">
        <f>IFERROR(__xludf.DUMMYFUNCTION("GOOGLETRANSLATE(A3201, ""en"", ""te"")"),"రేనాల్డ్స్ ర్యాప్")</f>
        <v>రేనాల్డ్స్ ర్యాప్</v>
      </c>
      <c r="C3201" s="4" t="str">
        <f>IFERROR(__xludf.DUMMYFUNCTION("GOOGLETRANSLATE(A3201, ""en"", ""hi"")"),"रेनॉल्ड्स रैप")</f>
        <v>रेनॉल्ड्स रैप</v>
      </c>
      <c r="D3201" s="5"/>
      <c r="E3201" s="2" t="s">
        <v>43</v>
      </c>
      <c r="F3201" s="1">
        <v>6.0</v>
      </c>
      <c r="G3201" s="3" t="s">
        <v>530</v>
      </c>
    </row>
    <row r="3202">
      <c r="A3202" s="3" t="s">
        <v>8890</v>
      </c>
      <c r="B3202" s="4" t="str">
        <f>IFERROR(__xludf.DUMMYFUNCTION("GOOGLETRANSLATE(A3202, ""en"", ""te"")"),"ష్యూర్-టఫ్ ట్రాష్ బ్యాగ్స్")</f>
        <v>ష్యూర్-టఫ్ ట్రాష్ బ్యాగ్స్</v>
      </c>
      <c r="C3202" s="4" t="str">
        <f>IFERROR(__xludf.DUMMYFUNCTION("GOOGLETRANSLATE(A3202, ""en"", ""hi"")"),"श्योर-टफ कचरा बैग")</f>
        <v>श्योर-टफ कचरा बैग</v>
      </c>
      <c r="D3202" s="5"/>
      <c r="E3202" s="2" t="s">
        <v>43</v>
      </c>
      <c r="F3202" s="1">
        <v>6.0</v>
      </c>
      <c r="G3202" s="3" t="s">
        <v>530</v>
      </c>
    </row>
    <row r="3203">
      <c r="A3203" s="3" t="s">
        <v>8891</v>
      </c>
      <c r="B3203" s="4" t="str">
        <f>IFERROR(__xludf.DUMMYFUNCTION("GOOGLETRANSLATE(A3203, ""en"", ""te"")"),"గుడ్'న్ టఫ్ టాల్ కిచెన్ బ్యాగ్స్")</f>
        <v>గుడ్'న్ టఫ్ టాల్ కిచెన్ బ్యాగ్స్</v>
      </c>
      <c r="C3203" s="4" t="str">
        <f>IFERROR(__xludf.DUMMYFUNCTION("GOOGLETRANSLATE(A3203, ""en"", ""hi"")"),"गुड'एन टफ टॉल किचन बैग")</f>
        <v>गुड'एन टफ टॉल किचन बैग</v>
      </c>
      <c r="D3203" s="5"/>
      <c r="E3203" s="2" t="s">
        <v>43</v>
      </c>
      <c r="F3203" s="1">
        <v>6.0</v>
      </c>
      <c r="G3203" s="3" t="s">
        <v>530</v>
      </c>
    </row>
    <row r="3204">
      <c r="A3204" s="3" t="s">
        <v>8892</v>
      </c>
      <c r="B3204" s="4" t="str">
        <f>IFERROR(__xludf.DUMMYFUNCTION("GOOGLETRANSLATE(A3204, ""en"", ""te"")"),"కిచెన్స్ డిజైర్ కుక్‌వేర్")</f>
        <v>కిచెన్స్ డిజైర్ కుక్‌వేర్</v>
      </c>
      <c r="C3204" s="4" t="str">
        <f>IFERROR(__xludf.DUMMYFUNCTION("GOOGLETRANSLATE(A3204, ""en"", ""hi"")"),"किचन डिज़ायर कुकवेयर")</f>
        <v>किचन डिज़ायर कुकवेयर</v>
      </c>
      <c r="D3204" s="5"/>
      <c r="E3204" s="2" t="s">
        <v>327</v>
      </c>
      <c r="F3204" s="1">
        <v>6.0</v>
      </c>
      <c r="G3204" s="3" t="s">
        <v>453</v>
      </c>
    </row>
    <row r="3205">
      <c r="A3205" s="3" t="s">
        <v>8893</v>
      </c>
      <c r="B3205" s="4" t="str">
        <f>IFERROR(__xludf.DUMMYFUNCTION("GOOGLETRANSLATE(A3205, ""en"", ""te"")"),"రోలింగ్ పిన్‌తో సూపర్ షైన్ వుడ్ చక్లా బేలన్")</f>
        <v>రోలింగ్ పిన్‌తో సూపర్ షైన్ వుడ్ చక్లా బేలన్</v>
      </c>
      <c r="C3205" s="4" t="str">
        <f>IFERROR(__xludf.DUMMYFUNCTION("GOOGLETRANSLATE(A3205, ""en"", ""hi"")"),"रोलिंग पिन के साथ सुपर शाइन वुड चकला बेलन")</f>
        <v>रोलिंग पिन के साथ सुपर शाइन वुड चकला बेलन</v>
      </c>
      <c r="D3205" s="5"/>
      <c r="E3205" s="2" t="s">
        <v>327</v>
      </c>
      <c r="F3205" s="1">
        <v>6.0</v>
      </c>
      <c r="G3205" s="3" t="s">
        <v>453</v>
      </c>
    </row>
    <row r="3206">
      <c r="A3206" s="3" t="s">
        <v>8894</v>
      </c>
      <c r="B3206" s="4" t="str">
        <f>IFERROR(__xludf.DUMMYFUNCTION("GOOGLETRANSLATE(A3206, ""en"", ""te"")"),"సూపర్ షైన్ దోస తవా")</f>
        <v>సూపర్ షైన్ దోస తవా</v>
      </c>
      <c r="C3206" s="4" t="str">
        <f>IFERROR(__xludf.DUMMYFUNCTION("GOOGLETRANSLATE(A3206, ""en"", ""hi"")"),"सुपर शाइन डोसा तवा")</f>
        <v>सुपर शाइन डोसा तवा</v>
      </c>
      <c r="D3206" s="5"/>
      <c r="E3206" s="2" t="s">
        <v>327</v>
      </c>
      <c r="F3206" s="1">
        <v>6.0</v>
      </c>
      <c r="G3206" s="3" t="s">
        <v>71</v>
      </c>
    </row>
    <row r="3207">
      <c r="A3207" s="3" t="s">
        <v>8895</v>
      </c>
      <c r="B3207" s="4" t="str">
        <f>IFERROR(__xludf.DUMMYFUNCTION("GOOGLETRANSLATE(A3207, ""en"", ""te"")"),"సూపర్ షైన్ రోస్టర్ స్క్వేర్")</f>
        <v>సూపర్ షైన్ రోస్టర్ స్క్వేర్</v>
      </c>
      <c r="C3207" s="4" t="str">
        <f>IFERROR(__xludf.DUMMYFUNCTION("GOOGLETRANSLATE(A3207, ""en"", ""hi"")"),"सुपर शाइन रोस्टर स्क्वायर")</f>
        <v>सुपर शाइन रोस्टर स्क्वायर</v>
      </c>
      <c r="D3207" s="5"/>
      <c r="E3207" s="2" t="s">
        <v>327</v>
      </c>
      <c r="F3207" s="1">
        <v>6.0</v>
      </c>
      <c r="G3207" s="3" t="s">
        <v>71</v>
      </c>
    </row>
    <row r="3208">
      <c r="A3208" s="3" t="s">
        <v>8896</v>
      </c>
      <c r="B3208" s="4" t="str">
        <f>IFERROR(__xludf.DUMMYFUNCTION("GOOGLETRANSLATE(A3208, ""en"", ""te"")"),"ఆదర్శ్ స్టెయిన్‌లెస్ స్టీల్ ఉత్పత్తి")</f>
        <v>ఆదర్శ్ స్టెయిన్‌లెస్ స్టీల్ ఉత్పత్తి</v>
      </c>
      <c r="C3208" s="4" t="str">
        <f>IFERROR(__xludf.DUMMYFUNCTION("GOOGLETRANSLATE(A3208, ""en"", ""hi"")"),"आदर्श स्टेनलेस स्टील उत्पाद")</f>
        <v>आदर्श स्टेनलेस स्टील उत्पाद</v>
      </c>
      <c r="D3208" s="2" t="s">
        <v>326</v>
      </c>
      <c r="E3208" s="2" t="s">
        <v>327</v>
      </c>
      <c r="F3208" s="1">
        <v>6.0</v>
      </c>
      <c r="G3208" s="3" t="s">
        <v>71</v>
      </c>
    </row>
    <row r="3209">
      <c r="A3209" s="3" t="s">
        <v>8897</v>
      </c>
      <c r="B3209" s="4" t="str">
        <f>IFERROR(__xludf.DUMMYFUNCTION("GOOGLETRANSLATE(A3209, ""en"", ""te"")"),"రేనా కిచెన్ యుటిలిటీ సెట్")</f>
        <v>రేనా కిచెన్ యుటిలిటీ సెట్</v>
      </c>
      <c r="C3209" s="4" t="str">
        <f>IFERROR(__xludf.DUMMYFUNCTION("GOOGLETRANSLATE(A3209, ""en"", ""hi"")"),"रेना किचन यूटिलिटी सेट")</f>
        <v>रेना किचन यूटिलिटी सेट</v>
      </c>
      <c r="D3209" s="5"/>
      <c r="E3209" s="2" t="s">
        <v>327</v>
      </c>
      <c r="F3209" s="1">
        <v>6.0</v>
      </c>
      <c r="G3209" s="3" t="s">
        <v>71</v>
      </c>
    </row>
    <row r="3210">
      <c r="A3210" s="3" t="s">
        <v>8898</v>
      </c>
      <c r="B3210" s="4" t="str">
        <f>IFERROR(__xludf.DUMMYFUNCTION("GOOGLETRANSLATE(A3210, ""en"", ""te"")"),"వంటగది లైటర్")</f>
        <v>వంటగది లైటర్</v>
      </c>
      <c r="C3210" s="4" t="str">
        <f>IFERROR(__xludf.DUMMYFUNCTION("GOOGLETRANSLATE(A3210, ""en"", ""hi"")"),"किचन लाइटर")</f>
        <v>किचन लाइटर</v>
      </c>
      <c r="D3210" s="5"/>
      <c r="E3210" s="2" t="s">
        <v>43</v>
      </c>
      <c r="F3210" s="1">
        <v>6.0</v>
      </c>
      <c r="G3210" s="3" t="s">
        <v>71</v>
      </c>
    </row>
    <row r="3211">
      <c r="A3211" s="3" t="s">
        <v>8899</v>
      </c>
      <c r="B3211" s="4" t="str">
        <f>IFERROR(__xludf.DUMMYFUNCTION("GOOGLETRANSLATE(A3211, ""en"", ""te"")"),"అంజలి ఉత్తప్ప తవ డైమండ్ దురా")</f>
        <v>అంజలి ఉత్తప్ప తవ డైమండ్ దురా</v>
      </c>
      <c r="C3211" s="4" t="str">
        <f>IFERROR(__xludf.DUMMYFUNCTION("GOOGLETRANSLATE(A3211, ""en"", ""hi"")"),"अंजलि उत्तप्पा तवा डायमंड ड्यूरा")</f>
        <v>अंजलि उत्तप्पा तवा डायमंड ड्यूरा</v>
      </c>
      <c r="D3211" s="5"/>
      <c r="E3211" s="2" t="s">
        <v>327</v>
      </c>
      <c r="F3211" s="1">
        <v>6.0</v>
      </c>
      <c r="G3211" s="3" t="s">
        <v>71</v>
      </c>
    </row>
    <row r="3212">
      <c r="A3212" s="3" t="s">
        <v>8900</v>
      </c>
      <c r="B3212" s="4" t="str">
        <f>IFERROR(__xludf.DUMMYFUNCTION("GOOGLETRANSLATE(A3212, ""en"", ""te"")"),"తాజా శాండ్‌విచ్ బ్యాగ్‌లు")</f>
        <v>తాజా శాండ్‌విచ్ బ్యాగ్‌లు</v>
      </c>
      <c r="C3212" s="4" t="str">
        <f>IFERROR(__xludf.DUMMYFUNCTION("GOOGLETRANSLATE(A3212, ""en"", ""hi"")"),"ताज़ा सैंडविच बैग")</f>
        <v>ताज़ा सैंडविच बैग</v>
      </c>
      <c r="D3212" s="5"/>
      <c r="E3212" s="2" t="s">
        <v>43</v>
      </c>
      <c r="F3212" s="1">
        <v>6.0</v>
      </c>
      <c r="G3212" s="3" t="s">
        <v>71</v>
      </c>
    </row>
    <row r="3213">
      <c r="A3213" s="3" t="s">
        <v>8901</v>
      </c>
      <c r="B3213" s="4" t="str">
        <f>IFERROR(__xludf.DUMMYFUNCTION("GOOGLETRANSLATE(A3213, ""en"", ""te"")"),"లా బెల్లా ఉత్పత్తి")</f>
        <v>లా బెల్లా ఉత్పత్తి</v>
      </c>
      <c r="C3213" s="4" t="str">
        <f>IFERROR(__xludf.DUMMYFUNCTION("GOOGLETRANSLATE(A3213, ""en"", ""hi"")"),"ला बेला उत्पाद")</f>
        <v>ला बेला उत्पाद</v>
      </c>
      <c r="D3213" s="5"/>
      <c r="E3213" s="2" t="s">
        <v>48</v>
      </c>
      <c r="F3213" s="1">
        <v>6.0</v>
      </c>
      <c r="G3213" s="3" t="s">
        <v>76</v>
      </c>
    </row>
    <row r="3214">
      <c r="A3214" s="3" t="s">
        <v>8902</v>
      </c>
      <c r="B3214" s="4" t="str">
        <f>IFERROR(__xludf.DUMMYFUNCTION("GOOGLETRANSLATE(A3214, ""en"", ""te"")"),"సూర్య గ్యాస్ టోస్టర్")</f>
        <v>సూర్య గ్యాస్ టోస్టర్</v>
      </c>
      <c r="C3214" s="4" t="str">
        <f>IFERROR(__xludf.DUMMYFUNCTION("GOOGLETRANSLATE(A3214, ""en"", ""hi"")"),"सूर्या गैस टोस्टर")</f>
        <v>सूर्या गैस टोस्टर</v>
      </c>
      <c r="D3214" s="5"/>
      <c r="E3214" s="2" t="s">
        <v>327</v>
      </c>
      <c r="F3214" s="1">
        <v>6.0</v>
      </c>
      <c r="G3214" s="3" t="s">
        <v>76</v>
      </c>
    </row>
    <row r="3215">
      <c r="A3215" s="3" t="s">
        <v>8903</v>
      </c>
      <c r="B3215" s="4" t="str">
        <f>IFERROR(__xludf.DUMMYFUNCTION("GOOGLETRANSLATE(A3215, ""en"", ""te"")"),"వినోద్ బ్లాక్ పెర్ల్ తడ్కా పాన్")</f>
        <v>వినోద్ బ్లాక్ పెర్ల్ తడ్కా పాన్</v>
      </c>
      <c r="C3215" s="4" t="str">
        <f>IFERROR(__xludf.DUMMYFUNCTION("GOOGLETRANSLATE(A3215, ""en"", ""hi"")"),"विनोद ब्लैक पर्ल तड़का पैन")</f>
        <v>विनोद ब्लैक पर्ल तड़का पैन</v>
      </c>
      <c r="D3215" s="5"/>
      <c r="E3215" s="2" t="s">
        <v>327</v>
      </c>
      <c r="F3215" s="1">
        <v>6.0</v>
      </c>
      <c r="G3215" s="3" t="s">
        <v>76</v>
      </c>
    </row>
    <row r="3216">
      <c r="A3216" s="3" t="s">
        <v>8904</v>
      </c>
      <c r="B3216" s="4" t="str">
        <f>IFERROR(__xludf.DUMMYFUNCTION("GOOGLETRANSLATE(A3216, ""en"", ""te"")"),"గుడ్డు బాయిలర్")</f>
        <v>గుడ్డు బాయిలర్</v>
      </c>
      <c r="C3216" s="4" t="str">
        <f>IFERROR(__xludf.DUMMYFUNCTION("GOOGLETRANSLATE(A3216, ""en"", ""hi"")"),"अंडा उबालने वाला")</f>
        <v>अंडा उबालने वाला</v>
      </c>
      <c r="D3216" s="5"/>
      <c r="E3216" s="2" t="s">
        <v>327</v>
      </c>
      <c r="F3216" s="1">
        <v>6.0</v>
      </c>
      <c r="G3216" s="3" t="s">
        <v>76</v>
      </c>
    </row>
    <row r="3217">
      <c r="A3217" s="3" t="s">
        <v>8905</v>
      </c>
      <c r="B3217" s="4" t="str">
        <f>IFERROR(__xludf.DUMMYFUNCTION("GOOGLETRANSLATE(A3217, ""en"", ""te"")"),"కాలికో ప్రెస్")</f>
        <v>కాలికో ప్రెస్</v>
      </c>
      <c r="C3217" s="4" t="str">
        <f>IFERROR(__xludf.DUMMYFUNCTION("GOOGLETRANSLATE(A3217, ""en"", ""hi"")"),"कैलिको प्रेस")</f>
        <v>कैलिको प्रेस</v>
      </c>
      <c r="D3217" s="5"/>
      <c r="E3217" s="2" t="s">
        <v>327</v>
      </c>
      <c r="F3217" s="1">
        <v>6.0</v>
      </c>
      <c r="G3217" s="3" t="s">
        <v>76</v>
      </c>
    </row>
    <row r="3218">
      <c r="A3218" s="3" t="s">
        <v>8906</v>
      </c>
      <c r="B3218" s="4" t="str">
        <f>IFERROR(__xludf.DUMMYFUNCTION("GOOGLETRANSLATE(A3218, ""en"", ""te"")"),"సూపర్ షైన్ నాన్ స్టిక్ తవా 11 అంగుళాలు")</f>
        <v>సూపర్ షైన్ నాన్ స్టిక్ తవా 11 అంగుళాలు</v>
      </c>
      <c r="C3218" s="4" t="str">
        <f>IFERROR(__xludf.DUMMYFUNCTION("GOOGLETRANSLATE(A3218, ""en"", ""hi"")"),"सुपर शाइन नॉन स्टिक तवा 11 इंच")</f>
        <v>सुपर शाइन नॉन स्टिक तवा 11 इंच</v>
      </c>
      <c r="D3218" s="5"/>
      <c r="E3218" s="2" t="s">
        <v>327</v>
      </c>
      <c r="F3218" s="1">
        <v>6.0</v>
      </c>
      <c r="G3218" s="3" t="s">
        <v>71</v>
      </c>
    </row>
    <row r="3219">
      <c r="A3219" s="3" t="s">
        <v>8907</v>
      </c>
      <c r="B3219" s="4" t="str">
        <f>IFERROR(__xludf.DUMMYFUNCTION("GOOGLETRANSLATE(A3219, ""en"", ""te"")"),"సూపర్ షైన్ ఫ్లాట్ తవా 12 అంగుళాలు")</f>
        <v>సూపర్ షైన్ ఫ్లాట్ తవా 12 అంగుళాలు</v>
      </c>
      <c r="C3219" s="4" t="str">
        <f>IFERROR(__xludf.DUMMYFUNCTION("GOOGLETRANSLATE(A3219, ""en"", ""hi"")"),"सुपर शाइन फ्लैट तवा 12 इंच")</f>
        <v>सुपर शाइन फ्लैट तवा 12 इंच</v>
      </c>
      <c r="D3219" s="5"/>
      <c r="E3219" s="2" t="s">
        <v>327</v>
      </c>
      <c r="F3219" s="1">
        <v>6.0</v>
      </c>
      <c r="G3219" s="3" t="s">
        <v>71</v>
      </c>
    </row>
    <row r="3220">
      <c r="A3220" s="3" t="s">
        <v>8908</v>
      </c>
      <c r="B3220" s="4" t="str">
        <f>IFERROR(__xludf.DUMMYFUNCTION("GOOGLETRANSLATE(A3220, ""en"", ""te"")"),"సూపర్ షైన్ తవా 11 అంగుళాలు")</f>
        <v>సూపర్ షైన్ తవా 11 అంగుళాలు</v>
      </c>
      <c r="C3220" s="4" t="str">
        <f>IFERROR(__xludf.DUMMYFUNCTION("GOOGLETRANSLATE(A3220, ""en"", ""hi"")"),"सुपर शाइन तावा 11 इंच")</f>
        <v>सुपर शाइन तावा 11 इंच</v>
      </c>
      <c r="D3220" s="2" t="s">
        <v>4942</v>
      </c>
      <c r="E3220" s="2" t="s">
        <v>327</v>
      </c>
      <c r="F3220" s="1">
        <v>6.0</v>
      </c>
      <c r="G3220" s="3" t="s">
        <v>71</v>
      </c>
    </row>
    <row r="3221">
      <c r="A3221" s="3" t="s">
        <v>8909</v>
      </c>
      <c r="B3221" s="4" t="str">
        <f>IFERROR(__xludf.DUMMYFUNCTION("GOOGLETRANSLATE(A3221, ""en"", ""te"")"),"సూపర్ షైన్ దోస తవా 11 అంగుళాలు")</f>
        <v>సూపర్ షైన్ దోస తవా 11 అంగుళాలు</v>
      </c>
      <c r="C3221" s="4" t="str">
        <f>IFERROR(__xludf.DUMMYFUNCTION("GOOGLETRANSLATE(A3221, ""en"", ""hi"")"),"सुपर शाइन डोसा तवा 11 इंच")</f>
        <v>सुपर शाइन डोसा तवा 11 इंच</v>
      </c>
      <c r="D3221" s="2" t="s">
        <v>8429</v>
      </c>
      <c r="E3221" s="2" t="s">
        <v>327</v>
      </c>
      <c r="F3221" s="1">
        <v>6.0</v>
      </c>
      <c r="G3221" s="3" t="s">
        <v>71</v>
      </c>
    </row>
    <row r="3222">
      <c r="A3222" s="3" t="s">
        <v>8910</v>
      </c>
      <c r="B3222" s="4" t="str">
        <f>IFERROR(__xludf.DUMMYFUNCTION("GOOGLETRANSLATE(A3222, ""en"", ""te"")"),"సూపర్ షైన్ ఫ్లాట్ తవా 10.5 అంగుళాలు")</f>
        <v>సూపర్ షైన్ ఫ్లాట్ తవా 10.5 అంగుళాలు</v>
      </c>
      <c r="C3222" s="4" t="str">
        <f>IFERROR(__xludf.DUMMYFUNCTION("GOOGLETRANSLATE(A3222, ""en"", ""hi"")"),"सुपर शाइन फ्लैट तवा 10.5 इंच")</f>
        <v>सुपर शाइन फ्लैट तवा 10.5 इंच</v>
      </c>
      <c r="D3222" s="5"/>
      <c r="E3222" s="2" t="s">
        <v>327</v>
      </c>
      <c r="F3222" s="1">
        <v>6.0</v>
      </c>
      <c r="G3222" s="3" t="s">
        <v>76</v>
      </c>
    </row>
    <row r="3223">
      <c r="A3223" s="3" t="s">
        <v>8908</v>
      </c>
      <c r="B3223" s="4" t="str">
        <f>IFERROR(__xludf.DUMMYFUNCTION("GOOGLETRANSLATE(A3223, ""en"", ""te"")"),"సూపర్ షైన్ తవా 11 అంగుళాలు")</f>
        <v>సూపర్ షైన్ తవా 11 అంగుళాలు</v>
      </c>
      <c r="C3223" s="4" t="str">
        <f>IFERROR(__xludf.DUMMYFUNCTION("GOOGLETRANSLATE(A3223, ""en"", ""hi"")"),"सुपर शाइन तावा 11 इंच")</f>
        <v>सुपर शाइन तावा 11 इंच</v>
      </c>
      <c r="D3223" s="2" t="s">
        <v>4942</v>
      </c>
      <c r="E3223" s="2" t="s">
        <v>327</v>
      </c>
      <c r="F3223" s="1">
        <v>6.0</v>
      </c>
      <c r="G3223" s="3" t="s">
        <v>76</v>
      </c>
    </row>
    <row r="3224">
      <c r="A3224" s="3" t="s">
        <v>8911</v>
      </c>
      <c r="B3224" s="4" t="str">
        <f>IFERROR(__xludf.DUMMYFUNCTION("GOOGLETRANSLATE(A3224, ""en"", ""te"")"),"సూపర్ షైన్ నాన్ స్టిక్ కుక్‌వేర్ 8.7 అంగుళాలు")</f>
        <v>సూపర్ షైన్ నాన్ స్టిక్ కుక్‌వేర్ 8.7 అంగుళాలు</v>
      </c>
      <c r="C3224" s="4" t="str">
        <f>IFERROR(__xludf.DUMMYFUNCTION("GOOGLETRANSLATE(A3224, ""en"", ""hi"")"),"सुपर शाइन नॉन स्टिक कुकवेयर 8.7 इंच")</f>
        <v>सुपर शाइन नॉन स्टिक कुकवेयर 8.7 इंच</v>
      </c>
      <c r="D3224" s="2" t="s">
        <v>4942</v>
      </c>
      <c r="E3224" s="2" t="s">
        <v>327</v>
      </c>
      <c r="F3224" s="1">
        <v>6.0</v>
      </c>
      <c r="G3224" s="3" t="s">
        <v>76</v>
      </c>
    </row>
    <row r="3225">
      <c r="A3225" s="3" t="s">
        <v>8912</v>
      </c>
      <c r="B3225" s="4" t="str">
        <f>IFERROR(__xludf.DUMMYFUNCTION("GOOGLETRANSLATE(A3225, ""en"", ""te"")"),"సూపర్ షైన్ తవా 13 అంగుళాలు")</f>
        <v>సూపర్ షైన్ తవా 13 అంగుళాలు</v>
      </c>
      <c r="C3225" s="4" t="str">
        <f>IFERROR(__xludf.DUMMYFUNCTION("GOOGLETRANSLATE(A3225, ""en"", ""hi"")"),"सुपर शाइन तावा 13 इंच")</f>
        <v>सुपर शाइन तावा 13 इंच</v>
      </c>
      <c r="D3225" s="2" t="s">
        <v>4942</v>
      </c>
      <c r="E3225" s="2" t="s">
        <v>327</v>
      </c>
      <c r="F3225" s="1">
        <v>6.0</v>
      </c>
      <c r="G3225" s="3" t="s">
        <v>76</v>
      </c>
    </row>
    <row r="3226">
      <c r="A3226" s="3" t="s">
        <v>8913</v>
      </c>
      <c r="B3226" s="4" t="str">
        <f>IFERROR(__xludf.DUMMYFUNCTION("GOOGLETRANSLATE(A3226, ""en"", ""te"")"),"సూపర్ షైన్ జింక్ 16 అంగుళాల బార్బెక్యూ స్కేవర్లు")</f>
        <v>సూపర్ షైన్ జింక్ 16 అంగుళాల బార్బెక్యూ స్కేవర్లు</v>
      </c>
      <c r="C3226" s="4" t="str">
        <f>IFERROR(__xludf.DUMMYFUNCTION("GOOGLETRANSLATE(A3226, ""en"", ""hi"")"),"सुपर शाइन ज़िंक 16 इंच बारबेक्यू सीखें")</f>
        <v>सुपर शाइन ज़िंक 16 इंच बारबेक्यू सीखें</v>
      </c>
      <c r="D3226" s="5"/>
      <c r="E3226" s="2" t="s">
        <v>8914</v>
      </c>
      <c r="F3226" s="1">
        <v>6.0</v>
      </c>
      <c r="G3226" s="3" t="s">
        <v>76</v>
      </c>
    </row>
    <row r="3227">
      <c r="A3227" s="3" t="s">
        <v>8915</v>
      </c>
      <c r="B3227" s="4" t="str">
        <f>IFERROR(__xludf.DUMMYFUNCTION("GOOGLETRANSLATE(A3227, ""en"", ""te"")"),"సుమీత్ నాన్ స్టిక్ ఫ్లాట్ తవా")</f>
        <v>సుమీత్ నాన్ స్టిక్ ఫ్లాట్ తవా</v>
      </c>
      <c r="C3227" s="4" t="str">
        <f>IFERROR(__xludf.DUMMYFUNCTION("GOOGLETRANSLATE(A3227, ""en"", ""hi"")"),"सुमीत नॉन स्टिक फ्लैट तवा")</f>
        <v>सुमीत नॉन स्टिक फ्लैट तवा</v>
      </c>
      <c r="D3227" s="5"/>
      <c r="E3227" s="2" t="s">
        <v>327</v>
      </c>
      <c r="F3227" s="1">
        <v>6.0</v>
      </c>
      <c r="G3227" s="3" t="s">
        <v>85</v>
      </c>
    </row>
    <row r="3228">
      <c r="A3228" s="3" t="s">
        <v>8903</v>
      </c>
      <c r="B3228" s="4" t="str">
        <f>IFERROR(__xludf.DUMMYFUNCTION("GOOGLETRANSLATE(A3228, ""en"", ""te"")"),"వినోద్ బ్లాక్ పెర్ల్ తడ్కా పాన్")</f>
        <v>వినోద్ బ్లాక్ పెర్ల్ తడ్కా పాన్</v>
      </c>
      <c r="C3228" s="4" t="str">
        <f>IFERROR(__xludf.DUMMYFUNCTION("GOOGLETRANSLATE(A3228, ""en"", ""hi"")"),"विनोद ब्लैक पर्ल तड़का पैन")</f>
        <v>विनोद ब्लैक पर्ल तड़का पैन</v>
      </c>
      <c r="D3228" s="5"/>
      <c r="E3228" s="2" t="s">
        <v>327</v>
      </c>
      <c r="F3228" s="1">
        <v>6.0</v>
      </c>
      <c r="G3228" s="3" t="s">
        <v>114</v>
      </c>
    </row>
    <row r="3229">
      <c r="A3229" s="3" t="s">
        <v>3062</v>
      </c>
      <c r="B3229" s="4" t="str">
        <f>IFERROR(__xludf.DUMMYFUNCTION("GOOGLETRANSLATE(A3229, ""en"", ""te"")"),"ప్రసిద్ధ బీటర్")</f>
        <v>ప్రసిద్ధ బీటర్</v>
      </c>
      <c r="C3229" s="4" t="str">
        <f>IFERROR(__xludf.DUMMYFUNCTION("GOOGLETRANSLATE(A3229, ""en"", ""hi"")"),"प्रसिद्ध बीटर")</f>
        <v>प्रसिद्ध बीटर</v>
      </c>
      <c r="D3229" s="2" t="s">
        <v>8916</v>
      </c>
      <c r="E3229" s="2" t="s">
        <v>4100</v>
      </c>
      <c r="F3229" s="1">
        <v>6.0</v>
      </c>
      <c r="G3229" s="3" t="s">
        <v>114</v>
      </c>
    </row>
    <row r="3230">
      <c r="A3230" s="3" t="s">
        <v>8917</v>
      </c>
      <c r="B3230" s="4" t="str">
        <f>IFERROR(__xludf.DUMMYFUNCTION("GOOGLETRANSLATE(A3230, ""en"", ""te"")"),"లా బెల్లా")</f>
        <v>లా బెల్లా</v>
      </c>
      <c r="C3230" s="4" t="str">
        <f>IFERROR(__xludf.DUMMYFUNCTION("GOOGLETRANSLATE(A3230, ""en"", ""hi"")"),"ला बेला")</f>
        <v>ला बेला</v>
      </c>
      <c r="D3230" s="5"/>
      <c r="E3230" s="2" t="s">
        <v>48</v>
      </c>
      <c r="F3230" s="1">
        <v>6.0</v>
      </c>
      <c r="G3230" s="3" t="s">
        <v>114</v>
      </c>
    </row>
    <row r="3231">
      <c r="A3231" s="3" t="s">
        <v>8918</v>
      </c>
      <c r="B3231" s="4" t="str">
        <f>IFERROR(__xludf.DUMMYFUNCTION("GOOGLETRANSLATE(A3231, ""en"", ""te"")"),"ఉత్తప్ప తవ")</f>
        <v>ఉత్తప్ప తవ</v>
      </c>
      <c r="C3231" s="4" t="str">
        <f>IFERROR(__xludf.DUMMYFUNCTION("GOOGLETRANSLATE(A3231, ""en"", ""hi"")"),"उत्तप्पा तवा")</f>
        <v>उत्तप्पा तवा</v>
      </c>
      <c r="D3231" s="2" t="s">
        <v>8429</v>
      </c>
      <c r="E3231" s="2" t="s">
        <v>2649</v>
      </c>
      <c r="F3231" s="1">
        <v>6.0</v>
      </c>
      <c r="G3231" s="3" t="s">
        <v>10</v>
      </c>
    </row>
    <row r="3232">
      <c r="A3232" s="3" t="s">
        <v>8919</v>
      </c>
      <c r="B3232" s="4" t="str">
        <f>IFERROR(__xludf.DUMMYFUNCTION("GOOGLETRANSLATE(A3232, ""en"", ""te"")"),"సూపర్ షైన్ గరిటె")</f>
        <v>సూపర్ షైన్ గరిటె</v>
      </c>
      <c r="C3232" s="4" t="str">
        <f>IFERROR(__xludf.DUMMYFUNCTION("GOOGLETRANSLATE(A3232, ""en"", ""hi"")"),"सुपर शाइन लैडल")</f>
        <v>सुपर शाइन लैडल</v>
      </c>
      <c r="D3232" s="5"/>
      <c r="E3232" s="2" t="s">
        <v>327</v>
      </c>
      <c r="F3232" s="1">
        <v>6.0</v>
      </c>
      <c r="G3232" s="3" t="s">
        <v>490</v>
      </c>
    </row>
    <row r="3233">
      <c r="A3233" s="3" t="s">
        <v>8920</v>
      </c>
      <c r="B3233" s="4" t="str">
        <f>IFERROR(__xludf.DUMMYFUNCTION("GOOGLETRANSLATE(A3233, ""en"", ""te"")"),"సూపర్ షైన్ స్కిమ్మర్")</f>
        <v>సూపర్ షైన్ స్కిమ్మర్</v>
      </c>
      <c r="C3233" s="4" t="str">
        <f>IFERROR(__xludf.DUMMYFUNCTION("GOOGLETRANSLATE(A3233, ""en"", ""hi"")"),"सुपर शाइन स्किमर")</f>
        <v>सुपर शाइन स्किमर</v>
      </c>
      <c r="D3233" s="5"/>
      <c r="E3233" s="2" t="s">
        <v>327</v>
      </c>
      <c r="F3233" s="1">
        <v>6.0</v>
      </c>
      <c r="G3233" s="3" t="s">
        <v>490</v>
      </c>
    </row>
    <row r="3234">
      <c r="A3234" s="3" t="s">
        <v>8921</v>
      </c>
      <c r="B3234" s="4" t="str">
        <f>IFERROR(__xludf.DUMMYFUNCTION("GOOGLETRANSLATE(A3234, ""en"", ""te"")"),"సూపర్ షైన్ స్పూన్")</f>
        <v>సూపర్ షైన్ స్పూన్</v>
      </c>
      <c r="C3234" s="4" t="str">
        <f>IFERROR(__xludf.DUMMYFUNCTION("GOOGLETRANSLATE(A3234, ""en"", ""hi"")"),"सुपर शाइन स्पून")</f>
        <v>सुपर शाइन स्पून</v>
      </c>
      <c r="D3234" s="5"/>
      <c r="E3234" s="2" t="s">
        <v>327</v>
      </c>
      <c r="F3234" s="1">
        <v>6.0</v>
      </c>
      <c r="G3234" s="3" t="s">
        <v>490</v>
      </c>
    </row>
    <row r="3235">
      <c r="A3235" s="3" t="s">
        <v>8922</v>
      </c>
      <c r="B3235" s="4" t="str">
        <f>IFERROR(__xludf.DUMMYFUNCTION("GOOGLETRANSLATE(A3235, ""en"", ""te"")"),"సూపర్ షైన్ స్పటూలా")</f>
        <v>సూపర్ షైన్ స్పటూలా</v>
      </c>
      <c r="C3235" s="4" t="str">
        <f>IFERROR(__xludf.DUMMYFUNCTION("GOOGLETRANSLATE(A3235, ""en"", ""hi"")"),"सुपर शाइन स्पैटुला")</f>
        <v>सुपर शाइन स्पैटुला</v>
      </c>
      <c r="D3235" s="5"/>
      <c r="E3235" s="2" t="s">
        <v>327</v>
      </c>
      <c r="F3235" s="1">
        <v>6.0</v>
      </c>
      <c r="G3235" s="3" t="s">
        <v>490</v>
      </c>
    </row>
    <row r="3236">
      <c r="A3236" s="3" t="s">
        <v>8923</v>
      </c>
      <c r="B3236" s="4" t="str">
        <f>IFERROR(__xludf.DUMMYFUNCTION("GOOGLETRANSLATE(A3236, ""en"", ""te"")"),"సూపర్ షైన్ టాంగ్")</f>
        <v>సూపర్ షైన్ టాంగ్</v>
      </c>
      <c r="C3236" s="4" t="str">
        <f>IFERROR(__xludf.DUMMYFUNCTION("GOOGLETRANSLATE(A3236, ""en"", ""hi"")"),"सुपर शाइन टोंग")</f>
        <v>सुपर शाइन टोंग</v>
      </c>
      <c r="D3236" s="5"/>
      <c r="E3236" s="2" t="s">
        <v>327</v>
      </c>
      <c r="F3236" s="1">
        <v>6.0</v>
      </c>
      <c r="G3236" s="3" t="s">
        <v>490</v>
      </c>
    </row>
    <row r="3237">
      <c r="A3237" s="3" t="s">
        <v>8924</v>
      </c>
      <c r="B3237" s="4" t="str">
        <f>IFERROR(__xludf.DUMMYFUNCTION("GOOGLETRANSLATE(A3237, ""en"", ""te"")"),"సూపర్ షైన్ సర్వింగ్ స్పూన్")</f>
        <v>సూపర్ షైన్ సర్వింగ్ స్పూన్</v>
      </c>
      <c r="C3237" s="4" t="str">
        <f>IFERROR(__xludf.DUMMYFUNCTION("GOOGLETRANSLATE(A3237, ""en"", ""hi"")"),"सुपर शाइन सर्विंग स्पून")</f>
        <v>सुपर शाइन सर्विंग स्पून</v>
      </c>
      <c r="D3237" s="5"/>
      <c r="E3237" s="2" t="s">
        <v>327</v>
      </c>
      <c r="F3237" s="1">
        <v>6.0</v>
      </c>
      <c r="G3237" s="3" t="s">
        <v>490</v>
      </c>
    </row>
    <row r="3238">
      <c r="A3238" s="3" t="s">
        <v>8925</v>
      </c>
      <c r="B3238" s="4" t="str">
        <f>IFERROR(__xludf.DUMMYFUNCTION("GOOGLETRANSLATE(A3238, ""en"", ""te"")"),"సూపర్ షైన్ గరిటె చిన్నది")</f>
        <v>సూపర్ షైన్ గరిటె చిన్నది</v>
      </c>
      <c r="C3238" s="4" t="str">
        <f>IFERROR(__xludf.DUMMYFUNCTION("GOOGLETRANSLATE(A3238, ""en"", ""hi"")"),"सुपर शाइन लैडल छोटा")</f>
        <v>सुपर शाइन लैडल छोटा</v>
      </c>
      <c r="D3238" s="5"/>
      <c r="E3238" s="2" t="s">
        <v>327</v>
      </c>
      <c r="F3238" s="1">
        <v>6.0</v>
      </c>
      <c r="G3238" s="3" t="s">
        <v>490</v>
      </c>
    </row>
    <row r="3239">
      <c r="A3239" s="3" t="s">
        <v>8926</v>
      </c>
      <c r="B3239" s="4" t="str">
        <f>IFERROR(__xludf.DUMMYFUNCTION("GOOGLETRANSLATE(A3239, ""en"", ""te"")"),"సూపర్ షైన్ సర్వింగ్ స్పూన్ చిన్నది")</f>
        <v>సూపర్ షైన్ సర్వింగ్ స్పూన్ చిన్నది</v>
      </c>
      <c r="C3239" s="4" t="str">
        <f>IFERROR(__xludf.DUMMYFUNCTION("GOOGLETRANSLATE(A3239, ""en"", ""hi"")"),"सुपर शाइन सर्विंग स्पून (छोटा)")</f>
        <v>सुपर शाइन सर्विंग स्पून (छोटा)</v>
      </c>
      <c r="D3239" s="5"/>
      <c r="E3239" s="2" t="s">
        <v>327</v>
      </c>
      <c r="F3239" s="1">
        <v>6.0</v>
      </c>
      <c r="G3239" s="3" t="s">
        <v>490</v>
      </c>
    </row>
    <row r="3240">
      <c r="A3240" s="3" t="s">
        <v>8927</v>
      </c>
      <c r="B3240" s="4" t="str">
        <f>IFERROR(__xludf.DUMMYFUNCTION("GOOGLETRANSLATE(A3240, ""en"", ""te"")"),"సూపర్ షైన్ స్కిమ్మర్ స్మాల్")</f>
        <v>సూపర్ షైన్ స్కిమ్మర్ స్మాల్</v>
      </c>
      <c r="C3240" s="4" t="str">
        <f>IFERROR(__xludf.DUMMYFUNCTION("GOOGLETRANSLATE(A3240, ""en"", ""hi"")"),"सुपर शाइन स्किमर स्मॉल")</f>
        <v>सुपर शाइन स्किमर स्मॉल</v>
      </c>
      <c r="D3240" s="5"/>
      <c r="E3240" s="2" t="s">
        <v>327</v>
      </c>
      <c r="F3240" s="1">
        <v>6.0</v>
      </c>
      <c r="G3240" s="3" t="s">
        <v>490</v>
      </c>
    </row>
    <row r="3241">
      <c r="A3241" s="3" t="s">
        <v>8928</v>
      </c>
      <c r="B3241" s="4" t="str">
        <f>IFERROR(__xludf.DUMMYFUNCTION("GOOGLETRANSLATE(A3241, ""en"", ""te"")"),"సూపర్ షైన్ స్లాటెడ్ స్పూన్")</f>
        <v>సూపర్ షైన్ స్లాటెడ్ స్పూన్</v>
      </c>
      <c r="C3241" s="4" t="str">
        <f>IFERROR(__xludf.DUMMYFUNCTION("GOOGLETRANSLATE(A3241, ""en"", ""hi"")"),"सुपर शाइन स्लॉटेड स्पून")</f>
        <v>सुपर शाइन स्लॉटेड स्पून</v>
      </c>
      <c r="D3241" s="5"/>
      <c r="E3241" s="2" t="s">
        <v>327</v>
      </c>
      <c r="F3241" s="1">
        <v>6.0</v>
      </c>
      <c r="G3241" s="3" t="s">
        <v>490</v>
      </c>
    </row>
    <row r="3242">
      <c r="A3242" s="3" t="s">
        <v>8929</v>
      </c>
      <c r="B3242" s="4" t="str">
        <f>IFERROR(__xludf.DUMMYFUNCTION("GOOGLETRANSLATE(A3242, ""en"", ""te"")"),"సూపర్ షైన్ సర్వింగ్ ఫోర్క్")</f>
        <v>సూపర్ షైన్ సర్వింగ్ ఫోర్క్</v>
      </c>
      <c r="C3242" s="4" t="str">
        <f>IFERROR(__xludf.DUMMYFUNCTION("GOOGLETRANSLATE(A3242, ""en"", ""hi"")"),"सुपर शाइन सर्विंग फोर्क")</f>
        <v>सुपर शाइन सर्विंग फोर्क</v>
      </c>
      <c r="D3242" s="5"/>
      <c r="E3242" s="2" t="s">
        <v>327</v>
      </c>
      <c r="F3242" s="1">
        <v>6.0</v>
      </c>
      <c r="G3242" s="3" t="s">
        <v>490</v>
      </c>
    </row>
    <row r="3243">
      <c r="A3243" s="3" t="s">
        <v>8930</v>
      </c>
      <c r="B3243" s="4" t="str">
        <f>IFERROR(__xludf.DUMMYFUNCTION("GOOGLETRANSLATE(A3243, ""en"", ""te"")"),"సూపర్ షైన్ పీలర్")</f>
        <v>సూపర్ షైన్ పీలర్</v>
      </c>
      <c r="C3243" s="4" t="str">
        <f>IFERROR(__xludf.DUMMYFUNCTION("GOOGLETRANSLATE(A3243, ""en"", ""hi"")"),"सुपर शाइन पीलर")</f>
        <v>सुपर शाइन पीलर</v>
      </c>
      <c r="D3243" s="5"/>
      <c r="E3243" s="2" t="s">
        <v>327</v>
      </c>
      <c r="F3243" s="1">
        <v>6.0</v>
      </c>
      <c r="G3243" s="3" t="s">
        <v>490</v>
      </c>
    </row>
    <row r="3244">
      <c r="A3244" s="3" t="s">
        <v>6223</v>
      </c>
      <c r="B3244" s="4" t="str">
        <f>IFERROR(__xludf.DUMMYFUNCTION("GOOGLETRANSLATE(A3244, ""en"", ""te"")"),"సూపర్ షైన్ బాటిల్ ఓపెనర్")</f>
        <v>సూపర్ షైన్ బాటిల్ ఓపెనర్</v>
      </c>
      <c r="C3244" s="4" t="str">
        <f>IFERROR(__xludf.DUMMYFUNCTION("GOOGLETRANSLATE(A3244, ""en"", ""hi"")"),"सुपर शाइन बॉटल ओपनर")</f>
        <v>सुपर शाइन बॉटल ओपनर</v>
      </c>
      <c r="D3244" s="5"/>
      <c r="E3244" s="2" t="s">
        <v>327</v>
      </c>
      <c r="F3244" s="1">
        <v>6.0</v>
      </c>
      <c r="G3244" s="3" t="s">
        <v>490</v>
      </c>
    </row>
    <row r="3245">
      <c r="A3245" s="3" t="s">
        <v>8931</v>
      </c>
      <c r="B3245" s="4" t="str">
        <f>IFERROR(__xludf.DUMMYFUNCTION("GOOGLETRANSLATE(A3245, ""en"", ""te"")"),"సూపర్ షైన్ వెజిటబుల్ కట్టర్")</f>
        <v>సూపర్ షైన్ వెజిటబుల్ కట్టర్</v>
      </c>
      <c r="C3245" s="4" t="str">
        <f>IFERROR(__xludf.DUMMYFUNCTION("GOOGLETRANSLATE(A3245, ""en"", ""hi"")"),"सुपर शाइन वेजिटेबल कटर")</f>
        <v>सुपर शाइन वेजिटेबल कटर</v>
      </c>
      <c r="D3245" s="5"/>
      <c r="E3245" s="2" t="s">
        <v>327</v>
      </c>
      <c r="F3245" s="1">
        <v>6.0</v>
      </c>
      <c r="G3245" s="3" t="s">
        <v>490</v>
      </c>
    </row>
    <row r="3246">
      <c r="A3246" s="3" t="s">
        <v>8932</v>
      </c>
      <c r="B3246" s="4" t="str">
        <f>IFERROR(__xludf.DUMMYFUNCTION("GOOGLETRANSLATE(A3246, ""en"", ""te"")"),"సూపర్ షైన్ టీ స్ట్రైనర్")</f>
        <v>సూపర్ షైన్ టీ స్ట్రైనర్</v>
      </c>
      <c r="C3246" s="4" t="str">
        <f>IFERROR(__xludf.DUMMYFUNCTION("GOOGLETRANSLATE(A3246, ""en"", ""hi"")"),"सुपर शाइन चाय छलनी")</f>
        <v>सुपर शाइन चाय छलनी</v>
      </c>
      <c r="D3246" s="5"/>
      <c r="E3246" s="2" t="s">
        <v>327</v>
      </c>
      <c r="F3246" s="1">
        <v>6.0</v>
      </c>
      <c r="G3246" s="3" t="s">
        <v>490</v>
      </c>
    </row>
    <row r="3247">
      <c r="A3247" s="3" t="s">
        <v>8933</v>
      </c>
      <c r="B3247" s="4" t="str">
        <f>IFERROR(__xludf.DUMMYFUNCTION("GOOGLETRANSLATE(A3247, ""en"", ""te"")"),"సూపర్ షైన్ పొటాటో మాషర్")</f>
        <v>సూపర్ షైన్ పొటాటో మాషర్</v>
      </c>
      <c r="C3247" s="4" t="str">
        <f>IFERROR(__xludf.DUMMYFUNCTION("GOOGLETRANSLATE(A3247, ""en"", ""hi"")"),"सुपर शाइन पोटैटो मैशर")</f>
        <v>सुपर शाइन पोटैटो मैशर</v>
      </c>
      <c r="D3247" s="5"/>
      <c r="E3247" s="2" t="s">
        <v>327</v>
      </c>
      <c r="F3247" s="1">
        <v>6.0</v>
      </c>
      <c r="G3247" s="3" t="s">
        <v>490</v>
      </c>
    </row>
    <row r="3248">
      <c r="A3248" s="3" t="s">
        <v>8934</v>
      </c>
      <c r="B3248" s="4" t="str">
        <f>IFERROR(__xludf.DUMMYFUNCTION("GOOGLETRANSLATE(A3248, ""en"", ""te"")"),"సూపర్ షైన్ మీట్ మాలెట్")</f>
        <v>సూపర్ షైన్ మీట్ మాలెట్</v>
      </c>
      <c r="C3248" s="4" t="str">
        <f>IFERROR(__xludf.DUMMYFUNCTION("GOOGLETRANSLATE(A3248, ""en"", ""hi"")"),"सुपर शाइन मीट मैलेट")</f>
        <v>सुपर शाइन मीट मैलेट</v>
      </c>
      <c r="D3248" s="5"/>
      <c r="E3248" s="2" t="s">
        <v>327</v>
      </c>
      <c r="F3248" s="1">
        <v>6.0</v>
      </c>
      <c r="G3248" s="3" t="s">
        <v>490</v>
      </c>
    </row>
    <row r="3249">
      <c r="A3249" s="3" t="s">
        <v>6227</v>
      </c>
      <c r="B3249" s="4" t="str">
        <f>IFERROR(__xludf.DUMMYFUNCTION("GOOGLETRANSLATE(A3249, ""en"", ""te"")"),"సూపర్ షైన్ చెఫ్ కత్తి")</f>
        <v>సూపర్ షైన్ చెఫ్ కత్తి</v>
      </c>
      <c r="C3249" s="4" t="str">
        <f>IFERROR(__xludf.DUMMYFUNCTION("GOOGLETRANSLATE(A3249, ""en"", ""hi"")"),"सुपर शाइन शेफ नाइफ")</f>
        <v>सुपर शाइन शेफ नाइफ</v>
      </c>
      <c r="D3249" s="5"/>
      <c r="E3249" s="2" t="s">
        <v>327</v>
      </c>
      <c r="F3249" s="1">
        <v>6.0</v>
      </c>
      <c r="G3249" s="3" t="s">
        <v>490</v>
      </c>
    </row>
    <row r="3250">
      <c r="A3250" s="3" t="s">
        <v>8935</v>
      </c>
      <c r="B3250" s="4" t="str">
        <f>IFERROR(__xludf.DUMMYFUNCTION("GOOGLETRANSLATE(A3250, ""en"", ""te"")"),"స్టెయిన్‌లెస్ స్టీల్ జల్లెడ")</f>
        <v>స్టెయిన్‌లెస్ స్టీల్ జల్లెడ</v>
      </c>
      <c r="C3250" s="4" t="str">
        <f>IFERROR(__xludf.DUMMYFUNCTION("GOOGLETRANSLATE(A3250, ""en"", ""hi"")"),"स्टेनलेस स्टील की छलनी")</f>
        <v>स्टेनलेस स्टील की छलनी</v>
      </c>
      <c r="D3250" s="5"/>
      <c r="E3250" s="2" t="s">
        <v>327</v>
      </c>
      <c r="F3250" s="1">
        <v>6.0</v>
      </c>
      <c r="G3250" s="3" t="s">
        <v>600</v>
      </c>
    </row>
    <row r="3251">
      <c r="A3251" s="3" t="s">
        <v>8936</v>
      </c>
      <c r="B3251" s="4" t="str">
        <f>IFERROR(__xludf.DUMMYFUNCTION("GOOGLETRANSLATE(A3251, ""en"", ""te"")"),"స్టెయిన్‌లెస్ స్టీల్ విభజిత ప్లేట్")</f>
        <v>స్టెయిన్‌లెస్ స్టీల్ విభజిత ప్లేట్</v>
      </c>
      <c r="C3251" s="4" t="str">
        <f>IFERROR(__xludf.DUMMYFUNCTION("GOOGLETRANSLATE(A3251, ""en"", ""hi"")"),"स्टेनलेस स्टील विभाजित प्लेट")</f>
        <v>स्टेनलेस स्टील विभाजित प्लेट</v>
      </c>
      <c r="D3251" s="5"/>
      <c r="E3251" s="2" t="s">
        <v>327</v>
      </c>
      <c r="F3251" s="1">
        <v>6.0</v>
      </c>
      <c r="G3251" s="3" t="s">
        <v>600</v>
      </c>
    </row>
    <row r="3252">
      <c r="A3252" s="3" t="s">
        <v>8937</v>
      </c>
      <c r="B3252" s="4" t="str">
        <f>IFERROR(__xludf.DUMMYFUNCTION("GOOGLETRANSLATE(A3252, ""en"", ""te"")"),"స్టెయిన్‌లెస్ స్టీల్ గిన్నెలు")</f>
        <v>స్టెయిన్‌లెస్ స్టీల్ గిన్నెలు</v>
      </c>
      <c r="C3252" s="4" t="str">
        <f>IFERROR(__xludf.DUMMYFUNCTION("GOOGLETRANSLATE(A3252, ""en"", ""hi"")"),"स्टेनलेस स्टील के कटोरे")</f>
        <v>स्टेनलेस स्टील के कटोरे</v>
      </c>
      <c r="D3252" s="2" t="s">
        <v>8938</v>
      </c>
      <c r="E3252" s="2" t="s">
        <v>327</v>
      </c>
      <c r="F3252" s="1">
        <v>6.0</v>
      </c>
      <c r="G3252" s="3" t="s">
        <v>600</v>
      </c>
    </row>
    <row r="3253">
      <c r="A3253" s="3" t="s">
        <v>8939</v>
      </c>
      <c r="B3253" s="4" t="str">
        <f>IFERROR(__xludf.DUMMYFUNCTION("GOOGLETRANSLATE(A3253, ""en"", ""te"")"),"స్టెయిన్‌లెస్ స్టీల్ చిన్న గిన్నెలు")</f>
        <v>స్టెయిన్‌లెస్ స్టీల్ చిన్న గిన్నెలు</v>
      </c>
      <c r="C3253" s="4" t="str">
        <f>IFERROR(__xludf.DUMMYFUNCTION("GOOGLETRANSLATE(A3253, ""en"", ""hi"")"),"स्टेनलेस स्टील के छोटे कटोरे")</f>
        <v>स्टेनलेस स्टील के छोटे कटोरे</v>
      </c>
      <c r="D3253" s="2" t="s">
        <v>8938</v>
      </c>
      <c r="E3253" s="2" t="s">
        <v>327</v>
      </c>
      <c r="F3253" s="1">
        <v>6.0</v>
      </c>
      <c r="G3253" s="3" t="s">
        <v>600</v>
      </c>
    </row>
    <row r="3254">
      <c r="A3254" s="3" t="s">
        <v>8940</v>
      </c>
      <c r="B3254" s="4" t="str">
        <f>IFERROR(__xludf.DUMMYFUNCTION("GOOGLETRANSLATE(A3254, ""en"", ""te"")"),"స్టెయిన్‌లెస్ స్టీల్ మిక్సింగ్ బౌల్స్")</f>
        <v>స్టెయిన్‌లెస్ స్టీల్ మిక్సింగ్ బౌల్స్</v>
      </c>
      <c r="C3254" s="4" t="str">
        <f>IFERROR(__xludf.DUMMYFUNCTION("GOOGLETRANSLATE(A3254, ""en"", ""hi"")"),"स्टेनलेस स्टील मिक्सिंग बाउल")</f>
        <v>स्टेनलेस स्टील मिक्सिंग बाउल</v>
      </c>
      <c r="D3254" s="2" t="s">
        <v>8938</v>
      </c>
      <c r="E3254" s="2" t="s">
        <v>327</v>
      </c>
      <c r="F3254" s="1">
        <v>6.0</v>
      </c>
      <c r="G3254" s="3" t="s">
        <v>600</v>
      </c>
    </row>
    <row r="3255">
      <c r="A3255" s="3" t="s">
        <v>8941</v>
      </c>
      <c r="B3255" s="4" t="str">
        <f>IFERROR(__xludf.DUMMYFUNCTION("GOOGLETRANSLATE(A3255, ""en"", ""te"")"),"స్టెయిన్‌లెస్ స్టీల్ డిన్నర్ ప్లేట్లు")</f>
        <v>స్టెయిన్‌లెస్ స్టీల్ డిన్నర్ ప్లేట్లు</v>
      </c>
      <c r="C3255" s="4" t="str">
        <f>IFERROR(__xludf.DUMMYFUNCTION("GOOGLETRANSLATE(A3255, ""en"", ""hi"")"),"स्टेनलेस स्टील डिनर प्लेटें")</f>
        <v>स्टेनलेस स्टील डिनर प्लेटें</v>
      </c>
      <c r="D3255" s="5"/>
      <c r="E3255" s="2" t="s">
        <v>327</v>
      </c>
      <c r="F3255" s="1">
        <v>6.0</v>
      </c>
      <c r="G3255" s="3" t="s">
        <v>600</v>
      </c>
    </row>
    <row r="3256">
      <c r="A3256" s="3" t="s">
        <v>8942</v>
      </c>
      <c r="B3256" s="4" t="str">
        <f>IFERROR(__xludf.DUMMYFUNCTION("GOOGLETRANSLATE(A3256, ""en"", ""te"")"),"స్టెయిన్‌లెస్ స్టీల్ విభజిత ట్రే")</f>
        <v>స్టెయిన్‌లెస్ స్టీల్ విభజిత ట్రే</v>
      </c>
      <c r="C3256" s="4" t="str">
        <f>IFERROR(__xludf.DUMMYFUNCTION("GOOGLETRANSLATE(A3256, ""en"", ""hi"")"),"स्टेनलेस स्टील विभाजित ट्रे")</f>
        <v>स्टेनलेस स्टील विभाजित ट्रे</v>
      </c>
      <c r="D3256" s="5"/>
      <c r="E3256" s="2" t="s">
        <v>327</v>
      </c>
      <c r="F3256" s="1">
        <v>6.0</v>
      </c>
      <c r="G3256" s="3" t="s">
        <v>600</v>
      </c>
    </row>
    <row r="3257">
      <c r="A3257" s="3" t="s">
        <v>8943</v>
      </c>
      <c r="B3257" s="4" t="str">
        <f>IFERROR(__xludf.DUMMYFUNCTION("GOOGLETRANSLATE(A3257, ""en"", ""te"")"),"వినోద్ ఉత్తప్ప తవా")</f>
        <v>వినోద్ ఉత్తప్ప తవా</v>
      </c>
      <c r="C3257" s="4" t="str">
        <f>IFERROR(__xludf.DUMMYFUNCTION("GOOGLETRANSLATE(A3257, ""en"", ""hi"")"),"विनोद उत्तप्पा तवा")</f>
        <v>विनोद उत्तप्पा तवा</v>
      </c>
      <c r="D3257" s="5"/>
      <c r="E3257" s="2" t="s">
        <v>327</v>
      </c>
      <c r="F3257" s="1">
        <v>6.0</v>
      </c>
      <c r="G3257" s="3" t="s">
        <v>600</v>
      </c>
    </row>
    <row r="3258">
      <c r="A3258" s="3" t="s">
        <v>8944</v>
      </c>
      <c r="B3258" s="4" t="str">
        <f>IFERROR(__xludf.DUMMYFUNCTION("GOOGLETRANSLATE(A3258, ""en"", ""te"")"),"స్టెయిన్‌లెస్ స్టీల్ గిన్నెలు మరియు కంటైనర్లు")</f>
        <v>స్టెయిన్‌లెస్ స్టీల్ గిన్నెలు మరియు కంటైనర్లు</v>
      </c>
      <c r="C3258" s="4" t="str">
        <f>IFERROR(__xludf.DUMMYFUNCTION("GOOGLETRANSLATE(A3258, ""en"", ""hi"")"),"स्टेनलेस स्टील के कटोरे और बर्तन")</f>
        <v>स्टेनलेस स्टील के कटोरे और बर्तन</v>
      </c>
      <c r="D3258" s="2" t="s">
        <v>8938</v>
      </c>
      <c r="E3258" s="2" t="s">
        <v>327</v>
      </c>
      <c r="F3258" s="1">
        <v>6.0</v>
      </c>
      <c r="G3258" s="3" t="s">
        <v>479</v>
      </c>
    </row>
    <row r="3259">
      <c r="A3259" s="3" t="s">
        <v>8945</v>
      </c>
      <c r="B3259" s="4" t="str">
        <f>IFERROR(__xludf.DUMMYFUNCTION("GOOGLETRANSLATE(A3259, ""en"", ""te"")"),"స్టెయిన్‌లెస్ స్టీల్ తాగే గ్లాసులు")</f>
        <v>స్టెయిన్‌లెస్ స్టీల్ తాగే గ్లాసులు</v>
      </c>
      <c r="C3259" s="4" t="str">
        <f>IFERROR(__xludf.DUMMYFUNCTION("GOOGLETRANSLATE(A3259, ""en"", ""hi"")"),"स्टेनलेस स्टील के पीने के गिलास")</f>
        <v>स्टेनलेस स्टील के पीने के गिलास</v>
      </c>
      <c r="D3259" s="5"/>
      <c r="E3259" s="2" t="s">
        <v>327</v>
      </c>
      <c r="F3259" s="1">
        <v>6.0</v>
      </c>
      <c r="G3259" s="3" t="s">
        <v>479</v>
      </c>
    </row>
    <row r="3260">
      <c r="A3260" s="3" t="s">
        <v>8946</v>
      </c>
      <c r="B3260" s="4" t="str">
        <f>IFERROR(__xludf.DUMMYFUNCTION("GOOGLETRANSLATE(A3260, ""en"", ""te"")"),"స్టెయిన్‌లెస్ స్టీల్ ఒకదానిలో ఒకటి అమరే కంటైనర్లు")</f>
        <v>స్టెయిన్‌లెస్ స్టీల్ ఒకదానిలో ఒకటి అమరే కంటైనర్లు</v>
      </c>
      <c r="C3260" s="4" t="str">
        <f>IFERROR(__xludf.DUMMYFUNCTION("GOOGLETRANSLATE(A3260, ""en"", ""hi"")"),"स्टेनलेस स्टील के नेस्टिंग कंटेनर")</f>
        <v>स्टेनलेस स्टील के नेस्टिंग कंटेनर</v>
      </c>
      <c r="D3260" s="5"/>
      <c r="E3260" s="2" t="s">
        <v>327</v>
      </c>
      <c r="F3260" s="1">
        <v>6.0</v>
      </c>
      <c r="G3260" s="3" t="s">
        <v>479</v>
      </c>
    </row>
    <row r="3261">
      <c r="A3261" s="3" t="s">
        <v>8947</v>
      </c>
      <c r="B3261" s="4" t="str">
        <f>IFERROR(__xludf.DUMMYFUNCTION("GOOGLETRANSLATE(A3261, ""en"", ""te"")"),"స్టెయిన్‌లెస్ స్టీల్ కంటైనర్లు మరియు కుండలు")</f>
        <v>స్టెయిన్‌లెస్ స్టీల్ కంటైనర్లు మరియు కుండలు</v>
      </c>
      <c r="C3261" s="4" t="str">
        <f>IFERROR(__xludf.DUMMYFUNCTION("GOOGLETRANSLATE(A3261, ""en"", ""hi"")"),"स्टेनलेस स्टील के बर्तन और पात्र")</f>
        <v>स्टेनलेस स्टील के बर्तन और पात्र</v>
      </c>
      <c r="D3261" s="5"/>
      <c r="E3261" s="2" t="s">
        <v>327</v>
      </c>
      <c r="F3261" s="1">
        <v>6.0</v>
      </c>
      <c r="G3261" s="3" t="s">
        <v>478</v>
      </c>
    </row>
    <row r="3262">
      <c r="A3262" s="3" t="s">
        <v>8948</v>
      </c>
      <c r="B3262" s="4" t="str">
        <f>IFERROR(__xludf.DUMMYFUNCTION("GOOGLETRANSLATE(A3262, ""en"", ""te"")"),"సూపర్ షైన్ స్టెయిన్‌లెస్ స్టీల్ జల్లెడ")</f>
        <v>సూపర్ షైన్ స్టెయిన్‌లెస్ స్టీల్ జల్లెడ</v>
      </c>
      <c r="C3262" s="4" t="str">
        <f>IFERROR(__xludf.DUMMYFUNCTION("GOOGLETRANSLATE(A3262, ""en"", ""hi"")"),"सुपर शाइन स्टेनलेस स्टील छलनी")</f>
        <v>सुपर शाइन स्टेनलेस स्टील छलनी</v>
      </c>
      <c r="D3262" s="5"/>
      <c r="E3262" s="2" t="s">
        <v>327</v>
      </c>
      <c r="F3262" s="1">
        <v>6.0</v>
      </c>
      <c r="G3262" s="3" t="s">
        <v>478</v>
      </c>
    </row>
    <row r="3263">
      <c r="A3263" s="3" t="s">
        <v>8949</v>
      </c>
      <c r="B3263" s="4" t="str">
        <f>IFERROR(__xludf.DUMMYFUNCTION("GOOGLETRANSLATE(A3263, ""en"", ""te"")"),"స్టెయిన్‌లెస్ స్టీల్ వంటసామాను")</f>
        <v>స్టెయిన్‌లెస్ స్టీల్ వంటసామాను</v>
      </c>
      <c r="C3263" s="4" t="str">
        <f>IFERROR(__xludf.DUMMYFUNCTION("GOOGLETRANSLATE(A3263, ""en"", ""hi"")"),"स्टेनलेस स्टील के रसोई के बर्तन")</f>
        <v>स्टेनलेस स्टील के रसोई के बर्तन</v>
      </c>
      <c r="D3263" s="5"/>
      <c r="E3263" s="2" t="s">
        <v>327</v>
      </c>
      <c r="F3263" s="1">
        <v>6.0</v>
      </c>
      <c r="G3263" s="3" t="s">
        <v>477</v>
      </c>
    </row>
    <row r="3264">
      <c r="A3264" s="3" t="s">
        <v>8950</v>
      </c>
      <c r="B3264" s="4" t="str">
        <f>IFERROR(__xludf.DUMMYFUNCTION("GOOGLETRANSLATE(A3264, ""en"", ""te"")"),"లైఫ్ టైమ్ స్టెయిన్‌లెస్ స్టీల్ ఉత్పత్తులు")</f>
        <v>లైఫ్ టైమ్ స్టెయిన్‌లెస్ స్టీల్ ఉత్పత్తులు</v>
      </c>
      <c r="C3264" s="4" t="str">
        <f>IFERROR(__xludf.DUMMYFUNCTION("GOOGLETRANSLATE(A3264, ""en"", ""hi"")"),"लाइफटाइम स्टेनलेस स्टील उत्पाद")</f>
        <v>लाइफटाइम स्टेनलेस स्टील उत्पाद</v>
      </c>
      <c r="D3264" s="5"/>
      <c r="E3264" s="2" t="s">
        <v>327</v>
      </c>
      <c r="F3264" s="1">
        <v>6.0</v>
      </c>
      <c r="G3264" s="3" t="s">
        <v>477</v>
      </c>
    </row>
    <row r="3265">
      <c r="A3265" s="3" t="s">
        <v>8951</v>
      </c>
      <c r="B3265" s="4" t="str">
        <f>IFERROR(__xludf.DUMMYFUNCTION("GOOGLETRANSLATE(A3265, ""en"", ""te"")"),"లోతైన ఆహార ఉత్పత్తి కంటైనర్")</f>
        <v>లోతైన ఆహార ఉత్పత్తి కంటైనర్</v>
      </c>
      <c r="C3265" s="4" t="str">
        <f>IFERROR(__xludf.DUMMYFUNCTION("GOOGLETRANSLATE(A3265, ""en"", ""hi"")"),"गहरे खाद्य उत्पाद का कंटेनर")</f>
        <v>गहरे खाद्य उत्पाद का कंटेनर</v>
      </c>
      <c r="D3265" s="5"/>
      <c r="E3265" s="2" t="s">
        <v>43</v>
      </c>
      <c r="F3265" s="1">
        <v>6.0</v>
      </c>
      <c r="G3265" s="3" t="s">
        <v>477</v>
      </c>
    </row>
    <row r="3266">
      <c r="A3266" s="3" t="s">
        <v>8952</v>
      </c>
      <c r="B3266" s="4" t="str">
        <f>IFERROR(__xludf.DUMMYFUNCTION("GOOGLETRANSLATE(A3266, ""en"", ""te"")"),"సూపర్ షైన్ స్టెయిన్‌లెస్ స్టీల్ సాస్ పాన్")</f>
        <v>సూపర్ షైన్ స్టెయిన్‌లెస్ స్టీల్ సాస్ పాన్</v>
      </c>
      <c r="C3266" s="4" t="str">
        <f>IFERROR(__xludf.DUMMYFUNCTION("GOOGLETRANSLATE(A3266, ""en"", ""hi"")"),"सुपर शाइन स्टेनलेस स्टील सॉस पैन")</f>
        <v>सुपर शाइन स्टेनलेस स्टील सॉस पैन</v>
      </c>
      <c r="D3266" s="2" t="s">
        <v>4942</v>
      </c>
      <c r="E3266" s="2" t="s">
        <v>327</v>
      </c>
      <c r="F3266" s="1">
        <v>6.0</v>
      </c>
      <c r="G3266" s="3" t="s">
        <v>71</v>
      </c>
    </row>
    <row r="3267">
      <c r="A3267" s="3" t="s">
        <v>6239</v>
      </c>
      <c r="B3267" s="4" t="str">
        <f>IFERROR(__xludf.DUMMYFUNCTION("GOOGLETRANSLATE(A3267, ""en"", ""te"")"),"సూపర్ షైన్ నాన్ స్టిక్ అప్పం పాన్")</f>
        <v>సూపర్ షైన్ నాన్ స్టిక్ అప్పం పాన్</v>
      </c>
      <c r="C3267" s="4" t="str">
        <f>IFERROR(__xludf.DUMMYFUNCTION("GOOGLETRANSLATE(A3267, ""en"", ""hi"")"),"सुपर शाइन नॉन स्टिक अप्पम पैन")</f>
        <v>सुपर शाइन नॉन स्टिक अप्पम पैन</v>
      </c>
      <c r="D3267" s="5"/>
      <c r="E3267" s="2" t="s">
        <v>327</v>
      </c>
      <c r="F3267" s="1">
        <v>6.0</v>
      </c>
      <c r="G3267" s="3" t="s">
        <v>76</v>
      </c>
    </row>
    <row r="3268">
      <c r="A3268" s="3" t="s">
        <v>8952</v>
      </c>
      <c r="B3268" s="4" t="str">
        <f>IFERROR(__xludf.DUMMYFUNCTION("GOOGLETRANSLATE(A3268, ""en"", ""te"")"),"సూపర్ షైన్ స్టెయిన్‌లెస్ స్టీల్ సాస్ పాన్")</f>
        <v>సూపర్ షైన్ స్టెయిన్‌లెస్ స్టీల్ సాస్ పాన్</v>
      </c>
      <c r="C3268" s="4" t="str">
        <f>IFERROR(__xludf.DUMMYFUNCTION("GOOGLETRANSLATE(A3268, ""en"", ""hi"")"),"सुपर शाइन स्टेनलेस स्टील सॉस पैन")</f>
        <v>सुपर शाइन स्टेनलेस स्टील सॉस पैन</v>
      </c>
      <c r="D3268" s="2" t="s">
        <v>4942</v>
      </c>
      <c r="E3268" s="2" t="s">
        <v>327</v>
      </c>
      <c r="F3268" s="1">
        <v>6.0</v>
      </c>
      <c r="G3268" s="3" t="s">
        <v>76</v>
      </c>
    </row>
    <row r="3269">
      <c r="A3269" s="3" t="s">
        <v>8953</v>
      </c>
      <c r="B3269" s="4" t="str">
        <f>IFERROR(__xludf.DUMMYFUNCTION("GOOGLETRANSLATE(A3269, ""en"", ""te"")"),"ప్రెస్టీజ్ కుక్‌వేర్")</f>
        <v>ప్రెస్టీజ్ కుక్‌వేర్</v>
      </c>
      <c r="C3269" s="4" t="str">
        <f>IFERROR(__xludf.DUMMYFUNCTION("GOOGLETRANSLATE(A3269, ""en"", ""hi"")"),"प्रेस्टीज कुकवेयर")</f>
        <v>प्रेस्टीज कुकवेयर</v>
      </c>
      <c r="D3269" s="5"/>
      <c r="E3269" s="2" t="s">
        <v>327</v>
      </c>
      <c r="F3269" s="1">
        <v>6.0</v>
      </c>
      <c r="G3269" s="3" t="s">
        <v>76</v>
      </c>
    </row>
    <row r="3270">
      <c r="A3270" s="3" t="s">
        <v>8954</v>
      </c>
      <c r="B3270" s="4" t="str">
        <f>IFERROR(__xludf.DUMMYFUNCTION("GOOGLETRANSLATE(A3270, ""en"", ""te"")"),"సూపర్ షైన్ బ్లాక్ సాస్ పాన్")</f>
        <v>సూపర్ షైన్ బ్లాక్ సాస్ పాన్</v>
      </c>
      <c r="C3270" s="4" t="str">
        <f>IFERROR(__xludf.DUMMYFUNCTION("GOOGLETRANSLATE(A3270, ""en"", ""hi"")"),"सुपर शाइन ब्लैक सॉस पैन")</f>
        <v>सुपर शाइन ब्लैक सॉस पैन</v>
      </c>
      <c r="D3270" s="5"/>
      <c r="E3270" s="2" t="s">
        <v>327</v>
      </c>
      <c r="F3270" s="1">
        <v>6.0</v>
      </c>
      <c r="G3270" s="3" t="s">
        <v>76</v>
      </c>
    </row>
    <row r="3271">
      <c r="A3271" s="3" t="s">
        <v>8955</v>
      </c>
      <c r="B3271" s="4" t="str">
        <f>IFERROR(__xludf.DUMMYFUNCTION("GOOGLETRANSLATE(A3271, ""en"", ""te"")"),"సూపర్ షైన్ స్టెయిన్‌లెస్ స్టీల్ కంటైనర్లు")</f>
        <v>సూపర్ షైన్ స్టెయిన్‌లెస్ స్టీల్ కంటైనర్లు</v>
      </c>
      <c r="C3271" s="4" t="str">
        <f>IFERROR(__xludf.DUMMYFUNCTION("GOOGLETRANSLATE(A3271, ""en"", ""hi"")"),"सुपर शाइन स्टेनलेस स्टील कंटेनर")</f>
        <v>सुपर शाइन स्टेनलेस स्टील कंटेनर</v>
      </c>
      <c r="D3271" s="5"/>
      <c r="E3271" s="2" t="s">
        <v>327</v>
      </c>
      <c r="F3271" s="1">
        <v>6.0</v>
      </c>
      <c r="G3271" s="3" t="s">
        <v>85</v>
      </c>
    </row>
    <row r="3272">
      <c r="A3272" s="3" t="s">
        <v>8956</v>
      </c>
      <c r="B3272" s="4" t="str">
        <f>IFERROR(__xludf.DUMMYFUNCTION("GOOGLETRANSLATE(A3272, ""en"", ""te"")"),"సూపర్ షైన్ బ్లాక్ పాన్")</f>
        <v>సూపర్ షైన్ బ్లాక్ పాన్</v>
      </c>
      <c r="C3272" s="4" t="str">
        <f>IFERROR(__xludf.DUMMYFUNCTION("GOOGLETRANSLATE(A3272, ""en"", ""hi"")"),"सुपर शाइन ब्लैक पैन")</f>
        <v>सुपर शाइन ब्लैक पैन</v>
      </c>
      <c r="D3272" s="5"/>
      <c r="E3272" s="2" t="s">
        <v>327</v>
      </c>
      <c r="F3272" s="1">
        <v>6.0</v>
      </c>
      <c r="G3272" s="3" t="s">
        <v>85</v>
      </c>
    </row>
    <row r="3273">
      <c r="A3273" s="3" t="s">
        <v>8957</v>
      </c>
      <c r="B3273" s="4" t="str">
        <f>IFERROR(__xludf.DUMMYFUNCTION("GOOGLETRANSLATE(A3273, ""en"", ""te"")"),"బరోలీ వోక్ పాన్")</f>
        <v>బరోలీ వోక్ పాన్</v>
      </c>
      <c r="C3273" s="4" t="str">
        <f>IFERROR(__xludf.DUMMYFUNCTION("GOOGLETRANSLATE(A3273, ""en"", ""hi"")"),"बैरोली वोक पैन")</f>
        <v>बैरोली वोक पैन</v>
      </c>
      <c r="D3273" s="2" t="s">
        <v>326</v>
      </c>
      <c r="E3273" s="2" t="s">
        <v>327</v>
      </c>
      <c r="F3273" s="1">
        <v>6.0</v>
      </c>
      <c r="G3273" s="3" t="s">
        <v>114</v>
      </c>
    </row>
    <row r="3274">
      <c r="A3274" s="3" t="s">
        <v>8958</v>
      </c>
      <c r="B3274" s="4" t="str">
        <f>IFERROR(__xludf.DUMMYFUNCTION("GOOGLETRANSLATE(A3274, ""en"", ""te"")"),"ప్రెస్టీజ్ గాస్కెట్")</f>
        <v>ప్రెస్టీజ్ గాస్కెట్</v>
      </c>
      <c r="C3274" s="4" t="str">
        <f>IFERROR(__xludf.DUMMYFUNCTION("GOOGLETRANSLATE(A3274, ""en"", ""hi"")"),"प्रेस्टीज गैस्केट")</f>
        <v>प्रेस्टीज गैस्केट</v>
      </c>
      <c r="D3274" s="5"/>
      <c r="E3274" s="2" t="s">
        <v>327</v>
      </c>
      <c r="F3274" s="1">
        <v>6.0</v>
      </c>
      <c r="G3274" s="3" t="s">
        <v>76</v>
      </c>
    </row>
    <row r="3275">
      <c r="A3275" s="3" t="s">
        <v>8959</v>
      </c>
      <c r="B3275" s="4" t="str">
        <f>IFERROR(__xludf.DUMMYFUNCTION("GOOGLETRANSLATE(A3275, ""en"", ""te"")"),"సూపర్ షైన్ కుక్‌వేర్")</f>
        <v>సూపర్ షైన్ కుక్‌వేర్</v>
      </c>
      <c r="C3275" s="4" t="str">
        <f>IFERROR(__xludf.DUMMYFUNCTION("GOOGLETRANSLATE(A3275, ""en"", ""hi"")"),"सुपर शाइन कुकवेयर")</f>
        <v>सुपर शाइन कुकवेयर</v>
      </c>
      <c r="D3275" s="2" t="s">
        <v>4942</v>
      </c>
      <c r="E3275" s="2" t="s">
        <v>327</v>
      </c>
      <c r="F3275" s="1">
        <v>6.0</v>
      </c>
      <c r="G3275" s="3" t="s">
        <v>76</v>
      </c>
    </row>
    <row r="3276">
      <c r="A3276" s="3" t="s">
        <v>8960</v>
      </c>
      <c r="B3276" s="4" t="str">
        <f>IFERROR(__xludf.DUMMYFUNCTION("GOOGLETRANSLATE(A3276, ""en"", ""te"")"),"సూపర్ షైన్ స్టెయిన్‌లెస్ స్టీల్ కంటైనర్ సెట్")</f>
        <v>సూపర్ షైన్ స్టెయిన్‌లెస్ స్టీల్ కంటైనర్ సెట్</v>
      </c>
      <c r="C3276" s="4" t="str">
        <f>IFERROR(__xludf.DUMMYFUNCTION("GOOGLETRANSLATE(A3276, ""en"", ""hi"")"),"सुपर शाइन स्टेनलेस स्टील कंटेनर सेट")</f>
        <v>सुपर शाइन स्टेनलेस स्टील कंटेनर सेट</v>
      </c>
      <c r="D3276" s="5"/>
      <c r="E3276" s="2" t="s">
        <v>327</v>
      </c>
      <c r="F3276" s="1">
        <v>6.0</v>
      </c>
      <c r="G3276" s="3" t="s">
        <v>85</v>
      </c>
    </row>
    <row r="3277">
      <c r="A3277" s="3" t="s">
        <v>8961</v>
      </c>
      <c r="B3277" s="4" t="str">
        <f>IFERROR(__xludf.DUMMYFUNCTION("GOOGLETRANSLATE(A3277, ""en"", ""te"")"),"అలంకరణ వస్తువు")</f>
        <v>అలంకరణ వస్తువు</v>
      </c>
      <c r="C3277" s="4" t="str">
        <f>IFERROR(__xludf.DUMMYFUNCTION("GOOGLETRANSLATE(A3277, ""en"", ""hi"")"),"सजावटी वस्तु")</f>
        <v>सजावटी वस्तु</v>
      </c>
      <c r="D3277" s="5"/>
      <c r="E3277" s="2" t="s">
        <v>8914</v>
      </c>
      <c r="F3277" s="1">
        <v>6.0</v>
      </c>
      <c r="G3277" s="3" t="s">
        <v>85</v>
      </c>
    </row>
    <row r="3278">
      <c r="A3278" s="3" t="s">
        <v>8962</v>
      </c>
      <c r="B3278" s="4" t="str">
        <f>IFERROR(__xludf.DUMMYFUNCTION("GOOGLETRANSLATE(A3278, ""en"", ""te"")"),"సూపర్ షైన్ పాన్")</f>
        <v>సూపర్ షైన్ పాన్</v>
      </c>
      <c r="C3278" s="4" t="str">
        <f>IFERROR(__xludf.DUMMYFUNCTION("GOOGLETRANSLATE(A3278, ""en"", ""hi"")"),"सुपर शाइन पैन")</f>
        <v>सुपर शाइन पैन</v>
      </c>
      <c r="D3278" s="5"/>
      <c r="E3278" s="2" t="s">
        <v>327</v>
      </c>
      <c r="F3278" s="1">
        <v>6.0</v>
      </c>
      <c r="G3278" s="3" t="s">
        <v>85</v>
      </c>
    </row>
    <row r="3279">
      <c r="A3279" s="3" t="s">
        <v>8963</v>
      </c>
      <c r="B3279" s="4" t="str">
        <f>IFERROR(__xludf.DUMMYFUNCTION("GOOGLETRANSLATE(A3279, ""en"", ""te"")"),"హాకిన్స్ రిపేర్ కిట్")</f>
        <v>హాకిన్స్ రిపేర్ కిట్</v>
      </c>
      <c r="C3279" s="4" t="str">
        <f>IFERROR(__xludf.DUMMYFUNCTION("GOOGLETRANSLATE(A3279, ""en"", ""hi"")"),"हॉकिन्स रिपेयर किट")</f>
        <v>हॉकिन्स रिपेयर किट</v>
      </c>
      <c r="D3279" s="5"/>
      <c r="E3279" s="2" t="s">
        <v>43</v>
      </c>
      <c r="F3279" s="1">
        <v>6.0</v>
      </c>
      <c r="G3279" s="3" t="s">
        <v>63</v>
      </c>
    </row>
    <row r="3280">
      <c r="A3280" s="3" t="s">
        <v>8964</v>
      </c>
      <c r="B3280" s="4" t="str">
        <f>IFERROR(__xludf.DUMMYFUNCTION("GOOGLETRANSLATE(A3280, ""en"", ""te"")"),"సూపర్ షైన్ అల్యూమినియం ప్రెషర్ కుక్కర్")</f>
        <v>సూపర్ షైన్ అల్యూమినియం ప్రెషర్ కుక్కర్</v>
      </c>
      <c r="C3280" s="4" t="str">
        <f>IFERROR(__xludf.DUMMYFUNCTION("GOOGLETRANSLATE(A3280, ""en"", ""hi"")"),"सुपर शाइन एल्युमिनियम प्रेशर कुकर")</f>
        <v>सुपर शाइन एल्युमिनियम प्रेशर कुकर</v>
      </c>
      <c r="D3280" s="5"/>
      <c r="E3280" s="2" t="s">
        <v>327</v>
      </c>
      <c r="F3280" s="1">
        <v>6.0</v>
      </c>
      <c r="G3280" s="3" t="s">
        <v>68</v>
      </c>
    </row>
    <row r="3281">
      <c r="A3281" s="3" t="s">
        <v>8965</v>
      </c>
      <c r="B3281" s="4" t="str">
        <f>IFERROR(__xludf.DUMMYFUNCTION("GOOGLETRANSLATE(A3281, ""en"", ""te"")"),"హామిల్టన్ బీచ్ ఫుడ్ ప్రాసెసర్")</f>
        <v>హామిల్టన్ బీచ్ ఫుడ్ ప్రాసెసర్</v>
      </c>
      <c r="C3281" s="4" t="str">
        <f>IFERROR(__xludf.DUMMYFUNCTION("GOOGLETRANSLATE(A3281, ""en"", ""hi"")"),"हैमिल्टन बीच फूड प्रोसेसर")</f>
        <v>हैमिल्टन बीच फूड प्रोसेसर</v>
      </c>
      <c r="D3281" s="5"/>
      <c r="E3281" s="2" t="s">
        <v>327</v>
      </c>
      <c r="F3281" s="1">
        <v>6.0</v>
      </c>
      <c r="G3281" s="3" t="s">
        <v>68</v>
      </c>
    </row>
    <row r="3282">
      <c r="A3282" s="3" t="s">
        <v>8966</v>
      </c>
      <c r="B3282" s="4" t="str">
        <f>IFERROR(__xludf.DUMMYFUNCTION("GOOGLETRANSLATE(A3282, ""en"", ""te"")"),"ప్రీతి ఎకో ప్లస్ మిక్సర్ గ్రైండర్")</f>
        <v>ప్రీతి ఎకో ప్లస్ మిక్సర్ గ్రైండర్</v>
      </c>
      <c r="C3282" s="4" t="str">
        <f>IFERROR(__xludf.DUMMYFUNCTION("GOOGLETRANSLATE(A3282, ""en"", ""hi"")"),"प्रीति इको प्लस मिक्सर ग्राइंडर")</f>
        <v>प्रीति इको प्लस मिक्सर ग्राइंडर</v>
      </c>
      <c r="D3282" s="5"/>
      <c r="E3282" s="2" t="s">
        <v>327</v>
      </c>
      <c r="F3282" s="1">
        <v>6.0</v>
      </c>
      <c r="G3282" s="3" t="s">
        <v>68</v>
      </c>
    </row>
    <row r="3283">
      <c r="A3283" s="3" t="s">
        <v>8967</v>
      </c>
      <c r="B3283" s="4" t="str">
        <f>IFERROR(__xludf.DUMMYFUNCTION("GOOGLETRANSLATE(A3283, ""en"", ""te"")"),"ప్రీతి మిక్సర్ గ్రైండర్")</f>
        <v>ప్రీతి మిక్సర్ గ్రైండర్</v>
      </c>
      <c r="C3283" s="4" t="str">
        <f>IFERROR(__xludf.DUMMYFUNCTION("GOOGLETRANSLATE(A3283, ""en"", ""hi"")"),"प्रीति मिक्सर ग्राइंडर")</f>
        <v>प्रीति मिक्सर ग्राइंडर</v>
      </c>
      <c r="D3283" s="5"/>
      <c r="E3283" s="2" t="s">
        <v>327</v>
      </c>
      <c r="F3283" s="1">
        <v>6.0</v>
      </c>
      <c r="G3283" s="3" t="s">
        <v>68</v>
      </c>
    </row>
    <row r="3284">
      <c r="A3284" s="3" t="s">
        <v>8968</v>
      </c>
      <c r="B3284" s="4" t="str">
        <f>IFERROR(__xludf.DUMMYFUNCTION("GOOGLETRANSLATE(A3284, ""en"", ""te"")"),"సూపర్ షైన్ ఇడ్లీ కుక్కర్")</f>
        <v>సూపర్ షైన్ ఇడ్లీ కుక్కర్</v>
      </c>
      <c r="C3284" s="4" t="str">
        <f>IFERROR(__xludf.DUMMYFUNCTION("GOOGLETRANSLATE(A3284, ""en"", ""hi"")"),"सुपर शाइन इडली कुकर")</f>
        <v>सुपर शाइन इडली कुकर</v>
      </c>
      <c r="D3284" s="5"/>
      <c r="E3284" s="2" t="s">
        <v>327</v>
      </c>
      <c r="F3284" s="1">
        <v>6.0</v>
      </c>
      <c r="G3284" s="3" t="s">
        <v>68</v>
      </c>
    </row>
    <row r="3285">
      <c r="A3285" s="3" t="s">
        <v>8969</v>
      </c>
      <c r="B3285" s="4" t="str">
        <f>IFERROR(__xludf.DUMMYFUNCTION("GOOGLETRANSLATE(A3285, ""en"", ""te"")"),"సూపర్ షైన్ స్టెయిన్‌లెస్ స్టీల్ ఇడ్లీ స్టాండ్")</f>
        <v>సూపర్ షైన్ స్టెయిన్‌లెస్ స్టీల్ ఇడ్లీ స్టాండ్</v>
      </c>
      <c r="C3285" s="4" t="str">
        <f>IFERROR(__xludf.DUMMYFUNCTION("GOOGLETRANSLATE(A3285, ""en"", ""hi"")"),"सुपर शाइन स्टेनलेस स्टील इडली स्टैंड")</f>
        <v>सुपर शाइन स्टेनलेस स्टील इडली स्टैंड</v>
      </c>
      <c r="D3285" s="5"/>
      <c r="E3285" s="2" t="s">
        <v>327</v>
      </c>
      <c r="F3285" s="1">
        <v>6.0</v>
      </c>
      <c r="G3285" s="3" t="s">
        <v>68</v>
      </c>
    </row>
    <row r="3286">
      <c r="A3286" s="3" t="s">
        <v>431</v>
      </c>
      <c r="B3286" s="4" t="str">
        <f>IFERROR(__xludf.DUMMYFUNCTION("GOOGLETRANSLATE(A3286, ""en"", ""te"")"),"అముల్ శుద్ధ నెయ్యి")</f>
        <v>అముల్ శుద్ధ నెయ్యి</v>
      </c>
      <c r="C3286" s="4" t="str">
        <f>IFERROR(__xludf.DUMMYFUNCTION("GOOGLETRANSLATE(A3286, ""en"", ""hi"")"),"अमूल शुद्ध घी")</f>
        <v>अमूल शुद्ध घी</v>
      </c>
      <c r="D3286" s="2" t="s">
        <v>8970</v>
      </c>
      <c r="E3286" s="2" t="s">
        <v>54</v>
      </c>
      <c r="F3286" s="1">
        <v>6.0</v>
      </c>
      <c r="G3286" s="3" t="s">
        <v>8250</v>
      </c>
    </row>
    <row r="3287">
      <c r="A3287" s="3" t="s">
        <v>8971</v>
      </c>
      <c r="B3287" s="4" t="str">
        <f>IFERROR(__xludf.DUMMYFUNCTION("GOOGLETRANSLATE(A3287, ""en"", ""te"")"),"జిఆర్‌బి శుద్ధ నెయ్యి")</f>
        <v>జిఆర్‌బి శుద్ధ నెయ్యి</v>
      </c>
      <c r="C3287" s="4" t="str">
        <f>IFERROR(__xludf.DUMMYFUNCTION("GOOGLETRANSLATE(A3287, ""en"", ""hi"")"),"जीआरबी शुद्ध घी")</f>
        <v>जीआरबी शुद्ध घी</v>
      </c>
      <c r="D3287" s="2" t="s">
        <v>8871</v>
      </c>
      <c r="E3287" s="2" t="s">
        <v>54</v>
      </c>
      <c r="F3287" s="1">
        <v>6.0</v>
      </c>
      <c r="G3287" s="3" t="s">
        <v>8250</v>
      </c>
    </row>
    <row r="3288">
      <c r="A3288" s="3" t="s">
        <v>8972</v>
      </c>
      <c r="B3288" s="4" t="str">
        <f>IFERROR(__xludf.DUMMYFUNCTION("GOOGLETRANSLATE(A3288, ""en"", ""te"")"),"డీప్ ప్యూర్ నెయ్యి")</f>
        <v>డీప్ ప్యూర్ నెయ్యి</v>
      </c>
      <c r="C3288" s="4" t="str">
        <f>IFERROR(__xludf.DUMMYFUNCTION("GOOGLETRANSLATE(A3288, ""en"", ""hi"")"),"डीप प्योर घी")</f>
        <v>डीप प्योर घी</v>
      </c>
      <c r="D3288" s="2" t="s">
        <v>8871</v>
      </c>
      <c r="E3288" s="2" t="s">
        <v>54</v>
      </c>
      <c r="F3288" s="1">
        <v>6.0</v>
      </c>
      <c r="G3288" s="3" t="s">
        <v>8250</v>
      </c>
    </row>
    <row r="3289">
      <c r="A3289" s="3" t="s">
        <v>8973</v>
      </c>
      <c r="B3289" s="4" t="str">
        <f>IFERROR(__xludf.DUMMYFUNCTION("GOOGLETRANSLATE(A3289, ""en"", ""te"")"),"లోతైన మామిడి గుజ్జు")</f>
        <v>లోతైన మామిడి గుజ్జు</v>
      </c>
      <c r="C3289" s="4" t="str">
        <f>IFERROR(__xludf.DUMMYFUNCTION("GOOGLETRANSLATE(A3289, ""en"", ""hi"")"),"डीप मैंगो पल्प")</f>
        <v>डीप मैंगो पल्प</v>
      </c>
      <c r="D3289" s="5"/>
      <c r="E3289" s="2" t="s">
        <v>7005</v>
      </c>
      <c r="F3289" s="1">
        <v>6.0</v>
      </c>
      <c r="G3289" s="3" t="s">
        <v>2190</v>
      </c>
    </row>
    <row r="3290">
      <c r="A3290" s="3" t="s">
        <v>8974</v>
      </c>
      <c r="B3290" s="4" t="str">
        <f>IFERROR(__xludf.DUMMYFUNCTION("GOOGLETRANSLATE(A3290, ""en"", ""te"")"),"లక్ష్మి కేసర్ మామిడి గుజ్జు")</f>
        <v>లక్ష్మి కేసర్ మామిడి గుజ్జు</v>
      </c>
      <c r="C3290" s="4" t="str">
        <f>IFERROR(__xludf.DUMMYFUNCTION("GOOGLETRANSLATE(A3290, ""en"", ""hi"")"),"लक्ष्मी केसर आम का गूदा")</f>
        <v>लक्ष्मी केसर आम का गूदा</v>
      </c>
      <c r="D3290" s="2" t="s">
        <v>8975</v>
      </c>
      <c r="E3290" s="2" t="s">
        <v>946</v>
      </c>
      <c r="F3290" s="1">
        <v>6.0</v>
      </c>
      <c r="G3290" s="3" t="s">
        <v>2190</v>
      </c>
    </row>
    <row r="3291">
      <c r="A3291" s="3" t="s">
        <v>8976</v>
      </c>
      <c r="B3291" s="4" t="str">
        <f>IFERROR(__xludf.DUMMYFUNCTION("GOOGLETRANSLATE(A3291, ""en"", ""te"")"),"అల్-షిఫా నేచురల్ హనీ")</f>
        <v>అల్-షిఫా నేచురల్ హనీ</v>
      </c>
      <c r="C3291" s="4" t="str">
        <f>IFERROR(__xludf.DUMMYFUNCTION("GOOGLETRANSLATE(A3291, ""en"", ""hi"")"),"अल-शिफा प्राकृतिक शहद")</f>
        <v>अल-शिफा प्राकृतिक शहद</v>
      </c>
      <c r="D3291" s="5"/>
      <c r="E3291" s="2" t="s">
        <v>2369</v>
      </c>
      <c r="F3291" s="1">
        <v>6.0</v>
      </c>
      <c r="G3291" s="3" t="s">
        <v>2190</v>
      </c>
    </row>
    <row r="3292">
      <c r="A3292" s="3" t="s">
        <v>8977</v>
      </c>
      <c r="B3292" s="4" t="str">
        <f>IFERROR(__xludf.DUMMYFUNCTION("GOOGLETRANSLATE(A3292, ""en"", ""te"")"),"డాబర్ తేనె")</f>
        <v>డాబర్ తేనె</v>
      </c>
      <c r="C3292" s="4" t="str">
        <f>IFERROR(__xludf.DUMMYFUNCTION("GOOGLETRANSLATE(A3292, ""en"", ""hi"")"),"डाबर हनी")</f>
        <v>डाबर हनी</v>
      </c>
      <c r="D3292" s="5"/>
      <c r="E3292" s="2" t="s">
        <v>2369</v>
      </c>
      <c r="F3292" s="1">
        <v>6.0</v>
      </c>
      <c r="G3292" s="3" t="s">
        <v>2190</v>
      </c>
    </row>
    <row r="3293">
      <c r="A3293" s="3" t="s">
        <v>8978</v>
      </c>
      <c r="B3293" s="4" t="str">
        <f>IFERROR(__xludf.DUMMYFUNCTION("GOOGLETRANSLATE(A3293, ""en"", ""te"")"),"నిరపోడ్ ఎండిన చేప")</f>
        <v>నిరపోడ్ ఎండిన చేప</v>
      </c>
      <c r="C3293" s="4" t="str">
        <f>IFERROR(__xludf.DUMMYFUNCTION("GOOGLETRANSLATE(A3293, ""en"", ""hi"")"),"निरापोड सूखी मछली")</f>
        <v>निरापोड सूखी मछली</v>
      </c>
      <c r="D3293" s="5"/>
      <c r="E3293" s="2" t="s">
        <v>351</v>
      </c>
      <c r="F3293" s="1">
        <v>6.0</v>
      </c>
      <c r="G3293" s="3" t="s">
        <v>2208</v>
      </c>
    </row>
    <row r="3294">
      <c r="A3294" s="3" t="s">
        <v>8979</v>
      </c>
      <c r="B3294" s="4" t="str">
        <f>IFERROR(__xludf.DUMMYFUNCTION("GOOGLETRANSLATE(A3294, ""en"", ""te"")"),"జింక వేయించిన ఉల్లిపాయ")</f>
        <v>జింక వేయించిన ఉల్లిపాయ</v>
      </c>
      <c r="C3294" s="4" t="str">
        <f>IFERROR(__xludf.DUMMYFUNCTION("GOOGLETRANSLATE(A3294, ""en"", ""hi"")"),"हिरण का तला हुआ प्याज")</f>
        <v>हिरण का तला हुआ प्याज</v>
      </c>
      <c r="D3294" s="2" t="s">
        <v>8980</v>
      </c>
      <c r="E3294" s="2" t="s">
        <v>2700</v>
      </c>
      <c r="F3294" s="1">
        <v>6.0</v>
      </c>
      <c r="G3294" s="3" t="s">
        <v>2208</v>
      </c>
    </row>
    <row r="3295">
      <c r="A3295" s="3" t="s">
        <v>8981</v>
      </c>
      <c r="B3295" s="4" t="str">
        <f>IFERROR(__xludf.DUMMYFUNCTION("GOOGLETRANSLATE(A3295, ""en"", ""te"")"),"సూపర్ షైన్ ఇడ్లీ స్టాండ్")</f>
        <v>సూపర్ షైన్ ఇడ్లీ స్టాండ్</v>
      </c>
      <c r="C3295" s="4" t="str">
        <f>IFERROR(__xludf.DUMMYFUNCTION("GOOGLETRANSLATE(A3295, ""en"", ""hi"")"),"सुपर शाइन इडली स्टैंड")</f>
        <v>सुपर शाइन इडली स्टैंड</v>
      </c>
      <c r="D3295" s="5"/>
      <c r="E3295" s="2" t="s">
        <v>327</v>
      </c>
      <c r="F3295" s="1">
        <v>6.0</v>
      </c>
      <c r="G3295" s="3" t="s">
        <v>68</v>
      </c>
    </row>
    <row r="3296">
      <c r="A3296" s="3" t="s">
        <v>8982</v>
      </c>
      <c r="B3296" s="4" t="str">
        <f>IFERROR(__xludf.DUMMYFUNCTION("GOOGLETRANSLATE(A3296, ""en"", ""te"")"),"అముల్ నెయ్యి")</f>
        <v>అముల్ నెయ్యి</v>
      </c>
      <c r="C3296" s="4" t="str">
        <f>IFERROR(__xludf.DUMMYFUNCTION("GOOGLETRANSLATE(A3296, ""en"", ""hi"")"),"अमूल घी")</f>
        <v>अमूल घी</v>
      </c>
      <c r="D3296" s="2" t="s">
        <v>8871</v>
      </c>
      <c r="E3296" s="2" t="s">
        <v>54</v>
      </c>
      <c r="F3296" s="1">
        <v>6.0</v>
      </c>
      <c r="G3296" s="3" t="s">
        <v>8250</v>
      </c>
    </row>
    <row r="3297">
      <c r="A3297" s="3" t="s">
        <v>8983</v>
      </c>
      <c r="B3297" s="4" t="str">
        <f>IFERROR(__xludf.DUMMYFUNCTION("GOOGLETRANSLATE(A3297, ""en"", ""te"")"),"రత్న మామిడి గుజ్జు")</f>
        <v>రత్న మామిడి గుజ్జు</v>
      </c>
      <c r="C3297" s="4" t="str">
        <f>IFERROR(__xludf.DUMMYFUNCTION("GOOGLETRANSLATE(A3297, ""en"", ""hi"")"),"रत्ना आम का गूदा")</f>
        <v>रत्ना आम का गूदा</v>
      </c>
      <c r="D3297" s="5"/>
      <c r="E3297" s="2" t="s">
        <v>946</v>
      </c>
      <c r="F3297" s="1">
        <v>6.0</v>
      </c>
      <c r="G3297" s="3" t="s">
        <v>2190</v>
      </c>
    </row>
    <row r="3298">
      <c r="A3298" s="3" t="s">
        <v>8984</v>
      </c>
      <c r="B3298" s="4" t="str">
        <f>IFERROR(__xludf.DUMMYFUNCTION("GOOGLETRANSLATE(A3298, ""en"", ""te"")"),"కేసర్ మామిడి గుజ్జు")</f>
        <v>కేసర్ మామిడి గుజ్జు</v>
      </c>
      <c r="C3298" s="4" t="str">
        <f>IFERROR(__xludf.DUMMYFUNCTION("GOOGLETRANSLATE(A3298, ""en"", ""hi"")"),"केसर आम का गूदा")</f>
        <v>केसर आम का गूदा</v>
      </c>
      <c r="D3298" s="5"/>
      <c r="E3298" s="2" t="s">
        <v>946</v>
      </c>
      <c r="F3298" s="1">
        <v>6.0</v>
      </c>
      <c r="G3298" s="3" t="s">
        <v>2190</v>
      </c>
    </row>
    <row r="3299">
      <c r="A3299" s="3" t="s">
        <v>8985</v>
      </c>
      <c r="B3299" s="4" t="str">
        <f>IFERROR(__xludf.DUMMYFUNCTION("GOOGLETRANSLATE(A3299, ""en"", ""te"")"),"ఆటా ఫ్రైడ్ ఆనియన్")</f>
        <v>ఆటా ఫ్రైడ్ ఆనియన్</v>
      </c>
      <c r="C3299" s="4" t="str">
        <f>IFERROR(__xludf.DUMMYFUNCTION("GOOGLETRANSLATE(A3299, ""en"", ""hi"")"),"आटा तला हुआ प्याज")</f>
        <v>आटा तला हुआ प्याज</v>
      </c>
      <c r="D3299" s="2" t="s">
        <v>3445</v>
      </c>
      <c r="E3299" s="2" t="s">
        <v>1294</v>
      </c>
      <c r="F3299" s="1">
        <v>6.0</v>
      </c>
      <c r="G3299" s="3" t="s">
        <v>2208</v>
      </c>
    </row>
    <row r="3300">
      <c r="A3300" s="3" t="s">
        <v>8986</v>
      </c>
      <c r="B3300" s="4" t="str">
        <f>IFERROR(__xludf.DUMMYFUNCTION("GOOGLETRANSLATE(A3300, ""en"", ""te"")"),"నిరపోడ్ డ్రై ఆంకోవీ")</f>
        <v>నిరపోడ్ డ్రై ఆంకోవీ</v>
      </c>
      <c r="C3300" s="4" t="str">
        <f>IFERROR(__xludf.DUMMYFUNCTION("GOOGLETRANSLATE(A3300, ""en"", ""hi"")"),"निरापोड ड्राई एंकोवी")</f>
        <v>निरापोड ड्राई एंकोवी</v>
      </c>
      <c r="D3300" s="5"/>
      <c r="E3300" s="2" t="s">
        <v>2700</v>
      </c>
      <c r="F3300" s="1">
        <v>6.0</v>
      </c>
      <c r="G3300" s="3" t="s">
        <v>2208</v>
      </c>
    </row>
    <row r="3301">
      <c r="A3301" s="3" t="s">
        <v>8987</v>
      </c>
      <c r="B3301" s="4" t="str">
        <f>IFERROR(__xludf.DUMMYFUNCTION("GOOGLETRANSLATE(A3301, ""en"", ""te"")"),"డీప్ ఫ్రైడ్ ఆనియన్")</f>
        <v>డీప్ ఫ్రైడ్ ఆనియన్</v>
      </c>
      <c r="C3301" s="4" t="str">
        <f>IFERROR(__xludf.DUMMYFUNCTION("GOOGLETRANSLATE(A3301, ""en"", ""hi"")"),"डीप फ्राई प्याज")</f>
        <v>डीप फ्राई प्याज</v>
      </c>
      <c r="D3301" s="2" t="s">
        <v>3445</v>
      </c>
      <c r="E3301" s="2" t="s">
        <v>1294</v>
      </c>
      <c r="F3301" s="1">
        <v>6.0</v>
      </c>
      <c r="G3301" s="3" t="s">
        <v>2208</v>
      </c>
    </row>
    <row r="3302">
      <c r="A3302" s="3" t="s">
        <v>8988</v>
      </c>
      <c r="B3302" s="4" t="str">
        <f>IFERROR(__xludf.DUMMYFUNCTION("GOOGLETRANSLATE(A3302, ""en"", ""te"")"),"హజికాని పోహా")</f>
        <v>హజికాని పోహా</v>
      </c>
      <c r="C3302" s="4" t="str">
        <f>IFERROR(__xludf.DUMMYFUNCTION("GOOGLETRANSLATE(A3302, ""en"", ""hi"")"),"हाजिकानी पोहा")</f>
        <v>हाजिकानी पोहा</v>
      </c>
      <c r="D3302" s="5"/>
      <c r="E3302" s="2" t="s">
        <v>2649</v>
      </c>
      <c r="F3302" s="1">
        <v>6.0</v>
      </c>
      <c r="G3302" s="3" t="s">
        <v>2241</v>
      </c>
    </row>
    <row r="3303">
      <c r="A3303" s="3" t="s">
        <v>8989</v>
      </c>
      <c r="B3303" s="4" t="str">
        <f>IFERROR(__xludf.DUMMYFUNCTION("GOOGLETRANSLATE(A3303, ""en"", ""te"")"),"కొల్హాపురి మాంబ్రా")</f>
        <v>కొల్హాపురి మాంబ్రా</v>
      </c>
      <c r="C3303" s="4" t="str">
        <f>IFERROR(__xludf.DUMMYFUNCTION("GOOGLETRANSLATE(A3303, ""en"", ""hi"")"),"कोल्हापुरी मम्ब्रा")</f>
        <v>कोल्हापुरी मम्ब्रा</v>
      </c>
      <c r="D3303" s="5"/>
      <c r="E3303" s="2" t="s">
        <v>442</v>
      </c>
      <c r="F3303" s="1">
        <v>6.0</v>
      </c>
      <c r="G3303" s="3" t="s">
        <v>2269</v>
      </c>
    </row>
    <row r="3304">
      <c r="A3304" s="3" t="s">
        <v>8990</v>
      </c>
      <c r="B3304" s="4" t="str">
        <f>IFERROR(__xludf.DUMMYFUNCTION("GOOGLETRANSLATE(A3304, ""en"", ""te"")"),"తెలుగు మరమరాలు")</f>
        <v>తెలుగు మరమరాలు</v>
      </c>
      <c r="C3304" s="4" t="str">
        <f>IFERROR(__xludf.DUMMYFUNCTION("GOOGLETRANSLATE(A3304, ""en"", ""hi"")"),"तेलुगु मुरमुरे")</f>
        <v>तेलुगु मुरमुरे</v>
      </c>
      <c r="D3304" s="2" t="s">
        <v>8991</v>
      </c>
      <c r="E3304" s="2" t="s">
        <v>2649</v>
      </c>
      <c r="F3304" s="1">
        <v>6.0</v>
      </c>
      <c r="G3304" s="3" t="s">
        <v>2269</v>
      </c>
    </row>
    <row r="3305">
      <c r="A3305" s="3" t="s">
        <v>8992</v>
      </c>
      <c r="B3305" s="4" t="str">
        <f>IFERROR(__xludf.DUMMYFUNCTION("GOOGLETRANSLATE(A3305, ""en"", ""te"")"),"అల్ట్రా గ్రైండ్+ గోల్డ్ వెట్ గ్రైండర్")</f>
        <v>అల్ట్రా గ్రైండ్+ గోల్డ్ వెట్ గ్రైండర్</v>
      </c>
      <c r="C3305" s="4" t="str">
        <f>IFERROR(__xludf.DUMMYFUNCTION("GOOGLETRANSLATE(A3305, ""en"", ""hi"")"),"अल्ट्रा ग्राइंड+ गोल्ड वेट ग्राइंडर")</f>
        <v>अल्ट्रा ग्राइंड+ गोल्ड वेट ग्राइंडर</v>
      </c>
      <c r="D3305" s="5"/>
      <c r="E3305" s="2" t="s">
        <v>327</v>
      </c>
      <c r="F3305" s="1">
        <v>6.0</v>
      </c>
      <c r="G3305" s="3" t="s">
        <v>8276</v>
      </c>
    </row>
    <row r="3306">
      <c r="A3306" s="3" t="s">
        <v>8964</v>
      </c>
      <c r="B3306" s="4" t="str">
        <f>IFERROR(__xludf.DUMMYFUNCTION("GOOGLETRANSLATE(A3306, ""en"", ""te"")"),"సూపర్ షైన్ అల్యూమినియం ప్రెషర్ కుక్కర్")</f>
        <v>సూపర్ షైన్ అల్యూమినియం ప్రెషర్ కుక్కర్</v>
      </c>
      <c r="C3306" s="4" t="str">
        <f>IFERROR(__xludf.DUMMYFUNCTION("GOOGLETRANSLATE(A3306, ""en"", ""hi"")"),"सुपर शाइन एल्युमिनियम प्रेशर कुकर")</f>
        <v>सुपर शाइन एल्युमिनियम प्रेशर कुकर</v>
      </c>
      <c r="D3306" s="5"/>
      <c r="E3306" s="2" t="s">
        <v>327</v>
      </c>
      <c r="F3306" s="1">
        <v>6.0</v>
      </c>
      <c r="G3306" s="3" t="s">
        <v>8276</v>
      </c>
    </row>
    <row r="3307">
      <c r="A3307" s="3" t="s">
        <v>8965</v>
      </c>
      <c r="B3307" s="4" t="str">
        <f>IFERROR(__xludf.DUMMYFUNCTION("GOOGLETRANSLATE(A3307, ""en"", ""te"")"),"హామిల్టన్ బీచ్ ఫుడ్ ప్రాసెసర్")</f>
        <v>హామిల్టన్ బీచ్ ఫుడ్ ప్రాసెసర్</v>
      </c>
      <c r="C3307" s="4" t="str">
        <f>IFERROR(__xludf.DUMMYFUNCTION("GOOGLETRANSLATE(A3307, ""en"", ""hi"")"),"हैमिल्टन बीच फूड प्रोसेसर")</f>
        <v>हैमिल्टन बीच फूड प्रोसेसर</v>
      </c>
      <c r="D3307" s="5"/>
      <c r="E3307" s="2" t="s">
        <v>327</v>
      </c>
      <c r="F3307" s="1">
        <v>6.0</v>
      </c>
      <c r="G3307" s="3" t="s">
        <v>8276</v>
      </c>
    </row>
    <row r="3308">
      <c r="A3308" s="3" t="s">
        <v>8993</v>
      </c>
      <c r="B3308" s="4" t="str">
        <f>IFERROR(__xludf.DUMMYFUNCTION("GOOGLETRANSLATE(A3308, ""en"", ""te"")"),"ప్రీతి టర్బోవెంట్ మిక్సర్ గ్రైండర్")</f>
        <v>ప్రీతి టర్బోవెంట్ మిక్సర్ గ్రైండర్</v>
      </c>
      <c r="C3308" s="4" t="str">
        <f>IFERROR(__xludf.DUMMYFUNCTION("GOOGLETRANSLATE(A3308, ""en"", ""hi"")"),"प्रीति टर्बोवेंट मिक्सर ग्राइंडर")</f>
        <v>प्रीति टर्बोवेंट मिक्सर ग्राइंडर</v>
      </c>
      <c r="D3308" s="5"/>
      <c r="E3308" s="2" t="s">
        <v>327</v>
      </c>
      <c r="F3308" s="1">
        <v>6.0</v>
      </c>
      <c r="G3308" s="3" t="s">
        <v>68</v>
      </c>
    </row>
    <row r="3309">
      <c r="A3309" s="3" t="s">
        <v>431</v>
      </c>
      <c r="B3309" s="4" t="str">
        <f>IFERROR(__xludf.DUMMYFUNCTION("GOOGLETRANSLATE(A3309, ""en"", ""te"")"),"అముల్ శుద్ధ నెయ్యి")</f>
        <v>అముల్ శుద్ధ నెయ్యి</v>
      </c>
      <c r="C3309" s="4" t="str">
        <f>IFERROR(__xludf.DUMMYFUNCTION("GOOGLETRANSLATE(A3309, ""en"", ""hi"")"),"अमूल शुद्ध घी")</f>
        <v>अमूल शुद्ध घी</v>
      </c>
      <c r="D3309" s="2" t="s">
        <v>8970</v>
      </c>
      <c r="E3309" s="2" t="s">
        <v>54</v>
      </c>
      <c r="F3309" s="1">
        <v>6.0</v>
      </c>
      <c r="G3309" s="3" t="s">
        <v>5421</v>
      </c>
    </row>
    <row r="3310">
      <c r="A3310" s="3" t="s">
        <v>8994</v>
      </c>
      <c r="B3310" s="4" t="str">
        <f>IFERROR(__xludf.DUMMYFUNCTION("GOOGLETRANSLATE(A3310, ""en"", ""te"")"),"జిపిబి శుద్ధ నెయ్యి")</f>
        <v>జిపిబి శుద్ధ నెయ్యి</v>
      </c>
      <c r="C3310" s="4" t="str">
        <f>IFERROR(__xludf.DUMMYFUNCTION("GOOGLETRANSLATE(A3310, ""en"", ""hi"")"),"जीपीबी शुद्ध घी")</f>
        <v>जीपीबी शुद्ध घी</v>
      </c>
      <c r="D3310" s="2" t="s">
        <v>8871</v>
      </c>
      <c r="E3310" s="2" t="s">
        <v>54</v>
      </c>
      <c r="F3310" s="1">
        <v>6.0</v>
      </c>
      <c r="G3310" s="3" t="s">
        <v>8250</v>
      </c>
    </row>
    <row r="3311">
      <c r="A3311" s="3" t="s">
        <v>8995</v>
      </c>
      <c r="B3311" s="4" t="str">
        <f>IFERROR(__xludf.DUMMYFUNCTION("GOOGLETRANSLATE(A3311, ""en"", ""te"")"),"హల్దీరామ్ గులాబ్ జామున్")</f>
        <v>హల్దీరామ్ గులాబ్ జామున్</v>
      </c>
      <c r="C3311" s="4" t="str">
        <f>IFERROR(__xludf.DUMMYFUNCTION("GOOGLETRANSLATE(A3311, ""en"", ""hi"")"),"हल्दीराम गुलाब जामुन")</f>
        <v>हल्दीराम गुलाब जामुन</v>
      </c>
      <c r="D3311" s="5"/>
      <c r="E3311" s="2" t="s">
        <v>3438</v>
      </c>
      <c r="F3311" s="1">
        <v>6.0</v>
      </c>
      <c r="G3311" s="3" t="s">
        <v>5425</v>
      </c>
    </row>
    <row r="3312">
      <c r="A3312" s="3" t="s">
        <v>8996</v>
      </c>
      <c r="B3312" s="4" t="str">
        <f>IFERROR(__xludf.DUMMYFUNCTION("GOOGLETRANSLATE(A3312, ""en"", ""te"")"),"హల్దీరామ్ రస్గుల్లా")</f>
        <v>హల్దీరామ్ రస్గుల్లా</v>
      </c>
      <c r="C3312" s="4" t="str">
        <f>IFERROR(__xludf.DUMMYFUNCTION("GOOGLETRANSLATE(A3312, ""en"", ""hi"")"),"हल्दीराम रसगुल्ला")</f>
        <v>हल्दीराम रसगुल्ला</v>
      </c>
      <c r="D3312" s="5"/>
      <c r="E3312" s="2" t="s">
        <v>3438</v>
      </c>
      <c r="F3312" s="1">
        <v>6.0</v>
      </c>
      <c r="G3312" s="3" t="s">
        <v>5425</v>
      </c>
    </row>
    <row r="3313">
      <c r="A3313" s="3" t="s">
        <v>8997</v>
      </c>
      <c r="B3313" s="4" t="str">
        <f>IFERROR(__xludf.DUMMYFUNCTION("GOOGLETRANSLATE(A3313, ""en"", ""te"")"),"రత్న అల్ఫోన్సో మామిడి గుజ్జు")</f>
        <v>రత్న అల్ఫోన్సో మామిడి గుజ్జు</v>
      </c>
      <c r="C3313" s="4" t="str">
        <f>IFERROR(__xludf.DUMMYFUNCTION("GOOGLETRANSLATE(A3313, ""en"", ""hi"")"),"रत्ना अल्फोंसो आम का गूदा")</f>
        <v>रत्ना अल्फोंसो आम का गूदा</v>
      </c>
      <c r="D3313" s="2" t="s">
        <v>7004</v>
      </c>
      <c r="E3313" s="2" t="s">
        <v>7005</v>
      </c>
      <c r="F3313" s="1">
        <v>6.0</v>
      </c>
      <c r="G3313" s="3" t="s">
        <v>5425</v>
      </c>
    </row>
    <row r="3314">
      <c r="A3314" s="3" t="s">
        <v>8985</v>
      </c>
      <c r="B3314" s="4" t="str">
        <f>IFERROR(__xludf.DUMMYFUNCTION("GOOGLETRANSLATE(A3314, ""en"", ""te"")"),"ఆటా ఫ్రైడ్ ఆనియన్")</f>
        <v>ఆటా ఫ్రైడ్ ఆనియన్</v>
      </c>
      <c r="C3314" s="4" t="str">
        <f>IFERROR(__xludf.DUMMYFUNCTION("GOOGLETRANSLATE(A3314, ""en"", ""hi"")"),"आटा तला हुआ प्याज")</f>
        <v>आटा तला हुआ प्याज</v>
      </c>
      <c r="D3314" s="2" t="s">
        <v>3445</v>
      </c>
      <c r="E3314" s="2" t="s">
        <v>1294</v>
      </c>
      <c r="F3314" s="1">
        <v>6.0</v>
      </c>
      <c r="G3314" s="3" t="s">
        <v>5428</v>
      </c>
    </row>
    <row r="3315">
      <c r="A3315" s="3" t="s">
        <v>8986</v>
      </c>
      <c r="B3315" s="4" t="str">
        <f>IFERROR(__xludf.DUMMYFUNCTION("GOOGLETRANSLATE(A3315, ""en"", ""te"")"),"నిరపోడ్ డ్రై ఆంకోవీ")</f>
        <v>నిరపోడ్ డ్రై ఆంకోవీ</v>
      </c>
      <c r="C3315" s="4" t="str">
        <f>IFERROR(__xludf.DUMMYFUNCTION("GOOGLETRANSLATE(A3315, ""en"", ""hi"")"),"निरापोड ड्राई एंकोवी")</f>
        <v>निरापोड ड्राई एंकोवी</v>
      </c>
      <c r="D3315" s="5"/>
      <c r="E3315" s="2" t="s">
        <v>2700</v>
      </c>
      <c r="F3315" s="1">
        <v>6.0</v>
      </c>
      <c r="G3315" s="3" t="s">
        <v>5428</v>
      </c>
    </row>
    <row r="3316">
      <c r="A3316" s="3" t="s">
        <v>8998</v>
      </c>
      <c r="B3316" s="4" t="str">
        <f>IFERROR(__xludf.DUMMYFUNCTION("GOOGLETRANSLATE(A3316, ""en"", ""te"")"),"స్వద్ ఖీల్ మామ్రా")</f>
        <v>స్వద్ ఖీల్ మామ్రా</v>
      </c>
      <c r="C3316" s="4" t="str">
        <f>IFERROR(__xludf.DUMMYFUNCTION("GOOGLETRANSLATE(A3316, ""en"", ""hi"")"),"स्वाद खेल ममरा")</f>
        <v>स्वाद खेल ममरा</v>
      </c>
      <c r="D3316" s="5"/>
      <c r="E3316" s="2" t="s">
        <v>1294</v>
      </c>
      <c r="F3316" s="1">
        <v>6.0</v>
      </c>
      <c r="G3316" s="3" t="s">
        <v>5432</v>
      </c>
    </row>
    <row r="3317">
      <c r="A3317" s="3" t="s">
        <v>8988</v>
      </c>
      <c r="B3317" s="4" t="str">
        <f>IFERROR(__xludf.DUMMYFUNCTION("GOOGLETRANSLATE(A3317, ""en"", ""te"")"),"హజికాని పోహా")</f>
        <v>హజికాని పోహా</v>
      </c>
      <c r="C3317" s="4" t="str">
        <f>IFERROR(__xludf.DUMMYFUNCTION("GOOGLETRANSLATE(A3317, ""en"", ""hi"")"),"हाजिकानी पोहा")</f>
        <v>हाजिकानी पोहा</v>
      </c>
      <c r="D3317" s="5"/>
      <c r="E3317" s="2" t="s">
        <v>2649</v>
      </c>
      <c r="F3317" s="1">
        <v>6.0</v>
      </c>
      <c r="G3317" s="3" t="s">
        <v>5432</v>
      </c>
    </row>
    <row r="3318">
      <c r="A3318" s="3" t="s">
        <v>8999</v>
      </c>
      <c r="B3318" s="4" t="str">
        <f>IFERROR(__xludf.DUMMYFUNCTION("GOOGLETRANSLATE(A3318, ""en"", ""te"")"),"లక్ష్మి మైసూర్ మామ్రా")</f>
        <v>లక్ష్మి మైసూర్ మామ్రా</v>
      </c>
      <c r="C3318" s="4" t="str">
        <f>IFERROR(__xludf.DUMMYFUNCTION("GOOGLETRANSLATE(A3318, ""en"", ""hi"")"),"लक्ष्मी मैसूर ममरा")</f>
        <v>लक्ष्मी मैसूर ममरा</v>
      </c>
      <c r="D3318" s="5"/>
      <c r="E3318" s="2" t="s">
        <v>1294</v>
      </c>
      <c r="F3318" s="1">
        <v>6.0</v>
      </c>
      <c r="G3318" s="3" t="s">
        <v>5445</v>
      </c>
    </row>
    <row r="3319">
      <c r="A3319" s="3" t="s">
        <v>9000</v>
      </c>
      <c r="B3319" s="4" t="str">
        <f>IFERROR(__xludf.DUMMYFUNCTION("GOOGLETRANSLATE(A3319, ""en"", ""te"")"),"స్వాద్/ఇతర స్టోర్ మామ్రా")</f>
        <v>స్వాద్/ఇతర స్టోర్ మామ్రా</v>
      </c>
      <c r="C3319" s="4" t="str">
        <f>IFERROR(__xludf.DUMMYFUNCTION("GOOGLETRANSLATE(A3319, ""en"", ""hi"")"),"स्वाद/अन्य स्टोर ममरा")</f>
        <v>स्वाद/अन्य स्टोर ममरा</v>
      </c>
      <c r="D3319" s="5"/>
      <c r="E3319" s="2" t="s">
        <v>1294</v>
      </c>
      <c r="F3319" s="1">
        <v>6.0</v>
      </c>
      <c r="G3319" s="3" t="s">
        <v>5445</v>
      </c>
    </row>
    <row r="3320">
      <c r="A3320" s="3" t="s">
        <v>9001</v>
      </c>
      <c r="B3320" s="4" t="str">
        <f>IFERROR(__xludf.DUMMYFUNCTION("GOOGLETRANSLATE(A3320, ""en"", ""te"")"),"కొల్హాపురి మామ్రా")</f>
        <v>కొల్హాపురి మామ్రా</v>
      </c>
      <c r="C3320" s="4" t="str">
        <f>IFERROR(__xludf.DUMMYFUNCTION("GOOGLETRANSLATE(A3320, ""en"", ""hi"")"),"कोल्हापुरी मामरा")</f>
        <v>कोल्हापुरी मामरा</v>
      </c>
      <c r="D3320" s="2" t="s">
        <v>7569</v>
      </c>
      <c r="E3320" s="2" t="s">
        <v>1294</v>
      </c>
      <c r="F3320" s="1">
        <v>6.0</v>
      </c>
      <c r="G3320" s="3" t="s">
        <v>5445</v>
      </c>
    </row>
    <row r="3321">
      <c r="A3321" s="3" t="s">
        <v>8990</v>
      </c>
      <c r="B3321" s="4" t="str">
        <f>IFERROR(__xludf.DUMMYFUNCTION("GOOGLETRANSLATE(A3321, ""en"", ""te"")"),"తెలుగు మరమరాలు")</f>
        <v>తెలుగు మరమరాలు</v>
      </c>
      <c r="C3321" s="4" t="str">
        <f>IFERROR(__xludf.DUMMYFUNCTION("GOOGLETRANSLATE(A3321, ""en"", ""hi"")"),"तेलुगु मुरमुरे")</f>
        <v>तेलुगु मुरमुरे</v>
      </c>
      <c r="D3321" s="2" t="s">
        <v>8991</v>
      </c>
      <c r="E3321" s="2" t="s">
        <v>2649</v>
      </c>
      <c r="F3321" s="1">
        <v>6.0</v>
      </c>
      <c r="G3321" s="3" t="s">
        <v>5445</v>
      </c>
    </row>
    <row r="3322">
      <c r="A3322" s="3" t="s">
        <v>9002</v>
      </c>
      <c r="B3322" s="4" t="str">
        <f>IFERROR(__xludf.DUMMYFUNCTION("GOOGLETRANSLATE(A3322, ""en"", ""te"")"),"మరమరాలు")</f>
        <v>మరమరాలు</v>
      </c>
      <c r="C3322" s="4" t="str">
        <f>IFERROR(__xludf.DUMMYFUNCTION("GOOGLETRANSLATE(A3322, ""en"", ""hi"")"),"फूला हुआ चावल")</f>
        <v>फूला हुआ चावल</v>
      </c>
      <c r="D3322" s="5"/>
      <c r="E3322" s="2" t="s">
        <v>2649</v>
      </c>
      <c r="F3322" s="1">
        <v>6.0</v>
      </c>
      <c r="G3322" s="3" t="s">
        <v>2269</v>
      </c>
    </row>
    <row r="3323">
      <c r="A3323" s="3" t="s">
        <v>8886</v>
      </c>
      <c r="B3323" s="4" t="str">
        <f>IFERROR(__xludf.DUMMYFUNCTION("GOOGLETRANSLATE(A3323, ""en"", ""te"")"),"సూపర్ షైన్ స్టెయిన్‌లెస్ స్టీల్ ఇడ్లీ కుక్కర్")</f>
        <v>సూపర్ షైన్ స్టెయిన్‌లెస్ స్టీల్ ఇడ్లీ కుక్కర్</v>
      </c>
      <c r="C3323" s="4" t="str">
        <f>IFERROR(__xludf.DUMMYFUNCTION("GOOGLETRANSLATE(A3323, ""en"", ""hi"")"),"सुपर शाइन स्टेनलेस स्टील इडली कुकर")</f>
        <v>सुपर शाइन स्टेनलेस स्टील इडली कुकर</v>
      </c>
      <c r="D3323" s="5"/>
      <c r="E3323" s="2" t="s">
        <v>327</v>
      </c>
      <c r="F3323" s="1">
        <v>6.0</v>
      </c>
      <c r="G3323" s="3" t="s">
        <v>8276</v>
      </c>
    </row>
    <row r="3324">
      <c r="A3324" s="3" t="s">
        <v>9003</v>
      </c>
      <c r="B3324" s="4" t="str">
        <f>IFERROR(__xludf.DUMMYFUNCTION("GOOGLETRANSLATE(A3324, ""en"", ""te"")"),"అల్ట్రా గ్రైండ్+గోల్డ్ వెట్ గ్రైండర్")</f>
        <v>అల్ట్రా గ్రైండ్+గోల్డ్ వెట్ గ్రైండర్</v>
      </c>
      <c r="C3324" s="4" t="str">
        <f>IFERROR(__xludf.DUMMYFUNCTION("GOOGLETRANSLATE(A3324, ""en"", ""hi"")"),"अल्ट्रा ग्राइंड+गोल्ड वेट ग्राइंडर")</f>
        <v>अल्ट्रा ग्राइंड+गोल्ड वेट ग्राइंडर</v>
      </c>
      <c r="D3324" s="5"/>
      <c r="E3324" s="2" t="s">
        <v>327</v>
      </c>
      <c r="F3324" s="1">
        <v>6.0</v>
      </c>
      <c r="G3324" s="3" t="s">
        <v>8276</v>
      </c>
    </row>
    <row r="3325">
      <c r="A3325" s="3" t="s">
        <v>9004</v>
      </c>
      <c r="B3325" s="4" t="str">
        <f>IFERROR(__xludf.DUMMYFUNCTION("GOOGLETRANSLATE(A3325, ""en"", ""te"")"),"హామిల్టన్ బీచ్ ఫుడ్ చోపర్")</f>
        <v>హామిల్టన్ బీచ్ ఫుడ్ చోపర్</v>
      </c>
      <c r="C3325" s="4" t="str">
        <f>IFERROR(__xludf.DUMMYFUNCTION("GOOGLETRANSLATE(A3325, ""en"", ""hi"")"),"हैमिल्टन बीच फूड चॉपर")</f>
        <v>हैमिल्टन बीच फूड चॉपर</v>
      </c>
      <c r="D3325" s="5"/>
      <c r="E3325" s="2" t="s">
        <v>327</v>
      </c>
      <c r="F3325" s="1">
        <v>6.0</v>
      </c>
      <c r="G3325" s="3" t="s">
        <v>8276</v>
      </c>
    </row>
    <row r="3326">
      <c r="A3326" s="3" t="s">
        <v>8982</v>
      </c>
      <c r="B3326" s="4" t="str">
        <f>IFERROR(__xludf.DUMMYFUNCTION("GOOGLETRANSLATE(A3326, ""en"", ""te"")"),"అముల్ నెయ్యి")</f>
        <v>అముల్ నెయ్యి</v>
      </c>
      <c r="C3326" s="4" t="str">
        <f>IFERROR(__xludf.DUMMYFUNCTION("GOOGLETRANSLATE(A3326, ""en"", ""hi"")"),"अमूल घी")</f>
        <v>अमूल घी</v>
      </c>
      <c r="D3326" s="2" t="s">
        <v>8871</v>
      </c>
      <c r="E3326" s="2" t="s">
        <v>54</v>
      </c>
      <c r="F3326" s="1">
        <v>6.0</v>
      </c>
      <c r="G3326" s="3" t="s">
        <v>5421</v>
      </c>
    </row>
    <row r="3327">
      <c r="A3327" s="3" t="s">
        <v>1942</v>
      </c>
      <c r="B3327" s="4" t="str">
        <f>IFERROR(__xludf.DUMMYFUNCTION("GOOGLETRANSLATE(A3327, ""en"", ""te"")"),"నెయ్యి")</f>
        <v>నెయ్యి</v>
      </c>
      <c r="C3327" s="4" t="str">
        <f>IFERROR(__xludf.DUMMYFUNCTION("GOOGLETRANSLATE(A3327, ""en"", ""hi"")"),"घी")</f>
        <v>घी</v>
      </c>
      <c r="D3327" s="2" t="s">
        <v>8871</v>
      </c>
      <c r="E3327" s="2" t="s">
        <v>54</v>
      </c>
      <c r="F3327" s="1">
        <v>6.0</v>
      </c>
      <c r="G3327" s="3" t="s">
        <v>5421</v>
      </c>
    </row>
    <row r="3328">
      <c r="A3328" s="3" t="s">
        <v>9005</v>
      </c>
      <c r="B3328" s="4" t="str">
        <f>IFERROR(__xludf.DUMMYFUNCTION("GOOGLETRANSLATE(A3328, ""en"", ""te"")"),"దీప్ గులాబ్ జామున్")</f>
        <v>దీప్ గులాబ్ జామున్</v>
      </c>
      <c r="C3328" s="4" t="str">
        <f>IFERROR(__xludf.DUMMYFUNCTION("GOOGLETRANSLATE(A3328, ""en"", ""hi"")"),"दीप गुलाब जामुन")</f>
        <v>दीप गुलाब जामुन</v>
      </c>
      <c r="D3328" s="5"/>
      <c r="E3328" s="2" t="s">
        <v>3438</v>
      </c>
      <c r="F3328" s="1">
        <v>6.0</v>
      </c>
      <c r="G3328" s="3" t="s">
        <v>5425</v>
      </c>
    </row>
    <row r="3329">
      <c r="A3329" s="3" t="s">
        <v>9006</v>
      </c>
      <c r="B3329" s="4" t="str">
        <f>IFERROR(__xludf.DUMMYFUNCTION("GOOGLETRANSLATE(A3329, ""en"", ""te"")"),"దీప్ రసగుల్లా")</f>
        <v>దీప్ రసగుల్లా</v>
      </c>
      <c r="C3329" s="4" t="str">
        <f>IFERROR(__xludf.DUMMYFUNCTION("GOOGLETRANSLATE(A3329, ""en"", ""hi"")"),"डीप रसगुल्ला")</f>
        <v>डीप रसगुल्ला</v>
      </c>
      <c r="D3329" s="5"/>
      <c r="E3329" s="2" t="s">
        <v>3438</v>
      </c>
      <c r="F3329" s="1">
        <v>6.0</v>
      </c>
      <c r="G3329" s="3" t="s">
        <v>5425</v>
      </c>
    </row>
    <row r="3330">
      <c r="A3330" s="3" t="s">
        <v>9007</v>
      </c>
      <c r="B3330" s="4" t="str">
        <f>IFERROR(__xludf.DUMMYFUNCTION("GOOGLETRANSLATE(A3330, ""en"", ""te"")"),"డీప్ అల్ఫోన్సో మామిడి గుజ్జు")</f>
        <v>డీప్ అల్ఫోన్సో మామిడి గుజ్జు</v>
      </c>
      <c r="C3330" s="4" t="str">
        <f>IFERROR(__xludf.DUMMYFUNCTION("GOOGLETRANSLATE(A3330, ""en"", ""hi"")"),"डीप अल्फोंसो आम का गूदा")</f>
        <v>डीप अल्फोंसो आम का गूदा</v>
      </c>
      <c r="D3330" s="2" t="s">
        <v>7004</v>
      </c>
      <c r="E3330" s="2" t="s">
        <v>7005</v>
      </c>
      <c r="F3330" s="1">
        <v>6.0</v>
      </c>
      <c r="G3330" s="3" t="s">
        <v>5425</v>
      </c>
    </row>
    <row r="3331">
      <c r="A3331" s="3" t="s">
        <v>9008</v>
      </c>
      <c r="B3331" s="4" t="str">
        <f>IFERROR(__xludf.DUMMYFUNCTION("GOOGLETRANSLATE(A3331, ""en"", ""te"")"),"డీప్ ఘీ")</f>
        <v>డీప్ ఘీ</v>
      </c>
      <c r="C3331" s="4" t="str">
        <f>IFERROR(__xludf.DUMMYFUNCTION("GOOGLETRANSLATE(A3331, ""en"", ""hi"")"),"डीप घी")</f>
        <v>डीप घी</v>
      </c>
      <c r="D3331" s="5"/>
      <c r="E3331" s="2" t="s">
        <v>54</v>
      </c>
      <c r="F3331" s="1">
        <v>6.0</v>
      </c>
      <c r="G3331" s="3" t="s">
        <v>5425</v>
      </c>
    </row>
    <row r="3332">
      <c r="A3332" s="3" t="s">
        <v>9009</v>
      </c>
      <c r="B3332" s="4" t="str">
        <f>IFERROR(__xludf.DUMMYFUNCTION("GOOGLETRANSLATE(A3332, ""en"", ""te"")"),"ఆలా ఫ్రైడ్ ఆనియన్")</f>
        <v>ఆలా ఫ్రైడ్ ఆనియన్</v>
      </c>
      <c r="C3332" s="4" t="str">
        <f>IFERROR(__xludf.DUMMYFUNCTION("GOOGLETRANSLATE(A3332, ""en"", ""hi"")"),"आला फ्राइड प्याज")</f>
        <v>आला फ्राइड प्याज</v>
      </c>
      <c r="D3332" s="2" t="s">
        <v>8980</v>
      </c>
      <c r="E3332" s="2" t="s">
        <v>2700</v>
      </c>
      <c r="F3332" s="1">
        <v>6.0</v>
      </c>
      <c r="G3332" s="3" t="s">
        <v>5428</v>
      </c>
    </row>
    <row r="3333">
      <c r="A3333" s="3" t="s">
        <v>8979</v>
      </c>
      <c r="B3333" s="4" t="str">
        <f>IFERROR(__xludf.DUMMYFUNCTION("GOOGLETRANSLATE(A3333, ""en"", ""te"")"),"జింక వేయించిన ఉల్లిపాయ")</f>
        <v>జింక వేయించిన ఉల్లిపాయ</v>
      </c>
      <c r="C3333" s="4" t="str">
        <f>IFERROR(__xludf.DUMMYFUNCTION("GOOGLETRANSLATE(A3333, ""en"", ""hi"")"),"हिरण का तला हुआ प्याज")</f>
        <v>हिरण का तला हुआ प्याज</v>
      </c>
      <c r="D3333" s="2" t="s">
        <v>8980</v>
      </c>
      <c r="E3333" s="2" t="s">
        <v>2700</v>
      </c>
      <c r="F3333" s="1">
        <v>6.0</v>
      </c>
      <c r="G3333" s="3" t="s">
        <v>5428</v>
      </c>
    </row>
    <row r="3334">
      <c r="A3334" s="3" t="s">
        <v>9010</v>
      </c>
      <c r="B3334" s="4" t="str">
        <f>IFERROR(__xludf.DUMMYFUNCTION("GOOGLETRANSLATE(A3334, ""en"", ""te"")"),"స్వాద్ ఓట్స్ మామ్రా")</f>
        <v>స్వాద్ ఓట్స్ మామ్రా</v>
      </c>
      <c r="C3334" s="4" t="str">
        <f>IFERROR(__xludf.DUMMYFUNCTION("GOOGLETRANSLATE(A3334, ""en"", ""hi"")"),"स्वाद ओट्स ममरा")</f>
        <v>स्वाद ओट्स ममरा</v>
      </c>
      <c r="D3334" s="2" t="s">
        <v>7551</v>
      </c>
      <c r="E3334" s="2" t="s">
        <v>67</v>
      </c>
      <c r="F3334" s="1">
        <v>6.0</v>
      </c>
      <c r="G3334" s="3" t="s">
        <v>5432</v>
      </c>
    </row>
    <row r="3335">
      <c r="A3335" s="3" t="s">
        <v>9011</v>
      </c>
      <c r="B3335" s="4" t="str">
        <f>IFERROR(__xludf.DUMMYFUNCTION("GOOGLETRANSLATE(A3335, ""en"", ""te"")"),"శుద్ధ తెలుగు మరమరాలు")</f>
        <v>శుద్ధ తెలుగు మరమరాలు</v>
      </c>
      <c r="C3335" s="4" t="str">
        <f>IFERROR(__xludf.DUMMYFUNCTION("GOOGLETRANSLATE(A3335, ""en"", ""hi"")"),"शुद्ध तेलुगु मुरमुरे")</f>
        <v>शुद्ध तेलुगु मुरमुरे</v>
      </c>
      <c r="D3335" s="2" t="s">
        <v>12</v>
      </c>
      <c r="E3335" s="2" t="s">
        <v>9</v>
      </c>
      <c r="F3335" s="1">
        <v>6.0</v>
      </c>
      <c r="G3335" s="3" t="s">
        <v>5445</v>
      </c>
    </row>
    <row r="3336">
      <c r="A3336" s="3" t="s">
        <v>9012</v>
      </c>
      <c r="B3336" s="4" t="str">
        <f>IFERROR(__xludf.DUMMYFUNCTION("GOOGLETRANSLATE(A3336, ""en"", ""te"")"),"సూపర్ షైన్ సుపీరియర్ ప్రెషర్ కుక్కర్")</f>
        <v>సూపర్ షైన్ సుపీరియర్ ప్రెషర్ కుక్కర్</v>
      </c>
      <c r="C3336" s="4" t="str">
        <f>IFERROR(__xludf.DUMMYFUNCTION("GOOGLETRANSLATE(A3336, ""en"", ""hi"")"),"सुपर शाइन सुपीरियर प्रेशर कुकर")</f>
        <v>सुपर शाइन सुपीरियर प्रेशर कुकर</v>
      </c>
      <c r="D3336" s="5"/>
      <c r="E3336" s="2" t="s">
        <v>327</v>
      </c>
      <c r="F3336" s="1">
        <v>6.0</v>
      </c>
      <c r="G3336" s="3" t="s">
        <v>2269</v>
      </c>
    </row>
    <row r="3337">
      <c r="A3337" s="3" t="s">
        <v>8886</v>
      </c>
      <c r="B3337" s="4" t="str">
        <f>IFERROR(__xludf.DUMMYFUNCTION("GOOGLETRANSLATE(A3337, ""en"", ""te"")"),"సూపర్ షైన్ స్టెయిన్‌లెస్ స్టీల్ ఇడ్లీ కుక్కర్")</f>
        <v>సూపర్ షైన్ స్టెయిన్‌లెస్ స్టీల్ ఇడ్లీ కుక్కర్</v>
      </c>
      <c r="C3337" s="4" t="str">
        <f>IFERROR(__xludf.DUMMYFUNCTION("GOOGLETRANSLATE(A3337, ""en"", ""hi"")"),"सुपर शाइन स्टेनलेस स्टील इडली कुकर")</f>
        <v>सुपर शाइन स्टेनलेस स्टील इडली कुकर</v>
      </c>
      <c r="D3337" s="5"/>
      <c r="E3337" s="2" t="s">
        <v>327</v>
      </c>
      <c r="F3337" s="1">
        <v>6.0</v>
      </c>
      <c r="G3337" s="3" t="s">
        <v>2269</v>
      </c>
    </row>
    <row r="3338">
      <c r="A3338" s="3" t="s">
        <v>9013</v>
      </c>
      <c r="B3338" s="4" t="str">
        <f>IFERROR(__xludf.DUMMYFUNCTION("GOOGLETRANSLATE(A3338, ""en"", ""te"")"),"అల్ట్రా గ్రైండ్ గోల్డ్ వెట్ గ్రైండర్")</f>
        <v>అల్ట్రా గ్రైండ్ గోల్డ్ వెట్ గ్రైండర్</v>
      </c>
      <c r="C3338" s="4" t="str">
        <f>IFERROR(__xludf.DUMMYFUNCTION("GOOGLETRANSLATE(A3338, ""en"", ""hi"")"),"अल्ट्रा ग्राइंड गोल्ड वेट ग्राइंडर")</f>
        <v>अल्ट्रा ग्राइंड गोल्ड वेट ग्राइंडर</v>
      </c>
      <c r="D3338" s="5"/>
      <c r="E3338" s="2" t="s">
        <v>327</v>
      </c>
      <c r="F3338" s="1">
        <v>6.0</v>
      </c>
      <c r="G3338" s="3" t="s">
        <v>8276</v>
      </c>
    </row>
    <row r="3339">
      <c r="A3339" s="3" t="s">
        <v>9014</v>
      </c>
      <c r="B3339" s="4" t="str">
        <f>IFERROR(__xludf.DUMMYFUNCTION("GOOGLETRANSLATE(A3339, ""en"", ""te"")"),"నానక్ దేశీ నెయ్యి")</f>
        <v>నానక్ దేశీ నెయ్యి</v>
      </c>
      <c r="C3339" s="4" t="str">
        <f>IFERROR(__xludf.DUMMYFUNCTION("GOOGLETRANSLATE(A3339, ""en"", ""hi"")"),"नानक देसी घी")</f>
        <v>नानक देसी घी</v>
      </c>
      <c r="D3339" s="2" t="s">
        <v>8871</v>
      </c>
      <c r="E3339" s="2" t="s">
        <v>54</v>
      </c>
      <c r="F3339" s="1">
        <v>6.0</v>
      </c>
      <c r="G3339" s="3" t="s">
        <v>5421</v>
      </c>
    </row>
    <row r="3340">
      <c r="A3340" s="3" t="s">
        <v>9015</v>
      </c>
      <c r="B3340" s="4" t="str">
        <f>IFERROR(__xludf.DUMMYFUNCTION("GOOGLETRANSLATE(A3340, ""en"", ""te"")"),"లక్ష్మి నెయ్యి")</f>
        <v>లక్ష్మి నెయ్యి</v>
      </c>
      <c r="C3340" s="4" t="str">
        <f>IFERROR(__xludf.DUMMYFUNCTION("GOOGLETRANSLATE(A3340, ""en"", ""hi"")"),"लक्ष्मी घी")</f>
        <v>लक्ष्मी घी</v>
      </c>
      <c r="D3340" s="2" t="s">
        <v>8871</v>
      </c>
      <c r="E3340" s="2" t="s">
        <v>54</v>
      </c>
      <c r="F3340" s="1">
        <v>6.0</v>
      </c>
      <c r="G3340" s="3" t="s">
        <v>5421</v>
      </c>
    </row>
    <row r="3341">
      <c r="A3341" s="3" t="s">
        <v>9016</v>
      </c>
      <c r="B3341" s="4" t="str">
        <f>IFERROR(__xludf.DUMMYFUNCTION("GOOGLETRANSLATE(A3341, ""en"", ""te"")"),"హల్దీరామ్ గులాబ్ జామున్")</f>
        <v>హల్దీరామ్ గులాబ్ జామున్</v>
      </c>
      <c r="C3341" s="4" t="str">
        <f>IFERROR(__xludf.DUMMYFUNCTION("GOOGLETRANSLATE(A3341, ""en"", ""hi"")"),"हल्दीराम का गुलाब जामुन")</f>
        <v>हल्दीराम का गुलाब जामुन</v>
      </c>
      <c r="D3341" s="5"/>
      <c r="E3341" s="2" t="s">
        <v>3438</v>
      </c>
      <c r="F3341" s="1">
        <v>6.0</v>
      </c>
      <c r="G3341" s="3" t="s">
        <v>5425</v>
      </c>
    </row>
    <row r="3342">
      <c r="A3342" s="3" t="s">
        <v>9017</v>
      </c>
      <c r="B3342" s="4" t="str">
        <f>IFERROR(__xludf.DUMMYFUNCTION("GOOGLETRANSLATE(A3342, ""en"", ""te"")"),"హల్దీరామ్ రసగుల్లా")</f>
        <v>హల్దీరామ్ రసగుల్లా</v>
      </c>
      <c r="C3342" s="4" t="str">
        <f>IFERROR(__xludf.DUMMYFUNCTION("GOOGLETRANSLATE(A3342, ""en"", ""hi"")"),"हल्दीराम का रसगुल्ला")</f>
        <v>हल्दीराम का रसगुल्ला</v>
      </c>
      <c r="D3342" s="5"/>
      <c r="E3342" s="2" t="s">
        <v>3438</v>
      </c>
      <c r="F3342" s="1">
        <v>6.0</v>
      </c>
      <c r="G3342" s="3" t="s">
        <v>5425</v>
      </c>
    </row>
    <row r="3343">
      <c r="A3343" s="3" t="s">
        <v>9018</v>
      </c>
      <c r="B3343" s="4" t="str">
        <f>IFERROR(__xludf.DUMMYFUNCTION("GOOGLETRANSLATE(A3343, ""en"", ""te"")"),"డీప్ ఫ్రైడ్ ఉల్లిపాయలు")</f>
        <v>డీప్ ఫ్రైడ్ ఉల్లిపాయలు</v>
      </c>
      <c r="C3343" s="4" t="str">
        <f>IFERROR(__xludf.DUMMYFUNCTION("GOOGLETRANSLATE(A3343, ""en"", ""hi"")"),"तले हुए प्याज")</f>
        <v>तले हुए प्याज</v>
      </c>
      <c r="D3343" s="2" t="s">
        <v>3445</v>
      </c>
      <c r="E3343" s="2" t="s">
        <v>1294</v>
      </c>
      <c r="F3343" s="1">
        <v>6.0</v>
      </c>
      <c r="G3343" s="3" t="s">
        <v>5428</v>
      </c>
    </row>
    <row r="3344">
      <c r="A3344" s="3" t="s">
        <v>9019</v>
      </c>
      <c r="B3344" s="4" t="str">
        <f>IFERROR(__xludf.DUMMYFUNCTION("GOOGLETRANSLATE(A3344, ""en"", ""te"")"),"ప్రెస్టీజ్ డీలక్స్ ప్రెషర్ కుక్కర్")</f>
        <v>ప్రెస్టీజ్ డీలక్స్ ప్రెషర్ కుక్కర్</v>
      </c>
      <c r="C3344" s="4" t="str">
        <f>IFERROR(__xludf.DUMMYFUNCTION("GOOGLETRANSLATE(A3344, ""en"", ""hi"")"),"प्रेस्टीज डीलक्स प्रेशर कुकर")</f>
        <v>प्रेस्टीज डीलक्स प्रेशर कुकर</v>
      </c>
      <c r="D3344" s="5"/>
      <c r="E3344" s="2" t="s">
        <v>327</v>
      </c>
      <c r="F3344" s="1">
        <v>6.0</v>
      </c>
      <c r="G3344" s="3" t="s">
        <v>7521</v>
      </c>
    </row>
    <row r="3345">
      <c r="A3345" s="3" t="s">
        <v>8964</v>
      </c>
      <c r="B3345" s="4" t="str">
        <f>IFERROR(__xludf.DUMMYFUNCTION("GOOGLETRANSLATE(A3345, ""en"", ""te"")"),"సూపర్ షైన్ అల్యూమినియం ప్రెషర్ కుక్కర్")</f>
        <v>సూపర్ షైన్ అల్యూమినియం ప్రెషర్ కుక్కర్</v>
      </c>
      <c r="C3345" s="4" t="str">
        <f>IFERROR(__xludf.DUMMYFUNCTION("GOOGLETRANSLATE(A3345, ""en"", ""hi"")"),"सुपर शाइन एल्युमिनियम प्रेशर कुकर")</f>
        <v>सुपर शाइन एल्युमिनियम प्रेशर कुकर</v>
      </c>
      <c r="D3345" s="5"/>
      <c r="E3345" s="2" t="s">
        <v>327</v>
      </c>
      <c r="F3345" s="1">
        <v>6.0</v>
      </c>
      <c r="G3345" s="3" t="s">
        <v>7521</v>
      </c>
    </row>
    <row r="3346">
      <c r="A3346" s="3" t="s">
        <v>9020</v>
      </c>
      <c r="B3346" s="4" t="str">
        <f>IFERROR(__xludf.DUMMYFUNCTION("GOOGLETRANSLATE(A3346, ""en"", ""te"")"),"ప్రెస్టీజ్ ప్రెషర్ కుక్కర్")</f>
        <v>ప్రెస్టీజ్ ప్రెషర్ కుక్కర్</v>
      </c>
      <c r="C3346" s="4" t="str">
        <f>IFERROR(__xludf.DUMMYFUNCTION("GOOGLETRANSLATE(A3346, ""en"", ""hi"")"),"प्रेस्टीज प्रेशर कुकर")</f>
        <v>प्रेस्टीज प्रेशर कुकर</v>
      </c>
      <c r="D3346" s="5"/>
      <c r="E3346" s="2" t="s">
        <v>327</v>
      </c>
      <c r="F3346" s="1">
        <v>6.0</v>
      </c>
      <c r="G3346" s="3" t="s">
        <v>7521</v>
      </c>
    </row>
    <row r="3347">
      <c r="A3347" s="3" t="s">
        <v>8886</v>
      </c>
      <c r="B3347" s="4" t="str">
        <f>IFERROR(__xludf.DUMMYFUNCTION("GOOGLETRANSLATE(A3347, ""en"", ""te"")"),"సూపర్ షైన్ స్టెయిన్‌లెస్ స్టీల్ ఇడ్లీ కుక్కర్")</f>
        <v>సూపర్ షైన్ స్టెయిన్‌లెస్ స్టీల్ ఇడ్లీ కుక్కర్</v>
      </c>
      <c r="C3347" s="4" t="str">
        <f>IFERROR(__xludf.DUMMYFUNCTION("GOOGLETRANSLATE(A3347, ""en"", ""hi"")"),"सुपर शाइन स्टेनलेस स्टील इडली कुकर")</f>
        <v>सुपर शाइन स्टेनलेस स्टील इडली कुकर</v>
      </c>
      <c r="D3347" s="5"/>
      <c r="E3347" s="2" t="s">
        <v>327</v>
      </c>
      <c r="F3347" s="1">
        <v>6.0</v>
      </c>
      <c r="G3347" s="3" t="s">
        <v>7521</v>
      </c>
    </row>
    <row r="3348">
      <c r="A3348" s="3" t="s">
        <v>1942</v>
      </c>
      <c r="B3348" s="4" t="str">
        <f>IFERROR(__xludf.DUMMYFUNCTION("GOOGLETRANSLATE(A3348, ""en"", ""te"")"),"నెయ్యి")</f>
        <v>నెయ్యి</v>
      </c>
      <c r="C3348" s="4" t="str">
        <f>IFERROR(__xludf.DUMMYFUNCTION("GOOGLETRANSLATE(A3348, ""en"", ""hi"")"),"घी")</f>
        <v>घी</v>
      </c>
      <c r="D3348" s="2" t="s">
        <v>8871</v>
      </c>
      <c r="E3348" s="2" t="s">
        <v>54</v>
      </c>
      <c r="F3348" s="1">
        <v>6.0</v>
      </c>
      <c r="G3348" s="3" t="s">
        <v>5746</v>
      </c>
    </row>
    <row r="3349">
      <c r="A3349" s="3" t="s">
        <v>9021</v>
      </c>
      <c r="B3349" s="4" t="str">
        <f>IFERROR(__xludf.DUMMYFUNCTION("GOOGLETRANSLATE(A3349, ""en"", ""te"")"),"స్వద్ నెయ్యి")</f>
        <v>స్వద్ నెయ్యి</v>
      </c>
      <c r="C3349" s="4" t="str">
        <f>IFERROR(__xludf.DUMMYFUNCTION("GOOGLETRANSLATE(A3349, ""en"", ""hi"")"),"स्वाद घी")</f>
        <v>स्वाद घी</v>
      </c>
      <c r="D3349" s="5"/>
      <c r="E3349" s="2" t="s">
        <v>54</v>
      </c>
      <c r="F3349" s="1">
        <v>6.0</v>
      </c>
      <c r="G3349" s="3" t="s">
        <v>5746</v>
      </c>
    </row>
    <row r="3350">
      <c r="A3350" s="3" t="s">
        <v>8982</v>
      </c>
      <c r="B3350" s="4" t="str">
        <f>IFERROR(__xludf.DUMMYFUNCTION("GOOGLETRANSLATE(A3350, ""en"", ""te"")"),"అముల్ నెయ్యి")</f>
        <v>అముల్ నెయ్యి</v>
      </c>
      <c r="C3350" s="4" t="str">
        <f>IFERROR(__xludf.DUMMYFUNCTION("GOOGLETRANSLATE(A3350, ""en"", ""hi"")"),"अमूल घी")</f>
        <v>अमूल घी</v>
      </c>
      <c r="D3350" s="2" t="s">
        <v>8871</v>
      </c>
      <c r="E3350" s="2" t="s">
        <v>54</v>
      </c>
      <c r="F3350" s="1">
        <v>6.0</v>
      </c>
      <c r="G3350" s="3" t="s">
        <v>5746</v>
      </c>
    </row>
    <row r="3351">
      <c r="A3351" s="3" t="s">
        <v>9022</v>
      </c>
      <c r="B3351" s="4" t="str">
        <f>IFERROR(__xludf.DUMMYFUNCTION("GOOGLETRANSLATE(A3351, ""en"", ""te"")"),"గులాబ్ జామున్")</f>
        <v>గులాబ్ జామున్</v>
      </c>
      <c r="C3351" s="4" t="str">
        <f>IFERROR(__xludf.DUMMYFUNCTION("GOOGLETRANSLATE(A3351, ""en"", ""hi"")"),"गुलाब जामुन")</f>
        <v>गुलाब जामुन</v>
      </c>
      <c r="D3351" s="5"/>
      <c r="E3351" s="2" t="s">
        <v>3438</v>
      </c>
      <c r="F3351" s="1">
        <v>6.0</v>
      </c>
      <c r="G3351" s="3" t="s">
        <v>5752</v>
      </c>
    </row>
    <row r="3352">
      <c r="A3352" s="3" t="s">
        <v>9023</v>
      </c>
      <c r="B3352" s="4" t="str">
        <f>IFERROR(__xludf.DUMMYFUNCTION("GOOGLETRANSLATE(A3352, ""en"", ""te"")"),"అముల్ గులాబ్ జామున్")</f>
        <v>అముల్ గులాబ్ జామున్</v>
      </c>
      <c r="C3352" s="4" t="str">
        <f>IFERROR(__xludf.DUMMYFUNCTION("GOOGLETRANSLATE(A3352, ""en"", ""hi"")"),"अमूल गुलाब जामुन")</f>
        <v>अमूल गुलाब जामुन</v>
      </c>
      <c r="D3352" s="5"/>
      <c r="E3352" s="2" t="s">
        <v>3438</v>
      </c>
      <c r="F3352" s="1">
        <v>6.0</v>
      </c>
      <c r="G3352" s="3" t="s">
        <v>5752</v>
      </c>
    </row>
    <row r="3353">
      <c r="A3353" s="3" t="s">
        <v>9024</v>
      </c>
      <c r="B3353" s="4" t="str">
        <f>IFERROR(__xludf.DUMMYFUNCTION("GOOGLETRANSLATE(A3353, ""en"", ""te"")"),"రసగుల్లా")</f>
        <v>రసగుల్లా</v>
      </c>
      <c r="C3353" s="4" t="str">
        <f>IFERROR(__xludf.DUMMYFUNCTION("GOOGLETRANSLATE(A3353, ""en"", ""hi"")"),"रसगुल्ला")</f>
        <v>रसगुल्ला</v>
      </c>
      <c r="D3353" s="5"/>
      <c r="E3353" s="2" t="s">
        <v>3438</v>
      </c>
      <c r="F3353" s="1">
        <v>6.0</v>
      </c>
      <c r="G3353" s="3" t="s">
        <v>5752</v>
      </c>
    </row>
    <row r="3354">
      <c r="A3354" s="3" t="s">
        <v>9025</v>
      </c>
      <c r="B3354" s="4" t="str">
        <f>IFERROR(__xludf.DUMMYFUNCTION("GOOGLETRANSLATE(A3354, ""en"", ""te"")"),"ఆర్‌ఎఫ్‌పి మురి")</f>
        <v>ఆర్‌ఎఫ్‌పి మురి</v>
      </c>
      <c r="C3354" s="4" t="str">
        <f>IFERROR(__xludf.DUMMYFUNCTION("GOOGLETRANSLATE(A3354, ""en"", ""hi"")"),"आरएफपी मुरी")</f>
        <v>आरएफपी मुरी</v>
      </c>
      <c r="D3354" s="5"/>
      <c r="E3354" s="2" t="s">
        <v>1294</v>
      </c>
      <c r="F3354" s="1">
        <v>6.0</v>
      </c>
      <c r="G3354" s="3" t="s">
        <v>5756</v>
      </c>
    </row>
    <row r="3355">
      <c r="A3355" s="3" t="s">
        <v>9026</v>
      </c>
      <c r="B3355" s="4" t="str">
        <f>IFERROR(__xludf.DUMMYFUNCTION("GOOGLETRANSLATE(A3355, ""en"", ""te"")"),"అమ్మ వంటకం వేయించిన ఉల్లిపాయలు")</f>
        <v>అమ్మ వంటకం వేయించిన ఉల్లిపాయలు</v>
      </c>
      <c r="C3355" s="4" t="str">
        <f>IFERROR(__xludf.DUMMYFUNCTION("GOOGLETRANSLATE(A3355, ""en"", ""hi"")"),"माँ की रेसिपी से बने तले हुए प्याज")</f>
        <v>माँ की रेसिपी से बने तले हुए प्याज</v>
      </c>
      <c r="D3355" s="2" t="s">
        <v>3445</v>
      </c>
      <c r="E3355" s="2" t="s">
        <v>2700</v>
      </c>
      <c r="F3355" s="1">
        <v>6.0</v>
      </c>
      <c r="G3355" s="3" t="s">
        <v>5756</v>
      </c>
    </row>
    <row r="3356">
      <c r="A3356" s="3" t="s">
        <v>9027</v>
      </c>
      <c r="B3356" s="4" t="str">
        <f>IFERROR(__xludf.DUMMYFUNCTION("GOOGLETRANSLATE(A3356, ""en"", ""te"")"),"లక్ష్మి వేయించిన ఉల్లిపాయలు")</f>
        <v>లక్ష్మి వేయించిన ఉల్లిపాయలు</v>
      </c>
      <c r="C3356" s="4" t="str">
        <f>IFERROR(__xludf.DUMMYFUNCTION("GOOGLETRANSLATE(A3356, ""en"", ""hi"")"),"लक्ष्मी तले हुए प्याज")</f>
        <v>लक्ष्मी तले हुए प्याज</v>
      </c>
      <c r="D3356" s="2" t="s">
        <v>3445</v>
      </c>
      <c r="E3356" s="2" t="s">
        <v>2700</v>
      </c>
      <c r="F3356" s="1">
        <v>6.0</v>
      </c>
      <c r="G3356" s="3" t="s">
        <v>5756</v>
      </c>
    </row>
    <row r="3357">
      <c r="A3357" s="3" t="s">
        <v>9018</v>
      </c>
      <c r="B3357" s="4" t="str">
        <f>IFERROR(__xludf.DUMMYFUNCTION("GOOGLETRANSLATE(A3357, ""en"", ""te"")"),"డీప్ ఫ్రైడ్ ఉల్లిపాయలు")</f>
        <v>డీప్ ఫ్రైడ్ ఉల్లిపాయలు</v>
      </c>
      <c r="C3357" s="4" t="str">
        <f>IFERROR(__xludf.DUMMYFUNCTION("GOOGLETRANSLATE(A3357, ""en"", ""hi"")"),"तले हुए प्याज")</f>
        <v>तले हुए प्याज</v>
      </c>
      <c r="D3357" s="2" t="s">
        <v>3445</v>
      </c>
      <c r="E3357" s="2" t="s">
        <v>1294</v>
      </c>
      <c r="F3357" s="1">
        <v>6.0</v>
      </c>
      <c r="G3357" s="3" t="s">
        <v>5756</v>
      </c>
    </row>
    <row r="3358">
      <c r="A3358" s="3" t="s">
        <v>9028</v>
      </c>
      <c r="B3358" s="4" t="str">
        <f>IFERROR(__xludf.DUMMYFUNCTION("GOOGLETRANSLATE(A3358, ""en"", ""te"")"),"ఆరా వేయించిన ఉల్లిపాయలు")</f>
        <v>ఆరా వేయించిన ఉల్లిపాయలు</v>
      </c>
      <c r="C3358" s="4" t="str">
        <f>IFERROR(__xludf.DUMMYFUNCTION("GOOGLETRANSLATE(A3358, ""en"", ""hi"")"),"आरा तले हुए प्याज")</f>
        <v>आरा तले हुए प्याज</v>
      </c>
      <c r="D3358" s="2" t="s">
        <v>3445</v>
      </c>
      <c r="E3358" s="2" t="s">
        <v>2700</v>
      </c>
      <c r="F3358" s="1">
        <v>6.0</v>
      </c>
      <c r="G3358" s="3" t="s">
        <v>5756</v>
      </c>
    </row>
    <row r="3359">
      <c r="A3359" s="3" t="s">
        <v>9029</v>
      </c>
      <c r="B3359" s="4" t="str">
        <f>IFERROR(__xludf.DUMMYFUNCTION("GOOGLETRANSLATE(A3359, ""en"", ""te"")"),"జొన్న ధాని")</f>
        <v>జొన్న ధాని</v>
      </c>
      <c r="C3359" s="4" t="str">
        <f>IFERROR(__xludf.DUMMYFUNCTION("GOOGLETRANSLATE(A3359, ""en"", ""hi"")"),"ज्वार धानी")</f>
        <v>ज्वार धानी</v>
      </c>
      <c r="D3359" s="5"/>
      <c r="E3359" s="2" t="s">
        <v>2649</v>
      </c>
      <c r="F3359" s="1">
        <v>6.0</v>
      </c>
      <c r="G3359" s="3" t="s">
        <v>5761</v>
      </c>
    </row>
    <row r="3360">
      <c r="A3360" s="3" t="s">
        <v>9030</v>
      </c>
      <c r="B3360" s="4" t="str">
        <f>IFERROR(__xludf.DUMMYFUNCTION("GOOGLETRANSLATE(A3360, ""en"", ""te"")"),"ఓట్స్ మామ్రా")</f>
        <v>ఓట్స్ మామ్రా</v>
      </c>
      <c r="C3360" s="4" t="str">
        <f>IFERROR(__xludf.DUMMYFUNCTION("GOOGLETRANSLATE(A3360, ""en"", ""hi"")"),"जई ममरा")</f>
        <v>जई ममरा</v>
      </c>
      <c r="D3360" s="2" t="s">
        <v>9031</v>
      </c>
      <c r="E3360" s="2" t="s">
        <v>67</v>
      </c>
      <c r="F3360" s="1">
        <v>6.0</v>
      </c>
      <c r="G3360" s="3" t="s">
        <v>5761</v>
      </c>
    </row>
    <row r="3361">
      <c r="A3361" s="3" t="s">
        <v>8998</v>
      </c>
      <c r="B3361" s="4" t="str">
        <f>IFERROR(__xludf.DUMMYFUNCTION("GOOGLETRANSLATE(A3361, ""en"", ""te"")"),"స్వద్ ఖీల్ మామ్రా")</f>
        <v>స్వద్ ఖీల్ మామ్రా</v>
      </c>
      <c r="C3361" s="4" t="str">
        <f>IFERROR(__xludf.DUMMYFUNCTION("GOOGLETRANSLATE(A3361, ""en"", ""hi"")"),"स्वाद खेल ममरा")</f>
        <v>स्वाद खेल ममरा</v>
      </c>
      <c r="D3361" s="5"/>
      <c r="E3361" s="2" t="s">
        <v>1294</v>
      </c>
      <c r="F3361" s="1">
        <v>6.0</v>
      </c>
      <c r="G3361" s="3" t="s">
        <v>5761</v>
      </c>
    </row>
    <row r="3362">
      <c r="A3362" s="3" t="s">
        <v>9032</v>
      </c>
      <c r="B3362" s="4" t="str">
        <f>IFERROR(__xludf.DUMMYFUNCTION("GOOGLETRANSLATE(A3362, ""en"", ""te"")"),"డీప్ మైసూర్ ముర్మురా")</f>
        <v>డీప్ మైసూర్ ముర్మురా</v>
      </c>
      <c r="C3362" s="4" t="str">
        <f>IFERROR(__xludf.DUMMYFUNCTION("GOOGLETRANSLATE(A3362, ""en"", ""hi"")"),"दीप मैसूर मुरमुरा")</f>
        <v>दीप मैसूर मुरमुरा</v>
      </c>
      <c r="D3362" s="5"/>
      <c r="E3362" s="2" t="s">
        <v>1294</v>
      </c>
      <c r="F3362" s="1">
        <v>6.0</v>
      </c>
      <c r="G3362" s="3" t="s">
        <v>7462</v>
      </c>
    </row>
    <row r="3363">
      <c r="A3363" s="3" t="s">
        <v>8999</v>
      </c>
      <c r="B3363" s="4" t="str">
        <f>IFERROR(__xludf.DUMMYFUNCTION("GOOGLETRANSLATE(A3363, ""en"", ""te"")"),"లక్ష్మి మైసూర్ మామ్రా")</f>
        <v>లక్ష్మి మైసూర్ మామ్రా</v>
      </c>
      <c r="C3363" s="4" t="str">
        <f>IFERROR(__xludf.DUMMYFUNCTION("GOOGLETRANSLATE(A3363, ""en"", ""hi"")"),"लक्ष्मी मैसूर ममरा")</f>
        <v>लक्ष्मी मैसूर ममरा</v>
      </c>
      <c r="D3363" s="5"/>
      <c r="E3363" s="2" t="s">
        <v>1294</v>
      </c>
      <c r="F3363" s="1">
        <v>6.0</v>
      </c>
      <c r="G3363" s="3" t="s">
        <v>7462</v>
      </c>
    </row>
    <row r="3364">
      <c r="A3364" s="3" t="s">
        <v>9033</v>
      </c>
      <c r="B3364" s="4" t="str">
        <f>IFERROR(__xludf.DUMMYFUNCTION("GOOGLETRANSLATE(A3364, ""en"", ""te"")"),"ప్రెస్టీజ్ ఇడ్లీ కుక్కర్")</f>
        <v>ప్రెస్టీజ్ ఇడ్లీ కుక్కర్</v>
      </c>
      <c r="C3364" s="4" t="str">
        <f>IFERROR(__xludf.DUMMYFUNCTION("GOOGLETRANSLATE(A3364, ""en"", ""hi"")"),"प्रेस्टीज इडली कुकर")</f>
        <v>प्रेस्टीज इडली कुकर</v>
      </c>
      <c r="D3364" s="5"/>
      <c r="E3364" s="2" t="s">
        <v>327</v>
      </c>
      <c r="F3364" s="1">
        <v>6.0</v>
      </c>
      <c r="G3364" s="3" t="s">
        <v>7521</v>
      </c>
    </row>
    <row r="3365">
      <c r="A3365" s="3" t="s">
        <v>9034</v>
      </c>
      <c r="B3365" s="4" t="str">
        <f>IFERROR(__xludf.DUMMYFUNCTION("GOOGLETRANSLATE(A3365, ""en"", ""te"")"),"అముల్ రసగుల్లా")</f>
        <v>అముల్ రసగుల్లా</v>
      </c>
      <c r="C3365" s="4" t="str">
        <f>IFERROR(__xludf.DUMMYFUNCTION("GOOGLETRANSLATE(A3365, ""en"", ""hi"")"),"अमूल रसगुल्ला")</f>
        <v>अमूल रसगुल्ला</v>
      </c>
      <c r="D3365" s="5"/>
      <c r="E3365" s="2" t="s">
        <v>3438</v>
      </c>
      <c r="F3365" s="1">
        <v>6.0</v>
      </c>
      <c r="G3365" s="3" t="s">
        <v>5752</v>
      </c>
    </row>
    <row r="3366">
      <c r="A3366" s="3" t="s">
        <v>9035</v>
      </c>
      <c r="B3366" s="4" t="str">
        <f>IFERROR(__xludf.DUMMYFUNCTION("GOOGLETRANSLATE(A3366, ""en"", ""te"")"),"గిట్స్ గులాబ్ జామున్")</f>
        <v>గిట్స్ గులాబ్ జామున్</v>
      </c>
      <c r="C3366" s="4" t="str">
        <f>IFERROR(__xludf.DUMMYFUNCTION("GOOGLETRANSLATE(A3366, ""en"", ""hi"")"),"गिट्स गुलाब जामुन")</f>
        <v>गिट्स गुलाब जामुन</v>
      </c>
      <c r="D3366" s="5"/>
      <c r="E3366" s="2" t="s">
        <v>3438</v>
      </c>
      <c r="F3366" s="1">
        <v>6.0</v>
      </c>
      <c r="G3366" s="3" t="s">
        <v>5752</v>
      </c>
    </row>
    <row r="3367">
      <c r="A3367" s="3" t="s">
        <v>9016</v>
      </c>
      <c r="B3367" s="4" t="str">
        <f>IFERROR(__xludf.DUMMYFUNCTION("GOOGLETRANSLATE(A3367, ""en"", ""te"")"),"హల్దీరామ్ గులాబ్ జామున్")</f>
        <v>హల్దీరామ్ గులాబ్ జామున్</v>
      </c>
      <c r="C3367" s="4" t="str">
        <f>IFERROR(__xludf.DUMMYFUNCTION("GOOGLETRANSLATE(A3367, ""en"", ""hi"")"),"हल्दीराम का गुलाब जामुन")</f>
        <v>हल्दीराम का गुलाब जामुन</v>
      </c>
      <c r="D3367" s="5"/>
      <c r="E3367" s="2" t="s">
        <v>3438</v>
      </c>
      <c r="F3367" s="1">
        <v>6.0</v>
      </c>
      <c r="G3367" s="3" t="s">
        <v>5752</v>
      </c>
    </row>
    <row r="3368">
      <c r="A3368" s="3" t="s">
        <v>4826</v>
      </c>
      <c r="B3368" s="4" t="str">
        <f>IFERROR(__xludf.DUMMYFUNCTION("GOOGLETRANSLATE(A3368, ""en"", ""te"")"),"మురి")</f>
        <v>మురి</v>
      </c>
      <c r="C3368" s="4" t="str">
        <f>IFERROR(__xludf.DUMMYFUNCTION("GOOGLETRANSLATE(A3368, ""en"", ""hi"")"),"मूरी")</f>
        <v>मूरी</v>
      </c>
      <c r="D3368" s="5"/>
      <c r="E3368" s="2" t="s">
        <v>2700</v>
      </c>
      <c r="F3368" s="1">
        <v>6.0</v>
      </c>
      <c r="G3368" s="3" t="s">
        <v>5756</v>
      </c>
    </row>
    <row r="3369">
      <c r="A3369" s="3" t="s">
        <v>9036</v>
      </c>
      <c r="B3369" s="4" t="str">
        <f>IFERROR(__xludf.DUMMYFUNCTION("GOOGLETRANSLATE(A3369, ""en"", ""te"")"),"అమ్మ వేయించిన ఉల్లిపాయలు")</f>
        <v>అమ్మ వేయించిన ఉల్లిపాయలు</v>
      </c>
      <c r="C3369" s="4" t="str">
        <f>IFERROR(__xludf.DUMMYFUNCTION("GOOGLETRANSLATE(A3369, ""en"", ""hi"")"),"माँ के तले हुए प्याज")</f>
        <v>माँ के तले हुए प्याज</v>
      </c>
      <c r="D3369" s="2" t="s">
        <v>8980</v>
      </c>
      <c r="E3369" s="2" t="s">
        <v>2700</v>
      </c>
      <c r="F3369" s="1">
        <v>6.0</v>
      </c>
      <c r="G3369" s="3" t="s">
        <v>5756</v>
      </c>
    </row>
    <row r="3370">
      <c r="A3370" s="3" t="s">
        <v>9037</v>
      </c>
      <c r="B3370" s="4" t="str">
        <f>IFERROR(__xludf.DUMMYFUNCTION("GOOGLETRANSLATE(A3370, ""en"", ""te"")"),"రాఘవ్ జోవర్ ధని")</f>
        <v>రాఘవ్ జోవర్ ధని</v>
      </c>
      <c r="C3370" s="4" t="str">
        <f>IFERROR(__xludf.DUMMYFUNCTION("GOOGLETRANSLATE(A3370, ""en"", ""hi"")"),"राघव जोवर धानी")</f>
        <v>राघव जोवर धानी</v>
      </c>
      <c r="D3370" s="2" t="s">
        <v>440</v>
      </c>
      <c r="E3370" s="2" t="s">
        <v>2649</v>
      </c>
      <c r="F3370" s="1">
        <v>6.0</v>
      </c>
      <c r="G3370" s="3" t="s">
        <v>5761</v>
      </c>
    </row>
    <row r="3371">
      <c r="A3371" s="3" t="s">
        <v>9002</v>
      </c>
      <c r="B3371" s="4" t="str">
        <f>IFERROR(__xludf.DUMMYFUNCTION("GOOGLETRANSLATE(A3371, ""en"", ""te"")"),"మరమరాలు")</f>
        <v>మరమరాలు</v>
      </c>
      <c r="C3371" s="4" t="str">
        <f>IFERROR(__xludf.DUMMYFUNCTION("GOOGLETRANSLATE(A3371, ""en"", ""hi"")"),"फूला हुआ चावल")</f>
        <v>फूला हुआ चावल</v>
      </c>
      <c r="D3371" s="5"/>
      <c r="E3371" s="2" t="s">
        <v>2649</v>
      </c>
      <c r="F3371" s="1">
        <v>6.0</v>
      </c>
      <c r="G3371" s="3" t="s">
        <v>5761</v>
      </c>
    </row>
    <row r="3372">
      <c r="A3372" s="3" t="s">
        <v>9038</v>
      </c>
      <c r="B3372" s="4" t="str">
        <f>IFERROR(__xludf.DUMMYFUNCTION("GOOGLETRANSLATE(A3372, ""en"", ""te"")"),"మైసూరు ముర్మురా")</f>
        <v>మైసూరు ముర్మురా</v>
      </c>
      <c r="C3372" s="4" t="str">
        <f>IFERROR(__xludf.DUMMYFUNCTION("GOOGLETRANSLATE(A3372, ""en"", ""hi"")"),"मैसूर मुरमुरा")</f>
        <v>मैसूर मुरमुरा</v>
      </c>
      <c r="D3372" s="5"/>
      <c r="E3372" s="2" t="s">
        <v>2649</v>
      </c>
      <c r="F3372" s="1">
        <v>6.0</v>
      </c>
      <c r="G3372" s="3" t="s">
        <v>7462</v>
      </c>
    </row>
    <row r="3373">
      <c r="A3373" s="3" t="s">
        <v>9039</v>
      </c>
      <c r="B3373" s="4" t="str">
        <f>IFERROR(__xludf.DUMMYFUNCTION("GOOGLETRANSLATE(A3373, ""en"", ""te"")"),"బస్మతి మామ్రా")</f>
        <v>బస్మతి మామ్రా</v>
      </c>
      <c r="C3373" s="4" t="str">
        <f>IFERROR(__xludf.DUMMYFUNCTION("GOOGLETRANSLATE(A3373, ""en"", ""hi"")"),"बासमती ममरा")</f>
        <v>बासमती ममरा</v>
      </c>
      <c r="D3373" s="2" t="s">
        <v>5704</v>
      </c>
      <c r="E3373" s="2" t="s">
        <v>9</v>
      </c>
      <c r="F3373" s="1">
        <v>6.0</v>
      </c>
      <c r="G3373" s="3" t="s">
        <v>7462</v>
      </c>
    </row>
    <row r="3374">
      <c r="A3374" s="3" t="s">
        <v>9040</v>
      </c>
      <c r="B3374" s="4" t="str">
        <f>IFERROR(__xludf.DUMMYFUNCTION("GOOGLETRANSLATE(A3374, ""en"", ""te"")"),"లక్ష్మి థిక్ పోహా")</f>
        <v>లక్ష్మి థిక్ పోహా</v>
      </c>
      <c r="C3374" s="4" t="str">
        <f>IFERROR(__xludf.DUMMYFUNCTION("GOOGLETRANSLATE(A3374, ""en"", ""hi"")"),"लक्ष्मी थिक पोहा")</f>
        <v>लक्ष्मी थिक पोहा</v>
      </c>
      <c r="D3374" s="5"/>
      <c r="E3374" s="2" t="s">
        <v>2649</v>
      </c>
      <c r="F3374" s="1">
        <v>6.0</v>
      </c>
      <c r="G3374" s="3" t="s">
        <v>6087</v>
      </c>
    </row>
    <row r="3375">
      <c r="A3375" s="3" t="s">
        <v>9041</v>
      </c>
      <c r="B3375" s="4" t="str">
        <f>IFERROR(__xludf.DUMMYFUNCTION("GOOGLETRANSLATE(A3375, ""en"", ""te"")"),"సేంద్రీయ ఎర్ర పోహా")</f>
        <v>సేంద్రీయ ఎర్ర పోహా</v>
      </c>
      <c r="C3375" s="4" t="str">
        <f>IFERROR(__xludf.DUMMYFUNCTION("GOOGLETRANSLATE(A3375, ""en"", ""hi"")"),"ऑर्गेनिक रेड पोहा")</f>
        <v>ऑर्गेनिक रेड पोहा</v>
      </c>
      <c r="D3375" s="5"/>
      <c r="E3375" s="2" t="s">
        <v>2649</v>
      </c>
      <c r="F3375" s="1">
        <v>6.0</v>
      </c>
      <c r="G3375" s="3" t="s">
        <v>6087</v>
      </c>
    </row>
    <row r="3376">
      <c r="A3376" s="3" t="s">
        <v>9042</v>
      </c>
      <c r="B3376" s="4" t="str">
        <f>IFERROR(__xludf.DUMMYFUNCTION("GOOGLETRANSLATE(A3376, ""en"", ""te"")"),"రాఘవ్ పోహా")</f>
        <v>రాఘవ్ పోహా</v>
      </c>
      <c r="C3376" s="4" t="str">
        <f>IFERROR(__xludf.DUMMYFUNCTION("GOOGLETRANSLATE(A3376, ""en"", ""hi"")"),"राघव पोहा")</f>
        <v>राघव पोहा</v>
      </c>
      <c r="D3376" s="5"/>
      <c r="E3376" s="2" t="s">
        <v>2649</v>
      </c>
      <c r="F3376" s="1">
        <v>6.0</v>
      </c>
      <c r="G3376" s="3" t="s">
        <v>6087</v>
      </c>
    </row>
    <row r="3377">
      <c r="A3377" s="3" t="s">
        <v>6374</v>
      </c>
      <c r="B3377" s="4" t="str">
        <f>IFERROR(__xludf.DUMMYFUNCTION("GOOGLETRANSLATE(A3377, ""en"", ""te"")"),"స్వద్ పోహా")</f>
        <v>స్వద్ పోహా</v>
      </c>
      <c r="C3377" s="4" t="str">
        <f>IFERROR(__xludf.DUMMYFUNCTION("GOOGLETRANSLATE(A3377, ""en"", ""hi"")"),"स्वाद पोहा")</f>
        <v>स्वाद पोहा</v>
      </c>
      <c r="D3377" s="5"/>
      <c r="E3377" s="2" t="s">
        <v>2649</v>
      </c>
      <c r="F3377" s="1">
        <v>6.0</v>
      </c>
      <c r="G3377" s="3" t="s">
        <v>6090</v>
      </c>
    </row>
    <row r="3378">
      <c r="A3378" s="3" t="s">
        <v>9043</v>
      </c>
      <c r="B3378" s="4" t="str">
        <f>IFERROR(__xludf.DUMMYFUNCTION("GOOGLETRANSLATE(A3378, ""en"", ""te"")"),"పోహా థిన్")</f>
        <v>పోహా థిన్</v>
      </c>
      <c r="C3378" s="4" t="str">
        <f>IFERROR(__xludf.DUMMYFUNCTION("GOOGLETRANSLATE(A3378, ""en"", ""hi"")"),"पोहा पतला")</f>
        <v>पोहा पतला</v>
      </c>
      <c r="D3378" s="5"/>
      <c r="E3378" s="2" t="s">
        <v>2649</v>
      </c>
      <c r="F3378" s="1">
        <v>6.0</v>
      </c>
      <c r="G3378" s="3" t="s">
        <v>6090</v>
      </c>
    </row>
    <row r="3379">
      <c r="A3379" s="3" t="s">
        <v>9044</v>
      </c>
      <c r="B3379" s="4" t="str">
        <f>IFERROR(__xludf.DUMMYFUNCTION("GOOGLETRANSLATE(A3379, ""en"", ""te"")"),"తెలుగు పోహా మీడియం")</f>
        <v>తెలుగు పోహా మీడియం</v>
      </c>
      <c r="C3379" s="4" t="str">
        <f>IFERROR(__xludf.DUMMYFUNCTION("GOOGLETRANSLATE(A3379, ""en"", ""hi"")"),"तेलुगु पोहा मीडियम")</f>
        <v>तेलुगु पोहा मीडियम</v>
      </c>
      <c r="D3379" s="2" t="s">
        <v>1087</v>
      </c>
      <c r="E3379" s="2" t="s">
        <v>2649</v>
      </c>
      <c r="F3379" s="1">
        <v>6.0</v>
      </c>
      <c r="G3379" s="3" t="s">
        <v>6090</v>
      </c>
    </row>
    <row r="3380">
      <c r="A3380" s="3" t="s">
        <v>9045</v>
      </c>
      <c r="B3380" s="4" t="str">
        <f>IFERROR(__xludf.DUMMYFUNCTION("GOOGLETRANSLATE(A3380, ""en"", ""te"")"),"స్వాద్ రాగి పోహా")</f>
        <v>స్వాద్ రాగి పోహా</v>
      </c>
      <c r="C3380" s="4" t="str">
        <f>IFERROR(__xludf.DUMMYFUNCTION("GOOGLETRANSLATE(A3380, ""en"", ""hi"")"),"स्वाद रागी पोहा")</f>
        <v>स्वाद रागी पोहा</v>
      </c>
      <c r="D3380" s="5"/>
      <c r="E3380" s="2" t="s">
        <v>2649</v>
      </c>
      <c r="F3380" s="1">
        <v>6.0</v>
      </c>
      <c r="G3380" s="3" t="s">
        <v>6090</v>
      </c>
    </row>
    <row r="3381">
      <c r="A3381" s="3" t="s">
        <v>9046</v>
      </c>
      <c r="B3381" s="4" t="str">
        <f>IFERROR(__xludf.DUMMYFUNCTION("GOOGLETRANSLATE(A3381, ""en"", ""te"")"),"స్వాద్ కార్న్ పోహా")</f>
        <v>స్వాద్ కార్న్ పోహా</v>
      </c>
      <c r="C3381" s="4" t="str">
        <f>IFERROR(__xludf.DUMMYFUNCTION("GOOGLETRANSLATE(A3381, ""en"", ""hi"")"),"स्वाद कॉर्न पोहा")</f>
        <v>स्वाद कॉर्न पोहा</v>
      </c>
      <c r="D3381" s="2" t="s">
        <v>9047</v>
      </c>
      <c r="E3381" s="2" t="s">
        <v>2649</v>
      </c>
      <c r="F3381" s="1">
        <v>6.0</v>
      </c>
      <c r="G3381" s="3" t="s">
        <v>6090</v>
      </c>
    </row>
    <row r="3382">
      <c r="A3382" s="3" t="s">
        <v>9048</v>
      </c>
      <c r="B3382" s="4" t="str">
        <f>IFERROR(__xludf.DUMMYFUNCTION("GOOGLETRANSLATE(A3382, ""en"", ""te"")"),"దైవి పోహా థిన్")</f>
        <v>దైవి పోహా థిన్</v>
      </c>
      <c r="C3382" s="4" t="str">
        <f>IFERROR(__xludf.DUMMYFUNCTION("GOOGLETRANSLATE(A3382, ""en"", ""hi"")"),"दैवी पोहा थिन")</f>
        <v>दैवी पोहा थिन</v>
      </c>
      <c r="D3382" s="5"/>
      <c r="E3382" s="2" t="s">
        <v>2649</v>
      </c>
      <c r="F3382" s="1">
        <v>6.0</v>
      </c>
      <c r="G3382" s="3" t="s">
        <v>6090</v>
      </c>
    </row>
    <row r="3383">
      <c r="A3383" s="3" t="s">
        <v>9040</v>
      </c>
      <c r="B3383" s="4" t="str">
        <f>IFERROR(__xludf.DUMMYFUNCTION("GOOGLETRANSLATE(A3383, ""en"", ""te"")"),"లక్ష్మి థిక్ పోహా")</f>
        <v>లక్ష్మి థిక్ పోహా</v>
      </c>
      <c r="C3383" s="4" t="str">
        <f>IFERROR(__xludf.DUMMYFUNCTION("GOOGLETRANSLATE(A3383, ""en"", ""hi"")"),"लक्ष्मी थिक पोहा")</f>
        <v>लक्ष्मी थिक पोहा</v>
      </c>
      <c r="D3383" s="5"/>
      <c r="E3383" s="2" t="s">
        <v>2649</v>
      </c>
      <c r="F3383" s="1">
        <v>6.0</v>
      </c>
      <c r="G3383" s="3" t="s">
        <v>5854</v>
      </c>
    </row>
    <row r="3384">
      <c r="A3384" s="3" t="s">
        <v>5312</v>
      </c>
      <c r="B3384" s="4" t="str">
        <f>IFERROR(__xludf.DUMMYFUNCTION("GOOGLETRANSLATE(A3384, ""en"", ""te"")"),"ఫూల్ మఖానా")</f>
        <v>ఫూల్ మఖానా</v>
      </c>
      <c r="C3384" s="4" t="str">
        <f>IFERROR(__xludf.DUMMYFUNCTION("GOOGLETRANSLATE(A3384, ""en"", ""hi"")"),"फूल मखाना")</f>
        <v>फूल मखाना</v>
      </c>
      <c r="D3384" s="5"/>
      <c r="E3384" s="2" t="s">
        <v>2700</v>
      </c>
      <c r="F3384" s="1">
        <v>6.0</v>
      </c>
      <c r="G3384" s="3" t="s">
        <v>5859</v>
      </c>
    </row>
    <row r="3385">
      <c r="A3385" s="3" t="s">
        <v>9049</v>
      </c>
      <c r="B3385" s="4" t="str">
        <f>IFERROR(__xludf.DUMMYFUNCTION("GOOGLETRANSLATE(A3385, ""en"", ""te"")"),"దైవీ మఖానా")</f>
        <v>దైవీ మఖానా</v>
      </c>
      <c r="C3385" s="4" t="str">
        <f>IFERROR(__xludf.DUMMYFUNCTION("GOOGLETRANSLATE(A3385, ""en"", ""hi"")"),"दैवी मखाना")</f>
        <v>दैवी मखाना</v>
      </c>
      <c r="D3385" s="5"/>
      <c r="E3385" s="2" t="s">
        <v>2700</v>
      </c>
      <c r="F3385" s="1">
        <v>6.0</v>
      </c>
      <c r="G3385" s="3" t="s">
        <v>5859</v>
      </c>
    </row>
    <row r="3386">
      <c r="A3386" s="3" t="s">
        <v>9050</v>
      </c>
      <c r="B3386" s="4" t="str">
        <f>IFERROR(__xludf.DUMMYFUNCTION("GOOGLETRANSLATE(A3386, ""en"", ""te"")"),"ఫూల్ మఖానా (ఫాక్స్‌నట్స్)")</f>
        <v>ఫూల్ మఖానా (ఫాక్స్‌నట్స్)</v>
      </c>
      <c r="C3386" s="4" t="str">
        <f>IFERROR(__xludf.DUMMYFUNCTION("GOOGLETRANSLATE(A3386, ""en"", ""hi"")"),"फूल मखाना (फॉक्सनट्स)")</f>
        <v>फूल मखाना (फॉक्सनट्स)</v>
      </c>
      <c r="D3386" s="5"/>
      <c r="E3386" s="2" t="s">
        <v>2700</v>
      </c>
      <c r="F3386" s="1">
        <v>6.0</v>
      </c>
      <c r="G3386" s="3" t="s">
        <v>5859</v>
      </c>
    </row>
    <row r="3387">
      <c r="A3387" s="3" t="s">
        <v>5312</v>
      </c>
      <c r="B3387" s="4" t="str">
        <f>IFERROR(__xludf.DUMMYFUNCTION("GOOGLETRANSLATE(A3387, ""en"", ""te"")"),"ఫూల్ మఖానా")</f>
        <v>ఫూల్ మఖానా</v>
      </c>
      <c r="C3387" s="4" t="str">
        <f>IFERROR(__xludf.DUMMYFUNCTION("GOOGLETRANSLATE(A3387, ""en"", ""hi"")"),"फूल मखाना")</f>
        <v>फूल मखाना</v>
      </c>
      <c r="D3387" s="5"/>
      <c r="E3387" s="2" t="s">
        <v>2700</v>
      </c>
      <c r="F3387" s="1">
        <v>6.0</v>
      </c>
      <c r="G3387" s="3" t="s">
        <v>5989</v>
      </c>
    </row>
    <row r="3388">
      <c r="A3388" s="44"/>
      <c r="B3388" s="44" t="str">
        <f>IFERROR(__xludf.DUMMYFUNCTION("GOOGLETRANSLATE(A3388, ""en"", ""te"")"),"#VALUE!")</f>
        <v>#VALUE!</v>
      </c>
      <c r="C3388" s="4" t="str">
        <f>IFERROR(__xludf.DUMMYFUNCTION("GOOGLETRANSLATE(A3388, ""en"", ""hi"")"),"#VALUE!")</f>
        <v>#VALUE!</v>
      </c>
      <c r="D3388" s="5"/>
      <c r="E3388" s="5"/>
    </row>
    <row r="3389">
      <c r="A3389" s="3" t="s">
        <v>6351</v>
      </c>
      <c r="B3389" s="4" t="str">
        <f>IFERROR(__xludf.DUMMYFUNCTION("GOOGLETRANSLATE(A3389, ""en"", ""te"")"),"స్వాద్ మూంగ్ దాల్")</f>
        <v>స్వాద్ మూంగ్ దాల్</v>
      </c>
      <c r="C3389" s="4" t="str">
        <f>IFERROR(__xludf.DUMMYFUNCTION("GOOGLETRANSLATE(A3389, ""en"", ""hi"")"),"स्वाद मूंग दाल")</f>
        <v>स्वाद मूंग दाल</v>
      </c>
      <c r="D3389" s="2" t="s">
        <v>3379</v>
      </c>
      <c r="E3389" s="2" t="s">
        <v>1038</v>
      </c>
      <c r="F3389" s="1">
        <v>8.0</v>
      </c>
      <c r="G3389" s="3" t="s">
        <v>71</v>
      </c>
    </row>
    <row r="3390">
      <c r="A3390" s="3" t="s">
        <v>6396</v>
      </c>
      <c r="B3390" s="4" t="str">
        <f>IFERROR(__xludf.DUMMYFUNCTION("GOOGLETRANSLATE(A3390, ""en"", ""te"")"),"స్వాద్ తూర్ దాల్")</f>
        <v>స్వాద్ తూర్ దాల్</v>
      </c>
      <c r="C3390" s="4" t="str">
        <f>IFERROR(__xludf.DUMMYFUNCTION("GOOGLETRANSLATE(A3390, ""en"", ""hi"")"),"स्वाद तूर दाल")</f>
        <v>स्वाद तूर दाल</v>
      </c>
      <c r="D3390" s="2" t="s">
        <v>8110</v>
      </c>
      <c r="E3390" s="2" t="s">
        <v>1038</v>
      </c>
      <c r="F3390" s="1">
        <v>8.0</v>
      </c>
      <c r="G3390" s="3" t="s">
        <v>71</v>
      </c>
    </row>
    <row r="3391">
      <c r="A3391" s="3" t="s">
        <v>6268</v>
      </c>
      <c r="B3391" s="4" t="str">
        <f>IFERROR(__xludf.DUMMYFUNCTION("GOOGLETRANSLATE(A3391, ""en"", ""te"")"),"స్వద్ చనా దాల్")</f>
        <v>స్వద్ చనా దాల్</v>
      </c>
      <c r="C3391" s="4" t="str">
        <f>IFERROR(__xludf.DUMMYFUNCTION("GOOGLETRANSLATE(A3391, ""en"", ""hi"")"),"स्वाद चना दाल")</f>
        <v>स्वाद चना दाल</v>
      </c>
      <c r="D3391" s="2" t="s">
        <v>3861</v>
      </c>
      <c r="E3391" s="2" t="s">
        <v>1038</v>
      </c>
      <c r="F3391" s="1">
        <v>8.0</v>
      </c>
      <c r="G3391" s="3" t="s">
        <v>71</v>
      </c>
    </row>
    <row r="3392">
      <c r="A3392" s="3" t="s">
        <v>6400</v>
      </c>
      <c r="B3392" s="4" t="str">
        <f>IFERROR(__xludf.DUMMYFUNCTION("GOOGLETRANSLATE(A3392, ""en"", ""te"")"),"స్వాద్ ఉరద్ దాల్")</f>
        <v>స్వాద్ ఉరద్ దాల్</v>
      </c>
      <c r="C3392" s="4" t="str">
        <f>IFERROR(__xludf.DUMMYFUNCTION("GOOGLETRANSLATE(A3392, ""en"", ""hi"")"),"स्वाद उड़द दाल")</f>
        <v>स्वाद उड़द दाल</v>
      </c>
      <c r="D3392" s="2" t="s">
        <v>9051</v>
      </c>
      <c r="E3392" s="2" t="s">
        <v>1038</v>
      </c>
      <c r="F3392" s="1">
        <v>8.0</v>
      </c>
      <c r="G3392" s="3" t="s">
        <v>71</v>
      </c>
    </row>
    <row r="3393">
      <c r="A3393" s="3" t="s">
        <v>9052</v>
      </c>
      <c r="B3393" s="4" t="str">
        <f>IFERROR(__xludf.DUMMYFUNCTION("GOOGLETRANSLATE(A3393, ""en"", ""te"")"),"వివిధ పప్పు మరియు ధాన్యపు మిశ్రమాలు")</f>
        <v>వివిధ పప్పు మరియు ధాన్యపు మిశ్రమాలు</v>
      </c>
      <c r="C3393" s="4" t="str">
        <f>IFERROR(__xludf.DUMMYFUNCTION("GOOGLETRANSLATE(A3393, ""en"", ""hi"")"),"विभिन्न दाल और अनाज के मिश्रण")</f>
        <v>विभिन्न दाल और अनाज के मिश्रण</v>
      </c>
      <c r="D3393" s="5"/>
      <c r="E3393" s="2" t="s">
        <v>2649</v>
      </c>
      <c r="F3393" s="1">
        <v>8.0</v>
      </c>
      <c r="G3393" s="3" t="s">
        <v>76</v>
      </c>
    </row>
    <row r="3394">
      <c r="A3394" s="3" t="s">
        <v>9052</v>
      </c>
      <c r="B3394" s="4" t="str">
        <f>IFERROR(__xludf.DUMMYFUNCTION("GOOGLETRANSLATE(A3394, ""en"", ""te"")"),"వివిధ పప్పు మరియు ధాన్యపు మిశ్రమాలు")</f>
        <v>వివిధ పప్పు మరియు ధాన్యపు మిశ్రమాలు</v>
      </c>
      <c r="C3394" s="4" t="str">
        <f>IFERROR(__xludf.DUMMYFUNCTION("GOOGLETRANSLATE(A3394, ""en"", ""hi"")"),"विभिन्न दाल और अनाज के मिश्रण")</f>
        <v>विभिन्न दाल और अनाज के मिश्रण</v>
      </c>
      <c r="D3394" s="5"/>
      <c r="E3394" s="2" t="s">
        <v>2649</v>
      </c>
      <c r="F3394" s="1">
        <v>8.0</v>
      </c>
      <c r="G3394" s="3" t="s">
        <v>85</v>
      </c>
    </row>
    <row r="3395">
      <c r="A3395" s="3" t="s">
        <v>9052</v>
      </c>
      <c r="B3395" s="4" t="str">
        <f>IFERROR(__xludf.DUMMYFUNCTION("GOOGLETRANSLATE(A3395, ""en"", ""te"")"),"వివిధ పప్పు మరియు ధాన్యపు మిశ్రమాలు")</f>
        <v>వివిధ పప్పు మరియు ధాన్యపు మిశ్రమాలు</v>
      </c>
      <c r="C3395" s="4" t="str">
        <f>IFERROR(__xludf.DUMMYFUNCTION("GOOGLETRANSLATE(A3395, ""en"", ""hi"")"),"विभिन्न दाल और अनाज के मिश्रण")</f>
        <v>विभिन्न दाल और अनाज के मिश्रण</v>
      </c>
      <c r="D3395" s="5"/>
      <c r="E3395" s="2" t="s">
        <v>2649</v>
      </c>
      <c r="F3395" s="1">
        <v>8.0</v>
      </c>
      <c r="G3395" s="3" t="s">
        <v>114</v>
      </c>
    </row>
    <row r="3396">
      <c r="A3396" s="3" t="s">
        <v>9052</v>
      </c>
      <c r="B3396" s="4" t="str">
        <f>IFERROR(__xludf.DUMMYFUNCTION("GOOGLETRANSLATE(A3396, ""en"", ""te"")"),"వివిధ పప్పు మరియు ధాన్యపు మిశ్రమాలు")</f>
        <v>వివిధ పప్పు మరియు ధాన్యపు మిశ్రమాలు</v>
      </c>
      <c r="C3396" s="4" t="str">
        <f>IFERROR(__xludf.DUMMYFUNCTION("GOOGLETRANSLATE(A3396, ""en"", ""hi"")"),"विभिन्न दाल और अनाज के मिश्रण")</f>
        <v>विभिन्न दाल और अनाज के मिश्रण</v>
      </c>
      <c r="D3396" s="5"/>
      <c r="E3396" s="2" t="s">
        <v>2649</v>
      </c>
      <c r="F3396" s="1">
        <v>8.0</v>
      </c>
      <c r="G3396" s="3" t="s">
        <v>10</v>
      </c>
    </row>
    <row r="3397">
      <c r="A3397" s="3" t="s">
        <v>9053</v>
      </c>
      <c r="B3397" s="4" t="str">
        <f>IFERROR(__xludf.DUMMYFUNCTION("GOOGLETRANSLATE(A3397, ""en"", ""te"")"),"వివిధ ధాన్యాలు మరియు చిరుతిళ్లు")</f>
        <v>వివిధ ధాన్యాలు మరియు చిరుతిళ్లు</v>
      </c>
      <c r="C3397" s="4" t="str">
        <f>IFERROR(__xludf.DUMMYFUNCTION("GOOGLETRANSLATE(A3397, ""en"", ""hi"")"),"विभिन्न प्रकार के अनाज और स्नैक्स")</f>
        <v>विभिन्न प्रकार के अनाज और स्नैक्स</v>
      </c>
      <c r="D3397" s="5"/>
      <c r="E3397" s="2" t="s">
        <v>1294</v>
      </c>
      <c r="F3397" s="1">
        <v>8.0</v>
      </c>
      <c r="G3397" s="3" t="s">
        <v>20</v>
      </c>
    </row>
    <row r="3398">
      <c r="A3398" s="3" t="s">
        <v>9054</v>
      </c>
      <c r="B3398" s="4" t="str">
        <f>IFERROR(__xludf.DUMMYFUNCTION("GOOGLETRANSLATE(A3398, ""en"", ""te"")"),"స్వాద్ బేసన్")</f>
        <v>స్వాద్ బేసన్</v>
      </c>
      <c r="C3398" s="4" t="str">
        <f>IFERROR(__xludf.DUMMYFUNCTION("GOOGLETRANSLATE(A3398, ""en"", ""hi"")"),"स्वाद बेसन")</f>
        <v>स्वाद बेसन</v>
      </c>
      <c r="D3398" s="2" t="s">
        <v>7052</v>
      </c>
      <c r="E3398" s="2" t="s">
        <v>67</v>
      </c>
      <c r="F3398" s="1">
        <v>8.0</v>
      </c>
      <c r="G3398" s="3" t="s">
        <v>76</v>
      </c>
    </row>
    <row r="3399">
      <c r="A3399" s="3" t="s">
        <v>9055</v>
      </c>
      <c r="B3399" s="4" t="str">
        <f>IFERROR(__xludf.DUMMYFUNCTION("GOOGLETRANSLATE(A3399, ""en"", ""te"")"),"తెలుగు ఆహారాలు బియ్యం పిండి")</f>
        <v>తెలుగు ఆహారాలు బియ్యం పిండి</v>
      </c>
      <c r="C3399" s="4" t="str">
        <f>IFERROR(__xludf.DUMMYFUNCTION("GOOGLETRANSLATE(A3399, ""en"", ""hi"")"),"तेलुगु खाद्य पदार्थ चावल का आटा")</f>
        <v>तेलुगु खाद्य पदार्थ चावल का आटा</v>
      </c>
      <c r="D3399" s="2" t="s">
        <v>38</v>
      </c>
      <c r="E3399" s="2" t="s">
        <v>2649</v>
      </c>
      <c r="F3399" s="1">
        <v>8.0</v>
      </c>
      <c r="G3399" s="3" t="s">
        <v>85</v>
      </c>
    </row>
    <row r="3400">
      <c r="A3400" s="3" t="s">
        <v>9056</v>
      </c>
      <c r="B3400" s="4" t="str">
        <f>IFERROR(__xludf.DUMMYFUNCTION("GOOGLETRANSLATE(A3400, ""en"", ""te"")"),"స్వాద్ పీనట్స్")</f>
        <v>స్వాద్ పీనట్స్</v>
      </c>
      <c r="C3400" s="4" t="str">
        <f>IFERROR(__xludf.DUMMYFUNCTION("GOOGLETRANSLATE(A3400, ""en"", ""hi"")"),"स्वाद मूंगफली")</f>
        <v>स्वाद मूंगफली</v>
      </c>
      <c r="D3400" s="2" t="s">
        <v>945</v>
      </c>
      <c r="E3400" s="2" t="s">
        <v>2700</v>
      </c>
      <c r="F3400" s="1">
        <v>8.0</v>
      </c>
      <c r="G3400" s="3" t="s">
        <v>10</v>
      </c>
    </row>
    <row r="3401">
      <c r="A3401" s="3" t="s">
        <v>9057</v>
      </c>
      <c r="B3401" s="4" t="str">
        <f>IFERROR(__xludf.DUMMYFUNCTION("GOOGLETRANSLATE(A3401, ""en"", ""te"")"),"స్వాద్ ఇడ్లీ రవా")</f>
        <v>స్వాద్ ఇడ్లీ రవా</v>
      </c>
      <c r="C3401" s="4" t="str">
        <f>IFERROR(__xludf.DUMMYFUNCTION("GOOGLETRANSLATE(A3401, ""en"", ""hi"")"),"स्वाद इडली रवा")</f>
        <v>स्वाद इडली रवा</v>
      </c>
      <c r="D3401" s="2" t="s">
        <v>1356</v>
      </c>
      <c r="E3401" s="2" t="s">
        <v>2649</v>
      </c>
      <c r="F3401" s="1">
        <v>8.0</v>
      </c>
      <c r="G3401" s="3" t="s">
        <v>76</v>
      </c>
    </row>
    <row r="3402">
      <c r="A3402" s="3" t="s">
        <v>9058</v>
      </c>
      <c r="B3402" s="4" t="str">
        <f>IFERROR(__xludf.DUMMYFUNCTION("GOOGLETRANSLATE(A3402, ""en"", ""te"")"),"తెలుగు ఆహారాలు అన్నం రవ్వ")</f>
        <v>తెలుగు ఆహారాలు అన్నం రవ్వ</v>
      </c>
      <c r="C3402" s="4" t="str">
        <f>IFERROR(__xludf.DUMMYFUNCTION("GOOGLETRANSLATE(A3402, ""en"", ""hi"")"),"तेलुगु व्यंजन चावल रवा")</f>
        <v>तेलुगु व्यंजन चावल रवा</v>
      </c>
      <c r="D3402" s="2" t="s">
        <v>38</v>
      </c>
      <c r="E3402" s="2" t="s">
        <v>2649</v>
      </c>
      <c r="F3402" s="1">
        <v>8.0</v>
      </c>
      <c r="G3402" s="3" t="s">
        <v>76</v>
      </c>
    </row>
    <row r="3403">
      <c r="A3403" s="3" t="s">
        <v>9059</v>
      </c>
      <c r="B3403" s="4" t="str">
        <f>IFERROR(__xludf.DUMMYFUNCTION("GOOGLETRANSLATE(A3403, ""en"", ""te"")"),"శ్వేత రైస్ రవ్వ")</f>
        <v>శ్వేత రైస్ రవ్వ</v>
      </c>
      <c r="C3403" s="4" t="str">
        <f>IFERROR(__xludf.DUMMYFUNCTION("GOOGLETRANSLATE(A3403, ""en"", ""hi"")"),"श्वेता राइस रवा")</f>
        <v>श्वेता राइस रवा</v>
      </c>
      <c r="D3403" s="2" t="s">
        <v>275</v>
      </c>
      <c r="E3403" s="2" t="s">
        <v>2649</v>
      </c>
      <c r="F3403" s="1">
        <v>8.0</v>
      </c>
      <c r="G3403" s="3" t="s">
        <v>76</v>
      </c>
    </row>
    <row r="3404">
      <c r="A3404" s="3" t="s">
        <v>9060</v>
      </c>
      <c r="B3404" s="4" t="str">
        <f>IFERROR(__xludf.DUMMYFUNCTION("GOOGLETRANSLATE(A3404, ""en"", ""te"")"),"స్వాద్ కార్న్ గ్రిట్స్")</f>
        <v>స్వాద్ కార్న్ గ్రిట్స్</v>
      </c>
      <c r="C3404" s="4" t="str">
        <f>IFERROR(__xludf.DUMMYFUNCTION("GOOGLETRANSLATE(A3404, ""en"", ""hi"")"),"स्वाद कॉर्न ग्रिट्स")</f>
        <v>स्वाद कॉर्न ग्रिट्स</v>
      </c>
      <c r="D3404" s="2" t="s">
        <v>9047</v>
      </c>
      <c r="E3404" s="2" t="s">
        <v>67</v>
      </c>
      <c r="F3404" s="1">
        <v>8.0</v>
      </c>
      <c r="G3404" s="3" t="s">
        <v>76</v>
      </c>
    </row>
    <row r="3405">
      <c r="A3405" s="3" t="s">
        <v>9061</v>
      </c>
      <c r="B3405" s="4" t="str">
        <f>IFERROR(__xludf.DUMMYFUNCTION("GOOGLETRANSLATE(A3405, ""en"", ""te"")"),"స్వాద్ కాలా చనా బేసన్")</f>
        <v>స్వాద్ కాలా చనా బేసన్</v>
      </c>
      <c r="C3405" s="4" t="str">
        <f>IFERROR(__xludf.DUMMYFUNCTION("GOOGLETRANSLATE(A3405, ""en"", ""hi"")"),"स्वाद काला चना बेसन")</f>
        <v>स्वाद काला चना बेसन</v>
      </c>
      <c r="D3405" s="2" t="s">
        <v>7052</v>
      </c>
      <c r="E3405" s="2" t="s">
        <v>1038</v>
      </c>
      <c r="F3405" s="1">
        <v>8.0</v>
      </c>
      <c r="G3405" s="3" t="s">
        <v>85</v>
      </c>
    </row>
    <row r="3406">
      <c r="A3406" s="3" t="s">
        <v>9062</v>
      </c>
      <c r="B3406" s="4" t="str">
        <f>IFERROR(__xludf.DUMMYFUNCTION("GOOGLETRANSLATE(A3406, ""en"", ""te"")"),"ఆటా బేసన్")</f>
        <v>ఆటా బేసన్</v>
      </c>
      <c r="C3406" s="4" t="str">
        <f>IFERROR(__xludf.DUMMYFUNCTION("GOOGLETRANSLATE(A3406, ""en"", ""hi"")"),"आटा बेसन")</f>
        <v>आटा बेसन</v>
      </c>
      <c r="D3406" s="2" t="s">
        <v>9063</v>
      </c>
      <c r="E3406" s="2" t="s">
        <v>67</v>
      </c>
      <c r="F3406" s="1">
        <v>8.0</v>
      </c>
      <c r="G3406" s="3" t="s">
        <v>85</v>
      </c>
    </row>
    <row r="3407">
      <c r="A3407" s="3" t="s">
        <v>4158</v>
      </c>
      <c r="B3407" s="4" t="str">
        <f>IFERROR(__xludf.DUMMYFUNCTION("GOOGLETRANSLATE(A3407, ""en"", ""te"")"),"లక్ష్మి బేసన్")</f>
        <v>లక్ష్మి బేసన్</v>
      </c>
      <c r="C3407" s="4" t="str">
        <f>IFERROR(__xludf.DUMMYFUNCTION("GOOGLETRANSLATE(A3407, ""en"", ""hi"")"),"लक्ष्मी बेसन")</f>
        <v>लक्ष्मी बेसन</v>
      </c>
      <c r="D3407" s="2" t="s">
        <v>7052</v>
      </c>
      <c r="E3407" s="2" t="s">
        <v>67</v>
      </c>
      <c r="F3407" s="1">
        <v>8.0</v>
      </c>
      <c r="G3407" s="3" t="s">
        <v>85</v>
      </c>
    </row>
    <row r="3408">
      <c r="A3408" s="3" t="s">
        <v>9064</v>
      </c>
      <c r="B3408" s="4" t="str">
        <f>IFERROR(__xludf.DUMMYFUNCTION("GOOGLETRANSLATE(A3408, ""en"", ""te"")"),"సేంద్రీయ బియ్యం పిండి")</f>
        <v>సేంద్రీయ బియ్యం పిండి</v>
      </c>
      <c r="C3408" s="4" t="str">
        <f>IFERROR(__xludf.DUMMYFUNCTION("GOOGLETRANSLATE(A3408, ""en"", ""hi"")"),"जैविक चावल का आटा")</f>
        <v>जैविक चावल का आटा</v>
      </c>
      <c r="D3408" s="2" t="s">
        <v>36</v>
      </c>
      <c r="E3408" s="2" t="s">
        <v>2649</v>
      </c>
      <c r="F3408" s="1">
        <v>8.0</v>
      </c>
      <c r="G3408" s="3" t="s">
        <v>114</v>
      </c>
    </row>
    <row r="3409">
      <c r="A3409" s="3" t="s">
        <v>9065</v>
      </c>
      <c r="B3409" s="4" t="str">
        <f>IFERROR(__xludf.DUMMYFUNCTION("GOOGLETRANSLATE(A3409, ""en"", ""te"")"),"బ్రార్ స్వీట్ కార్న్ ఫ్లోర్")</f>
        <v>బ్రార్ స్వీట్ కార్న్ ఫ్లోర్</v>
      </c>
      <c r="C3409" s="4" t="str">
        <f>IFERROR(__xludf.DUMMYFUNCTION("GOOGLETRANSLATE(A3409, ""en"", ""hi"")"),"ब्रार मीठा मक्का का आटा")</f>
        <v>ब्रार मीठा मक्का का आटा</v>
      </c>
      <c r="D3409" s="2" t="s">
        <v>7182</v>
      </c>
      <c r="E3409" s="2" t="s">
        <v>67</v>
      </c>
      <c r="F3409" s="1">
        <v>8.0</v>
      </c>
      <c r="G3409" s="3" t="s">
        <v>114</v>
      </c>
    </row>
    <row r="3410">
      <c r="A3410" s="3" t="s">
        <v>9066</v>
      </c>
      <c r="B3410" s="4" t="str">
        <f>IFERROR(__xludf.DUMMYFUNCTION("GOOGLETRANSLATE(A3410, ""en"", ""te"")"),"స్వద్ మైదా")</f>
        <v>స్వద్ మైదా</v>
      </c>
      <c r="C3410" s="4" t="str">
        <f>IFERROR(__xludf.DUMMYFUNCTION("GOOGLETRANSLATE(A3410, ""en"", ""hi"")"),"स्वाद मैदा")</f>
        <v>स्वाद मैदा</v>
      </c>
      <c r="D3410" s="2" t="s">
        <v>7123</v>
      </c>
      <c r="E3410" s="2" t="s">
        <v>4100</v>
      </c>
      <c r="F3410" s="1">
        <v>8.0</v>
      </c>
      <c r="G3410" s="3" t="s">
        <v>114</v>
      </c>
    </row>
    <row r="3411">
      <c r="A3411" s="3" t="s">
        <v>2575</v>
      </c>
      <c r="B3411" s="4" t="str">
        <f>IFERROR(__xludf.DUMMYFUNCTION("GOOGLETRANSLATE(A3411, ""en"", ""te"")"),"దీప్ మైదా")</f>
        <v>దీప్ మైదా</v>
      </c>
      <c r="C3411" s="4" t="str">
        <f>IFERROR(__xludf.DUMMYFUNCTION("GOOGLETRANSLATE(A3411, ""en"", ""hi"")"),"दीप मैदा")</f>
        <v>दीप मैदा</v>
      </c>
      <c r="D3411" s="2" t="s">
        <v>3484</v>
      </c>
      <c r="E3411" s="2" t="s">
        <v>4100</v>
      </c>
      <c r="F3411" s="1">
        <v>8.0</v>
      </c>
      <c r="G3411" s="3" t="s">
        <v>114</v>
      </c>
    </row>
    <row r="3412">
      <c r="A3412" s="3" t="s">
        <v>9067</v>
      </c>
      <c r="B3412" s="4" t="str">
        <f>IFERROR(__xludf.DUMMYFUNCTION("GOOGLETRANSLATE(A3412, ""en"", ""te"")"),"ఆర్గానిక్ ఇడ్లీ రవ్వ")</f>
        <v>ఆర్గానిక్ ఇడ్లీ రవ్వ</v>
      </c>
      <c r="C3412" s="4" t="str">
        <f>IFERROR(__xludf.DUMMYFUNCTION("GOOGLETRANSLATE(A3412, ""en"", ""hi"")"),"ऑर्गेनिक इडली रवा")</f>
        <v>ऑर्गेनिक इडली रवा</v>
      </c>
      <c r="D3412" s="2" t="s">
        <v>1356</v>
      </c>
      <c r="E3412" s="2" t="s">
        <v>2649</v>
      </c>
      <c r="F3412" s="1">
        <v>8.0</v>
      </c>
      <c r="G3412" s="3" t="s">
        <v>76</v>
      </c>
    </row>
    <row r="3413">
      <c r="A3413" s="3" t="s">
        <v>9068</v>
      </c>
      <c r="B3413" s="4" t="str">
        <f>IFERROR(__xludf.DUMMYFUNCTION("GOOGLETRANSLATE(A3413, ""en"", ""te"")"),"స్వాద్ ఇడ్లీ రవ్వ (ఉడికించిన)")</f>
        <v>స్వాద్ ఇడ్లీ రవ్వ (ఉడికించిన)</v>
      </c>
      <c r="C3413" s="4" t="str">
        <f>IFERROR(__xludf.DUMMYFUNCTION("GOOGLETRANSLATE(A3413, ""en"", ""hi"")"),"स्वाद इडली रवा (उबली हुई)")</f>
        <v>स्वाद इडली रवा (उबली हुई)</v>
      </c>
      <c r="D3413" s="2" t="s">
        <v>1356</v>
      </c>
      <c r="E3413" s="2" t="s">
        <v>2649</v>
      </c>
      <c r="F3413" s="1">
        <v>8.0</v>
      </c>
      <c r="G3413" s="3" t="s">
        <v>76</v>
      </c>
    </row>
    <row r="3414">
      <c r="A3414" s="3" t="s">
        <v>9069</v>
      </c>
      <c r="B3414" s="4" t="str">
        <f>IFERROR(__xludf.DUMMYFUNCTION("GOOGLETRANSLATE(A3414, ""en"", ""te"")"),"లక్ష్మి మైదా")</f>
        <v>లక్ష్మి మైదా</v>
      </c>
      <c r="C3414" s="4" t="str">
        <f>IFERROR(__xludf.DUMMYFUNCTION("GOOGLETRANSLATE(A3414, ""en"", ""hi"")"),"लक्ष्मी मैदा")</f>
        <v>लक्ष्मी मैदा</v>
      </c>
      <c r="D3414" s="5"/>
      <c r="E3414" s="2" t="s">
        <v>67</v>
      </c>
      <c r="F3414" s="1">
        <v>8.0</v>
      </c>
      <c r="G3414" s="3" t="s">
        <v>114</v>
      </c>
    </row>
    <row r="3415">
      <c r="A3415" s="3" t="s">
        <v>9070</v>
      </c>
      <c r="B3415" s="4" t="str">
        <f>IFERROR(__xludf.DUMMYFUNCTION("GOOGLETRANSLATE(A3415, ""en"", ""te"")"),"స్వాద్ మైదా (ఆల్ పర్పస్ ఫ్లోర్)")</f>
        <v>స్వాద్ మైదా (ఆల్ పర్పస్ ఫ్లోర్)</v>
      </c>
      <c r="C3415" s="4" t="str">
        <f>IFERROR(__xludf.DUMMYFUNCTION("GOOGLETRANSLATE(A3415, ""en"", ""hi"")"),"स्वाद मैदा (ऑल पर्पस फ्लोर)")</f>
        <v>स्वाद मैदा (ऑल पर्पस फ्लोर)</v>
      </c>
      <c r="D3415" s="5"/>
      <c r="E3415" s="2" t="s">
        <v>67</v>
      </c>
      <c r="F3415" s="1">
        <v>8.0</v>
      </c>
      <c r="G3415" s="3" t="s">
        <v>114</v>
      </c>
    </row>
    <row r="3416">
      <c r="A3416" s="3" t="s">
        <v>9071</v>
      </c>
      <c r="B3416" s="4" t="str">
        <f>IFERROR(__xludf.DUMMYFUNCTION("GOOGLETRANSLATE(A3416, ""en"", ""te"")"),"లక్ష్మి పీనట్స్")</f>
        <v>లక్ష్మి పీనట్స్</v>
      </c>
      <c r="C3416" s="4" t="str">
        <f>IFERROR(__xludf.DUMMYFUNCTION("GOOGLETRANSLATE(A3416, ""en"", ""hi"")"),"लक्ष्मी मूंगफली")</f>
        <v>लक्ष्मी मूंगफली</v>
      </c>
      <c r="D3416" s="2" t="s">
        <v>945</v>
      </c>
      <c r="E3416" s="2" t="s">
        <v>2700</v>
      </c>
      <c r="F3416" s="1">
        <v>8.0</v>
      </c>
      <c r="G3416" s="3" t="s">
        <v>10</v>
      </c>
    </row>
    <row r="3417">
      <c r="A3417" s="3" t="s">
        <v>9072</v>
      </c>
      <c r="B3417" s="4" t="str">
        <f>IFERROR(__xludf.DUMMYFUNCTION("GOOGLETRANSLATE(A3417, ""en"", ""te"")"),"జస్ట్ ఆర్గానిక్ ఇడ్లీ రవ్వ")</f>
        <v>జస్ట్ ఆర్గానిక్ ఇడ్లీ రవ్వ</v>
      </c>
      <c r="C3417" s="4" t="str">
        <f>IFERROR(__xludf.DUMMYFUNCTION("GOOGLETRANSLATE(A3417, ""en"", ""hi"")"),"जस्ट ऑर्गेनिक इडली रवा")</f>
        <v>जस्ट ऑर्गेनिक इडली रवा</v>
      </c>
      <c r="D3417" s="2" t="s">
        <v>1356</v>
      </c>
      <c r="E3417" s="2" t="s">
        <v>2649</v>
      </c>
      <c r="F3417" s="1">
        <v>8.0</v>
      </c>
      <c r="G3417" s="3" t="s">
        <v>76</v>
      </c>
    </row>
    <row r="3418">
      <c r="A3418" s="3" t="s">
        <v>9054</v>
      </c>
      <c r="B3418" s="4" t="str">
        <f>IFERROR(__xludf.DUMMYFUNCTION("GOOGLETRANSLATE(A3418, ""en"", ""te"")"),"స్వాద్ బేసన్")</f>
        <v>స్వాద్ బేసన్</v>
      </c>
      <c r="C3418" s="4" t="str">
        <f>IFERROR(__xludf.DUMMYFUNCTION("GOOGLETRANSLATE(A3418, ""en"", ""hi"")"),"स्वाद बेसन")</f>
        <v>स्वाद बेसन</v>
      </c>
      <c r="D3418" s="2" t="s">
        <v>7052</v>
      </c>
      <c r="E3418" s="2" t="s">
        <v>67</v>
      </c>
      <c r="F3418" s="1">
        <v>8.0</v>
      </c>
      <c r="G3418" s="3" t="s">
        <v>85</v>
      </c>
    </row>
    <row r="3419">
      <c r="A3419" s="3" t="s">
        <v>9073</v>
      </c>
      <c r="B3419" s="4" t="str">
        <f>IFERROR(__xludf.DUMMYFUNCTION("GOOGLETRANSLATE(A3419, ""en"", ""te"")"),"స్వాద్ లడు బేసన్")</f>
        <v>స్వాద్ లడు బేసన్</v>
      </c>
      <c r="C3419" s="4" t="str">
        <f>IFERROR(__xludf.DUMMYFUNCTION("GOOGLETRANSLATE(A3419, ""en"", ""hi"")"),"स्वाद लड्डू बेसन")</f>
        <v>स्वाद लड्डू बेसन</v>
      </c>
      <c r="D3419" s="2" t="s">
        <v>7052</v>
      </c>
      <c r="E3419" s="2" t="s">
        <v>2649</v>
      </c>
      <c r="F3419" s="1">
        <v>8.0</v>
      </c>
      <c r="G3419" s="3" t="s">
        <v>85</v>
      </c>
    </row>
    <row r="3420">
      <c r="A3420" s="3" t="s">
        <v>9074</v>
      </c>
      <c r="B3420" s="4" t="str">
        <f>IFERROR(__xludf.DUMMYFUNCTION("GOOGLETRANSLATE(A3420, ""en"", ""te"")"),"ఆలా బేసన్")</f>
        <v>ఆలా బేసన్</v>
      </c>
      <c r="C3420" s="4" t="str">
        <f>IFERROR(__xludf.DUMMYFUNCTION("GOOGLETRANSLATE(A3420, ""en"", ""hi"")"),"आला बेसन")</f>
        <v>आला बेसन</v>
      </c>
      <c r="D3420" s="2" t="s">
        <v>7052</v>
      </c>
      <c r="E3420" s="2" t="s">
        <v>2649</v>
      </c>
      <c r="F3420" s="1">
        <v>8.0</v>
      </c>
      <c r="G3420" s="3" t="s">
        <v>85</v>
      </c>
    </row>
    <row r="3421">
      <c r="A3421" s="3" t="s">
        <v>9075</v>
      </c>
      <c r="B3421" s="4" t="str">
        <f>IFERROR(__xludf.DUMMYFUNCTION("GOOGLETRANSLATE(A3421, ""en"", ""te"")"),"స్వాద్ జొన్న పిండి")</f>
        <v>స్వాద్ జొన్న పిండి</v>
      </c>
      <c r="C3421" s="4" t="str">
        <f>IFERROR(__xludf.DUMMYFUNCTION("GOOGLETRANSLATE(A3421, ""en"", ""hi"")"),"स्वाद ज्वार का आटा")</f>
        <v>स्वाद ज्वार का आटा</v>
      </c>
      <c r="D3421" s="2" t="s">
        <v>9076</v>
      </c>
      <c r="E3421" s="2" t="s">
        <v>2649</v>
      </c>
      <c r="F3421" s="1">
        <v>8.0</v>
      </c>
      <c r="G3421" s="3" t="s">
        <v>114</v>
      </c>
    </row>
    <row r="3422">
      <c r="A3422" s="3" t="s">
        <v>9077</v>
      </c>
      <c r="B3422" s="4" t="str">
        <f>IFERROR(__xludf.DUMMYFUNCTION("GOOGLETRANSLATE(A3422, ""en"", ""te"")"),"స్వాద్ బియ్యం పిండి")</f>
        <v>స్వాద్ బియ్యం పిండి</v>
      </c>
      <c r="C3422" s="4" t="str">
        <f>IFERROR(__xludf.DUMMYFUNCTION("GOOGLETRANSLATE(A3422, ""en"", ""hi"")"),"स्वाद चावल का आटा")</f>
        <v>स्वाद चावल का आटा</v>
      </c>
      <c r="D3422" s="2" t="s">
        <v>8991</v>
      </c>
      <c r="E3422" s="2" t="s">
        <v>2649</v>
      </c>
      <c r="F3422" s="1">
        <v>8.0</v>
      </c>
      <c r="G3422" s="3" t="s">
        <v>114</v>
      </c>
    </row>
    <row r="3423">
      <c r="A3423" s="3" t="s">
        <v>9078</v>
      </c>
      <c r="B3423" s="4" t="str">
        <f>IFERROR(__xludf.DUMMYFUNCTION("GOOGLETRANSLATE(A3423, ""en"", ""te"")"),"స్వాద్ ఆర్గానిక్ రైస్ ఫ్లోర్")</f>
        <v>స్వాద్ ఆర్గానిక్ రైస్ ఫ్లోర్</v>
      </c>
      <c r="C3423" s="4" t="str">
        <f>IFERROR(__xludf.DUMMYFUNCTION("GOOGLETRANSLATE(A3423, ""en"", ""hi"")"),"स्वाद ऑर्गेनिक चावल का आटा")</f>
        <v>स्वाद ऑर्गेनिक चावल का आटा</v>
      </c>
      <c r="D3423" s="2" t="s">
        <v>8991</v>
      </c>
      <c r="E3423" s="2" t="s">
        <v>2649</v>
      </c>
      <c r="F3423" s="1">
        <v>8.0</v>
      </c>
      <c r="G3423" s="3" t="s">
        <v>114</v>
      </c>
    </row>
    <row r="3424">
      <c r="A3424" s="3" t="s">
        <v>9079</v>
      </c>
      <c r="B3424" s="4" t="str">
        <f>IFERROR(__xludf.DUMMYFUNCTION("GOOGLETRANSLATE(A3424, ""en"", ""te"")"),"శనగ పిండి")</f>
        <v>శనగ పిండి</v>
      </c>
      <c r="C3424" s="4" t="str">
        <f>IFERROR(__xludf.DUMMYFUNCTION("GOOGLETRANSLATE(A3424, ""en"", ""hi"")"),"चना आटा")</f>
        <v>चना आटा</v>
      </c>
      <c r="D3424" s="2" t="s">
        <v>7830</v>
      </c>
      <c r="E3424" s="2" t="s">
        <v>67</v>
      </c>
      <c r="F3424" s="1">
        <v>8.0</v>
      </c>
      <c r="G3424" s="3" t="s">
        <v>20</v>
      </c>
    </row>
    <row r="3425">
      <c r="A3425" s="3" t="s">
        <v>9080</v>
      </c>
      <c r="B3425" s="4" t="str">
        <f>IFERROR(__xludf.DUMMYFUNCTION("GOOGLETRANSLATE(A3425, ""en"", ""te"")"),"లక్ష్మి ఇడ్లీ రవ్వ")</f>
        <v>లక్ష్మి ఇడ్లీ రవ్వ</v>
      </c>
      <c r="C3425" s="4" t="str">
        <f>IFERROR(__xludf.DUMMYFUNCTION("GOOGLETRANSLATE(A3425, ""en"", ""hi"")"),"लक्ष्मी इडली रवा")</f>
        <v>लक्ष्मी इडली रवा</v>
      </c>
      <c r="D3425" s="2" t="s">
        <v>1356</v>
      </c>
      <c r="E3425" s="2" t="s">
        <v>2649</v>
      </c>
      <c r="F3425" s="1">
        <v>8.0</v>
      </c>
      <c r="G3425" s="3" t="s">
        <v>29</v>
      </c>
    </row>
    <row r="3426">
      <c r="A3426" s="3" t="s">
        <v>9081</v>
      </c>
      <c r="B3426" s="4" t="str">
        <f>IFERROR(__xludf.DUMMYFUNCTION("GOOGLETRANSLATE(A3426, ""en"", ""te"")"),"స్వాద్ దక్షిణ ఇడ్లీ రావా")</f>
        <v>స్వాద్ దక్షిణ ఇడ్లీ రావా</v>
      </c>
      <c r="C3426" s="4" t="str">
        <f>IFERROR(__xludf.DUMMYFUNCTION("GOOGLETRANSLATE(A3426, ""en"", ""hi"")"),"स्वाद दक्षिण इडली रवा")</f>
        <v>स्वाद दक्षिण इडली रवा</v>
      </c>
      <c r="D3426" s="2" t="s">
        <v>1356</v>
      </c>
      <c r="E3426" s="2" t="s">
        <v>2649</v>
      </c>
      <c r="F3426" s="1">
        <v>8.0</v>
      </c>
      <c r="G3426" s="3" t="s">
        <v>29</v>
      </c>
    </row>
    <row r="3427">
      <c r="A3427" s="3" t="s">
        <v>9057</v>
      </c>
      <c r="B3427" s="4" t="str">
        <f>IFERROR(__xludf.DUMMYFUNCTION("GOOGLETRANSLATE(A3427, ""en"", ""te"")"),"స్వాద్ ఇడ్లీ రవా")</f>
        <v>స్వాద్ ఇడ్లీ రవా</v>
      </c>
      <c r="C3427" s="4" t="str">
        <f>IFERROR(__xludf.DUMMYFUNCTION("GOOGLETRANSLATE(A3427, ""en"", ""hi"")"),"स्वाद इडली रवा")</f>
        <v>स्वाद इडली रवा</v>
      </c>
      <c r="D3427" s="2" t="s">
        <v>1356</v>
      </c>
      <c r="E3427" s="2" t="s">
        <v>2649</v>
      </c>
      <c r="F3427" s="1">
        <v>8.0</v>
      </c>
      <c r="G3427" s="3" t="s">
        <v>29</v>
      </c>
    </row>
    <row r="3428">
      <c r="A3428" s="3" t="s">
        <v>9082</v>
      </c>
      <c r="B3428" s="4" t="str">
        <f>IFERROR(__xludf.DUMMYFUNCTION("GOOGLETRANSLATE(A3428, ""en"", ""te"")"),"షేర్ బేసన్")</f>
        <v>షేర్ బేసన్</v>
      </c>
      <c r="C3428" s="4" t="str">
        <f>IFERROR(__xludf.DUMMYFUNCTION("GOOGLETRANSLATE(A3428, ""en"", ""hi"")"),"शेर बेसन")</f>
        <v>शेर बेसन</v>
      </c>
      <c r="D3428" s="2" t="s">
        <v>7052</v>
      </c>
      <c r="E3428" s="2" t="s">
        <v>1038</v>
      </c>
      <c r="F3428" s="1">
        <v>8.0</v>
      </c>
      <c r="G3428" s="3" t="s">
        <v>39</v>
      </c>
    </row>
    <row r="3429">
      <c r="A3429" s="3" t="s">
        <v>2333</v>
      </c>
      <c r="B3429" s="4" t="str">
        <f>IFERROR(__xludf.DUMMYFUNCTION("GOOGLETRANSLATE(A3429, ""en"", ""te"")"),"దీప్ బేసన్")</f>
        <v>దీప్ బేసన్</v>
      </c>
      <c r="C3429" s="4" t="str">
        <f>IFERROR(__xludf.DUMMYFUNCTION("GOOGLETRANSLATE(A3429, ""en"", ""hi"")"),"दीप बेसन")</f>
        <v>दीप बेसन</v>
      </c>
      <c r="D3429" s="2" t="s">
        <v>7052</v>
      </c>
      <c r="E3429" s="2" t="s">
        <v>1038</v>
      </c>
      <c r="F3429" s="1">
        <v>8.0</v>
      </c>
      <c r="G3429" s="3" t="s">
        <v>39</v>
      </c>
    </row>
    <row r="3430">
      <c r="A3430" s="3" t="s">
        <v>9054</v>
      </c>
      <c r="B3430" s="4" t="str">
        <f>IFERROR(__xludf.DUMMYFUNCTION("GOOGLETRANSLATE(A3430, ""en"", ""te"")"),"స్వాద్ బేసన్")</f>
        <v>స్వాద్ బేసన్</v>
      </c>
      <c r="C3430" s="4" t="str">
        <f>IFERROR(__xludf.DUMMYFUNCTION("GOOGLETRANSLATE(A3430, ""en"", ""hi"")"),"स्वाद बेसन")</f>
        <v>स्वाद बेसन</v>
      </c>
      <c r="D3430" s="2" t="s">
        <v>7052</v>
      </c>
      <c r="E3430" s="2" t="s">
        <v>67</v>
      </c>
      <c r="F3430" s="1">
        <v>8.0</v>
      </c>
      <c r="G3430" s="3" t="s">
        <v>39</v>
      </c>
    </row>
    <row r="3431">
      <c r="A3431" s="3" t="s">
        <v>9083</v>
      </c>
      <c r="B3431" s="4" t="str">
        <f>IFERROR(__xludf.DUMMYFUNCTION("GOOGLETRANSLATE(A3431, ""en"", ""te"")"),"లడు బేసన్")</f>
        <v>లడు బేసన్</v>
      </c>
      <c r="C3431" s="4" t="str">
        <f>IFERROR(__xludf.DUMMYFUNCTION("GOOGLETRANSLATE(A3431, ""en"", ""hi"")"),"लड्डू बेसन")</f>
        <v>लड्डू बेसन</v>
      </c>
      <c r="D3431" s="2" t="s">
        <v>7052</v>
      </c>
      <c r="E3431" s="2" t="s">
        <v>67</v>
      </c>
      <c r="F3431" s="1">
        <v>8.0</v>
      </c>
      <c r="G3431" s="3" t="s">
        <v>39</v>
      </c>
    </row>
    <row r="3432">
      <c r="A3432" s="3" t="s">
        <v>9061</v>
      </c>
      <c r="B3432" s="4" t="str">
        <f>IFERROR(__xludf.DUMMYFUNCTION("GOOGLETRANSLATE(A3432, ""en"", ""te"")"),"స్వాద్ కాలా చనా బేసన్")</f>
        <v>స్వాద్ కాలా చనా బేసన్</v>
      </c>
      <c r="C3432" s="4" t="str">
        <f>IFERROR(__xludf.DUMMYFUNCTION("GOOGLETRANSLATE(A3432, ""en"", ""hi"")"),"स्वाद काला चना बेसन")</f>
        <v>स्वाद काला चना बेसन</v>
      </c>
      <c r="D3432" s="2" t="s">
        <v>7052</v>
      </c>
      <c r="E3432" s="2" t="s">
        <v>1038</v>
      </c>
      <c r="F3432" s="1">
        <v>8.0</v>
      </c>
      <c r="G3432" s="3" t="s">
        <v>39</v>
      </c>
    </row>
    <row r="3433">
      <c r="A3433" s="3" t="s">
        <v>9084</v>
      </c>
      <c r="B3433" s="4" t="str">
        <f>IFERROR(__xludf.DUMMYFUNCTION("GOOGLETRANSLATE(A3433, ""en"", ""te"")"),"డైవి బియ్యం పిండి")</f>
        <v>డైవి బియ్యం పిండి</v>
      </c>
      <c r="C3433" s="4" t="str">
        <f>IFERROR(__xludf.DUMMYFUNCTION("GOOGLETRANSLATE(A3433, ""en"", ""hi"")"),"दैवी चावल का आटा")</f>
        <v>दैवी चावल का आटा</v>
      </c>
      <c r="D3433" s="2" t="s">
        <v>36</v>
      </c>
      <c r="E3433" s="2" t="s">
        <v>9</v>
      </c>
      <c r="F3433" s="1">
        <v>8.0</v>
      </c>
      <c r="G3433" s="3" t="s">
        <v>194</v>
      </c>
    </row>
    <row r="3434">
      <c r="A3434" s="3" t="s">
        <v>9085</v>
      </c>
      <c r="B3434" s="4" t="str">
        <f>IFERROR(__xludf.DUMMYFUNCTION("GOOGLETRANSLATE(A3434, ""en"", ""te"")"),"జస్ట్ ఆర్గానిక్ రైస్ ఫ్లోర్")</f>
        <v>జస్ట్ ఆర్గానిక్ రైస్ ఫ్లోర్</v>
      </c>
      <c r="C3434" s="4" t="str">
        <f>IFERROR(__xludf.DUMMYFUNCTION("GOOGLETRANSLATE(A3434, ""en"", ""hi"")"),"जस्ट ऑर्गेनिक चावल का आटा")</f>
        <v>जस्ट ऑर्गेनिक चावल का आटा</v>
      </c>
      <c r="D3434" s="5"/>
      <c r="E3434" s="2" t="s">
        <v>9</v>
      </c>
      <c r="F3434" s="1">
        <v>8.0</v>
      </c>
      <c r="G3434" s="3" t="s">
        <v>194</v>
      </c>
    </row>
    <row r="3435">
      <c r="A3435" s="3" t="s">
        <v>9086</v>
      </c>
      <c r="B3435" s="4" t="str">
        <f>IFERROR(__xludf.DUMMYFUNCTION("GOOGLETRANSLATE(A3435, ""en"", ""te"")"),"లోతైన బియ్యం పిండి")</f>
        <v>లోతైన బియ్యం పిండి</v>
      </c>
      <c r="C3435" s="4" t="str">
        <f>IFERROR(__xludf.DUMMYFUNCTION("GOOGLETRANSLATE(A3435, ""en"", ""hi"")"),"डीप राइस फ्लोर")</f>
        <v>डीप राइस फ्लोर</v>
      </c>
      <c r="D3435" s="2" t="s">
        <v>36</v>
      </c>
      <c r="E3435" s="2" t="s">
        <v>9</v>
      </c>
      <c r="F3435" s="1">
        <v>8.0</v>
      </c>
      <c r="G3435" s="3" t="s">
        <v>194</v>
      </c>
    </row>
    <row r="3436">
      <c r="A3436" s="3" t="s">
        <v>9087</v>
      </c>
      <c r="B3436" s="4" t="str">
        <f>IFERROR(__xludf.DUMMYFUNCTION("GOOGLETRANSLATE(A3436, ""en"", ""te"")"),"దైవీ జొన్న పిండి")</f>
        <v>దైవీ జొన్న పిండి</v>
      </c>
      <c r="C3436" s="4" t="str">
        <f>IFERROR(__xludf.DUMMYFUNCTION("GOOGLETRANSLATE(A3436, ""en"", ""hi"")"),"दैवी ज्वार का आटा")</f>
        <v>दैवी ज्वार का आटा</v>
      </c>
      <c r="D3436" s="2" t="s">
        <v>9076</v>
      </c>
      <c r="E3436" s="2" t="s">
        <v>67</v>
      </c>
      <c r="F3436" s="1">
        <v>8.0</v>
      </c>
      <c r="G3436" s="3" t="s">
        <v>194</v>
      </c>
    </row>
    <row r="3437">
      <c r="A3437" s="3" t="s">
        <v>9077</v>
      </c>
      <c r="B3437" s="4" t="str">
        <f>IFERROR(__xludf.DUMMYFUNCTION("GOOGLETRANSLATE(A3437, ""en"", ""te"")"),"స్వాద్ బియ్యం పిండి")</f>
        <v>స్వాద్ బియ్యం పిండి</v>
      </c>
      <c r="C3437" s="4" t="str">
        <f>IFERROR(__xludf.DUMMYFUNCTION("GOOGLETRANSLATE(A3437, ""en"", ""hi"")"),"स्वाद चावल का आटा")</f>
        <v>स्वाद चावल का आटा</v>
      </c>
      <c r="D3437" s="2" t="s">
        <v>8991</v>
      </c>
      <c r="E3437" s="2" t="s">
        <v>2649</v>
      </c>
      <c r="F3437" s="1">
        <v>8.0</v>
      </c>
      <c r="G3437" s="3" t="s">
        <v>194</v>
      </c>
    </row>
    <row r="3438">
      <c r="A3438" s="3" t="s">
        <v>5709</v>
      </c>
      <c r="B3438" s="4" t="str">
        <f>IFERROR(__xludf.DUMMYFUNCTION("GOOGLETRANSLATE(A3438, ""en"", ""te"")"),"బియ్యం పిండి")</f>
        <v>బియ్యం పిండి</v>
      </c>
      <c r="C3438" s="4" t="str">
        <f>IFERROR(__xludf.DUMMYFUNCTION("GOOGLETRANSLATE(A3438, ""en"", ""hi"")"),"चावल का आटा")</f>
        <v>चावल का आटा</v>
      </c>
      <c r="D3438" s="2" t="s">
        <v>36</v>
      </c>
      <c r="E3438" s="2" t="s">
        <v>2649</v>
      </c>
      <c r="F3438" s="1">
        <v>8.0</v>
      </c>
      <c r="G3438" s="3" t="s">
        <v>194</v>
      </c>
    </row>
    <row r="3439">
      <c r="A3439" s="3" t="s">
        <v>9088</v>
      </c>
      <c r="B3439" s="4" t="str">
        <f>IFERROR(__xludf.DUMMYFUNCTION("GOOGLETRANSLATE(A3439, ""en"", ""te"")"),"24 మంత్ర ఆర్గానిక్ రైస్ ఫ్లోర్")</f>
        <v>24 మంత్ర ఆర్గానిక్ రైస్ ఫ్లోర్</v>
      </c>
      <c r="C3439" s="4" t="str">
        <f>IFERROR(__xludf.DUMMYFUNCTION("GOOGLETRANSLATE(A3439, ""en"", ""hi"")"),"24 मंत्रा ऑर्गेनिक चावल का आटा")</f>
        <v>24 मंत्रा ऑर्गेनिक चावल का आटा</v>
      </c>
      <c r="D3439" s="2" t="s">
        <v>36</v>
      </c>
      <c r="E3439" s="2" t="s">
        <v>2649</v>
      </c>
      <c r="F3439" s="1">
        <v>8.0</v>
      </c>
      <c r="G3439" s="3" t="s">
        <v>194</v>
      </c>
    </row>
    <row r="3440">
      <c r="A3440" s="3" t="s">
        <v>9089</v>
      </c>
      <c r="B3440" s="4" t="str">
        <f>IFERROR(__xludf.DUMMYFUNCTION("GOOGLETRANSLATE(A3440, ""en"", ""te"")"),"తీపి మొక్కజొన్న పిండి")</f>
        <v>తీపి మొక్కజొన్న పిండి</v>
      </c>
      <c r="C3440" s="4" t="str">
        <f>IFERROR(__xludf.DUMMYFUNCTION("GOOGLETRANSLATE(A3440, ""en"", ""hi"")"),"मीठे मक्के का आटा")</f>
        <v>मीठे मक्के का आटा</v>
      </c>
      <c r="D3440" s="5"/>
      <c r="E3440" s="2" t="s">
        <v>2649</v>
      </c>
      <c r="F3440" s="1">
        <v>8.0</v>
      </c>
      <c r="G3440" s="3" t="s">
        <v>194</v>
      </c>
    </row>
    <row r="3441">
      <c r="A3441" s="3" t="s">
        <v>9090</v>
      </c>
      <c r="B3441" s="4" t="str">
        <f>IFERROR(__xludf.DUMMYFUNCTION("GOOGLETRANSLATE(A3441, ""en"", ""te"")"),"ఆరా ఇడ్లీ రవా")</f>
        <v>ఆరా ఇడ్లీ రవా</v>
      </c>
      <c r="C3441" s="4" t="str">
        <f>IFERROR(__xludf.DUMMYFUNCTION("GOOGLETRANSLATE(A3441, ""en"", ""hi"")"),"आरा इडली रवा")</f>
        <v>आरा इडली रवा</v>
      </c>
      <c r="D3441" s="2" t="s">
        <v>1356</v>
      </c>
      <c r="E3441" s="2" t="s">
        <v>2649</v>
      </c>
      <c r="F3441" s="1">
        <v>8.0</v>
      </c>
      <c r="G3441" s="3" t="s">
        <v>29</v>
      </c>
    </row>
    <row r="3442">
      <c r="A3442" s="3" t="s">
        <v>9091</v>
      </c>
      <c r="B3442" s="4" t="str">
        <f>IFERROR(__xludf.DUMMYFUNCTION("GOOGLETRANSLATE(A3442, ""en"", ""te"")"),"దైవీ బేసన్")</f>
        <v>దైవీ బేసన్</v>
      </c>
      <c r="C3442" s="4" t="str">
        <f>IFERROR(__xludf.DUMMYFUNCTION("GOOGLETRANSLATE(A3442, ""en"", ""hi"")"),"दैवी बेसन")</f>
        <v>दैवी बेसन</v>
      </c>
      <c r="D3442" s="2" t="s">
        <v>7052</v>
      </c>
      <c r="E3442" s="2" t="s">
        <v>1038</v>
      </c>
      <c r="F3442" s="1">
        <v>8.0</v>
      </c>
      <c r="G3442" s="3" t="s">
        <v>39</v>
      </c>
    </row>
    <row r="3443">
      <c r="A3443" s="3" t="s">
        <v>9092</v>
      </c>
      <c r="B3443" s="4" t="str">
        <f>IFERROR(__xludf.DUMMYFUNCTION("GOOGLETRANSLATE(A3443, ""en"", ""te"")"),"దైవి జువార్ పిండి")</f>
        <v>దైవి జువార్ పిండి</v>
      </c>
      <c r="C3443" s="4" t="str">
        <f>IFERROR(__xludf.DUMMYFUNCTION("GOOGLETRANSLATE(A3443, ""en"", ""hi"")"),"दैवी ज्वार का आटा")</f>
        <v>दैवी ज्वार का आटा</v>
      </c>
      <c r="D3443" s="2" t="s">
        <v>9076</v>
      </c>
      <c r="E3443" s="2" t="s">
        <v>2649</v>
      </c>
      <c r="F3443" s="1">
        <v>8.0</v>
      </c>
      <c r="G3443" s="3" t="s">
        <v>194</v>
      </c>
    </row>
    <row r="3444">
      <c r="A3444" s="3" t="s">
        <v>9093</v>
      </c>
      <c r="B3444" s="4" t="str">
        <f>IFERROR(__xludf.DUMMYFUNCTION("GOOGLETRANSLATE(A3444, ""en"", ""te"")"),"తెలుగు బియ్యం పిండి")</f>
        <v>తెలుగు బియ్యం పిండి</v>
      </c>
      <c r="C3444" s="4" t="str">
        <f>IFERROR(__xludf.DUMMYFUNCTION("GOOGLETRANSLATE(A3444, ""en"", ""hi"")"),"तेलुगु चावल का आटा")</f>
        <v>तेलुगु चावल का आटा</v>
      </c>
      <c r="D3444" s="2" t="s">
        <v>38</v>
      </c>
      <c r="E3444" s="2" t="s">
        <v>2649</v>
      </c>
      <c r="F3444" s="1">
        <v>8.0</v>
      </c>
      <c r="G3444" s="3" t="s">
        <v>194</v>
      </c>
    </row>
    <row r="3445">
      <c r="A3445" s="3" t="s">
        <v>9094</v>
      </c>
      <c r="B3445" s="4" t="str">
        <f>IFERROR(__xludf.DUMMYFUNCTION("GOOGLETRANSLATE(A3445, ""en"", ""te"")"),"ఆరా కాల్చిన ఉప్మా రవ్వ/బొంబాయి రవ్వ")</f>
        <v>ఆరా కాల్చిన ఉప్మా రవ్వ/బొంబాయి రవ్వ</v>
      </c>
      <c r="C3445" s="4" t="str">
        <f>IFERROR(__xludf.DUMMYFUNCTION("GOOGLETRANSLATE(A3445, ""en"", ""hi"")"),"आरा भुना हुआ उपमा रवा/बॉम्बई रवा")</f>
        <v>आरा भुना हुआ उपमा रवा/बॉम्बई रवा</v>
      </c>
      <c r="D3445" s="5"/>
      <c r="E3445" s="2" t="s">
        <v>2649</v>
      </c>
      <c r="F3445" s="1">
        <v>8.0</v>
      </c>
      <c r="G3445" s="3" t="s">
        <v>292</v>
      </c>
    </row>
    <row r="3446">
      <c r="A3446" s="3" t="s">
        <v>9095</v>
      </c>
      <c r="B3446" s="4" t="str">
        <f>IFERROR(__xludf.DUMMYFUNCTION("GOOGLETRANSLATE(A3446, ""en"", ""te"")"),"ఇడ్లీ రవ్వ (సాధారణ/బ్రాండ్ లేని ప్యాకేజింగ్)")</f>
        <v>ఇడ్లీ రవ్వ (సాధారణ/బ్రాండ్ లేని ప్యాకేజింగ్)</v>
      </c>
      <c r="C3446" s="4" t="str">
        <f>IFERROR(__xludf.DUMMYFUNCTION("GOOGLETRANSLATE(A3446, ""en"", ""hi"")"),"इडली रवा (सामान्य/बिना ब्रांड वाली पैकेजिंग)")</f>
        <v>इडली रवा (सामान्य/बिना ब्रांड वाली पैकेजिंग)</v>
      </c>
      <c r="D3446" s="2" t="s">
        <v>1356</v>
      </c>
      <c r="E3446" s="2" t="s">
        <v>2649</v>
      </c>
      <c r="F3446" s="1">
        <v>8.0</v>
      </c>
      <c r="G3446" s="3" t="s">
        <v>292</v>
      </c>
    </row>
    <row r="3447">
      <c r="A3447" s="3" t="s">
        <v>9090</v>
      </c>
      <c r="B3447" s="4" t="str">
        <f>IFERROR(__xludf.DUMMYFUNCTION("GOOGLETRANSLATE(A3447, ""en"", ""te"")"),"ఆరా ఇడ్లీ రవా")</f>
        <v>ఆరా ఇడ్లీ రవా</v>
      </c>
      <c r="C3447" s="4" t="str">
        <f>IFERROR(__xludf.DUMMYFUNCTION("GOOGLETRANSLATE(A3447, ""en"", ""hi"")"),"आरा इडली रवा")</f>
        <v>आरा इडली रवा</v>
      </c>
      <c r="D3447" s="2" t="s">
        <v>1356</v>
      </c>
      <c r="E3447" s="2" t="s">
        <v>2649</v>
      </c>
      <c r="F3447" s="1">
        <v>8.0</v>
      </c>
      <c r="G3447" s="3" t="s">
        <v>292</v>
      </c>
    </row>
    <row r="3448">
      <c r="A3448" s="3" t="s">
        <v>9096</v>
      </c>
      <c r="B3448" s="4" t="str">
        <f>IFERROR(__xludf.DUMMYFUNCTION("GOOGLETRANSLATE(A3448, ""en"", ""te"")"),"షేర్ కాలా చనా ఫ్లోర్")</f>
        <v>షేర్ కాలా చనా ఫ్లోర్</v>
      </c>
      <c r="C3448" s="4" t="str">
        <f>IFERROR(__xludf.DUMMYFUNCTION("GOOGLETRANSLATE(A3448, ""en"", ""hi"")"),"शेर काला चना आटा")</f>
        <v>शेर काला चना आटा</v>
      </c>
      <c r="D3448" s="2" t="s">
        <v>9097</v>
      </c>
      <c r="E3448" s="2" t="s">
        <v>1038</v>
      </c>
      <c r="F3448" s="1">
        <v>8.0</v>
      </c>
      <c r="G3448" s="3" t="s">
        <v>7053</v>
      </c>
    </row>
    <row r="3449">
      <c r="A3449" s="3" t="s">
        <v>9098</v>
      </c>
      <c r="B3449" s="4" t="str">
        <f>IFERROR(__xludf.DUMMYFUNCTION("GOOGLETRANSLATE(A3449, ""en"", ""te"")"),"స్వాద్ శనగ పిండి")</f>
        <v>స్వాద్ శనగ పిండి</v>
      </c>
      <c r="C3449" s="4" t="str">
        <f>IFERROR(__xludf.DUMMYFUNCTION("GOOGLETRANSLATE(A3449, ""en"", ""hi"")"),"स्वाद चना आटा")</f>
        <v>स्वाद चना आटा</v>
      </c>
      <c r="D3449" s="2" t="s">
        <v>2314</v>
      </c>
      <c r="E3449" s="2" t="s">
        <v>67</v>
      </c>
      <c r="F3449" s="1">
        <v>8.0</v>
      </c>
      <c r="G3449" s="3" t="s">
        <v>7053</v>
      </c>
    </row>
    <row r="3450">
      <c r="A3450" s="3" t="s">
        <v>9091</v>
      </c>
      <c r="B3450" s="4" t="str">
        <f>IFERROR(__xludf.DUMMYFUNCTION("GOOGLETRANSLATE(A3450, ""en"", ""te"")"),"దైవీ బేసన్")</f>
        <v>దైవీ బేసన్</v>
      </c>
      <c r="C3450" s="4" t="str">
        <f>IFERROR(__xludf.DUMMYFUNCTION("GOOGLETRANSLATE(A3450, ""en"", ""hi"")"),"दैवी बेसन")</f>
        <v>दैवी बेसन</v>
      </c>
      <c r="D3450" s="2" t="s">
        <v>7052</v>
      </c>
      <c r="E3450" s="2" t="s">
        <v>1038</v>
      </c>
      <c r="F3450" s="1">
        <v>8.0</v>
      </c>
      <c r="G3450" s="3" t="s">
        <v>7053</v>
      </c>
    </row>
    <row r="3451">
      <c r="A3451" s="3" t="s">
        <v>9082</v>
      </c>
      <c r="B3451" s="4" t="str">
        <f>IFERROR(__xludf.DUMMYFUNCTION("GOOGLETRANSLATE(A3451, ""en"", ""te"")"),"షేర్ బేసన్")</f>
        <v>షేర్ బేసన్</v>
      </c>
      <c r="C3451" s="4" t="str">
        <f>IFERROR(__xludf.DUMMYFUNCTION("GOOGLETRANSLATE(A3451, ""en"", ""hi"")"),"शेर बेसन")</f>
        <v>शेर बेसन</v>
      </c>
      <c r="D3451" s="2" t="s">
        <v>7052</v>
      </c>
      <c r="E3451" s="2" t="s">
        <v>1038</v>
      </c>
      <c r="F3451" s="1">
        <v>8.0</v>
      </c>
      <c r="G3451" s="3" t="s">
        <v>7053</v>
      </c>
    </row>
    <row r="3452">
      <c r="A3452" s="3" t="s">
        <v>2333</v>
      </c>
      <c r="B3452" s="4" t="str">
        <f>IFERROR(__xludf.DUMMYFUNCTION("GOOGLETRANSLATE(A3452, ""en"", ""te"")"),"దీప్ బేసన్")</f>
        <v>దీప్ బేసన్</v>
      </c>
      <c r="C3452" s="4" t="str">
        <f>IFERROR(__xludf.DUMMYFUNCTION("GOOGLETRANSLATE(A3452, ""en"", ""hi"")"),"दीप बेसन")</f>
        <v>दीप बेसन</v>
      </c>
      <c r="D3452" s="2" t="s">
        <v>7052</v>
      </c>
      <c r="E3452" s="2" t="s">
        <v>1038</v>
      </c>
      <c r="F3452" s="1">
        <v>8.0</v>
      </c>
      <c r="G3452" s="3" t="s">
        <v>7053</v>
      </c>
    </row>
    <row r="3453">
      <c r="A3453" s="3" t="s">
        <v>9099</v>
      </c>
      <c r="B3453" s="4" t="str">
        <f>IFERROR(__xludf.DUMMYFUNCTION("GOOGLETRANSLATE(A3453, ""en"", ""te"")"),"రాగి పిండి (జెనరిక్)")</f>
        <v>రాగి పిండి (జెనరిక్)</v>
      </c>
      <c r="C3453" s="4" t="str">
        <f>IFERROR(__xludf.DUMMYFUNCTION("GOOGLETRANSLATE(A3453, ""en"", ""hi"")"),"रागी का आटा (सामान्य)")</f>
        <v>रागी का आटा (सामान्य)</v>
      </c>
      <c r="D3453" s="2" t="s">
        <v>9076</v>
      </c>
      <c r="E3453" s="2" t="s">
        <v>2649</v>
      </c>
      <c r="F3453" s="1">
        <v>8.0</v>
      </c>
      <c r="G3453" s="3" t="s">
        <v>4469</v>
      </c>
    </row>
    <row r="3454">
      <c r="A3454" s="3" t="s">
        <v>9100</v>
      </c>
      <c r="B3454" s="4" t="str">
        <f>IFERROR(__xludf.DUMMYFUNCTION("GOOGLETRANSLATE(A3454, ""en"", ""te"")"),"జస్ట్ ఆర్గానిక్ ఆర్గానిక్ రైస్ ఫ్లోర్")</f>
        <v>జస్ట్ ఆర్గానిక్ ఆర్గానిక్ రైస్ ఫ్లోర్</v>
      </c>
      <c r="C3454" s="4" t="str">
        <f>IFERROR(__xludf.DUMMYFUNCTION("GOOGLETRANSLATE(A3454, ""en"", ""hi"")"),"जस्ट ऑर्गेनिक ऑर्गेनिक चावल का आटा")</f>
        <v>जस्ट ऑर्गेनिक ऑर्गेनिक चावल का आटा</v>
      </c>
      <c r="D3454" s="5"/>
      <c r="E3454" s="2" t="s">
        <v>9</v>
      </c>
      <c r="F3454" s="1">
        <v>8.0</v>
      </c>
      <c r="G3454" s="3" t="s">
        <v>4469</v>
      </c>
    </row>
    <row r="3455">
      <c r="A3455" s="3" t="s">
        <v>9084</v>
      </c>
      <c r="B3455" s="4" t="str">
        <f>IFERROR(__xludf.DUMMYFUNCTION("GOOGLETRANSLATE(A3455, ""en"", ""te"")"),"డైవి బియ్యం పిండి")</f>
        <v>డైవి బియ్యం పిండి</v>
      </c>
      <c r="C3455" s="4" t="str">
        <f>IFERROR(__xludf.DUMMYFUNCTION("GOOGLETRANSLATE(A3455, ""en"", ""hi"")"),"दैवी चावल का आटा")</f>
        <v>दैवी चावल का आटा</v>
      </c>
      <c r="D3455" s="2" t="s">
        <v>36</v>
      </c>
      <c r="E3455" s="2" t="s">
        <v>9</v>
      </c>
      <c r="F3455" s="1">
        <v>8.0</v>
      </c>
      <c r="G3455" s="3" t="s">
        <v>4469</v>
      </c>
    </row>
    <row r="3456">
      <c r="A3456" s="3" t="s">
        <v>9101</v>
      </c>
      <c r="B3456" s="4" t="str">
        <f>IFERROR(__xludf.DUMMYFUNCTION("GOOGLETRANSLATE(A3456, ""en"", ""te"")"),"లైవి బియ్యం పిండి")</f>
        <v>లైవి బియ్యం పిండి</v>
      </c>
      <c r="C3456" s="4" t="str">
        <f>IFERROR(__xludf.DUMMYFUNCTION("GOOGLETRANSLATE(A3456, ""en"", ""hi"")"),"लाइवी चावल का आटा")</f>
        <v>लाइवी चावल का आटा</v>
      </c>
      <c r="D3456" s="2" t="s">
        <v>38</v>
      </c>
      <c r="E3456" s="2" t="s">
        <v>9</v>
      </c>
      <c r="F3456" s="1">
        <v>8.0</v>
      </c>
      <c r="G3456" s="3" t="s">
        <v>4469</v>
      </c>
    </row>
    <row r="3457">
      <c r="A3457" s="3" t="s">
        <v>9086</v>
      </c>
      <c r="B3457" s="4" t="str">
        <f>IFERROR(__xludf.DUMMYFUNCTION("GOOGLETRANSLATE(A3457, ""en"", ""te"")"),"లోతైన బియ్యం పిండి")</f>
        <v>లోతైన బియ్యం పిండి</v>
      </c>
      <c r="C3457" s="4" t="str">
        <f>IFERROR(__xludf.DUMMYFUNCTION("GOOGLETRANSLATE(A3457, ""en"", ""hi"")"),"डीप राइस फ्लोर")</f>
        <v>डीप राइस फ्लोर</v>
      </c>
      <c r="D3457" s="2" t="s">
        <v>36</v>
      </c>
      <c r="E3457" s="2" t="s">
        <v>9</v>
      </c>
      <c r="F3457" s="1">
        <v>8.0</v>
      </c>
      <c r="G3457" s="3" t="s">
        <v>4469</v>
      </c>
    </row>
    <row r="3458">
      <c r="A3458" s="3" t="s">
        <v>9102</v>
      </c>
      <c r="B3458" s="4" t="str">
        <f>IFERROR(__xludf.DUMMYFUNCTION("GOOGLETRANSLATE(A3458, ""en"", ""te"")"),"స్వాద్ రోస్టెడ్ ఉప్మా సూజీ")</f>
        <v>స్వాద్ రోస్టెడ్ ఉప్మా సూజీ</v>
      </c>
      <c r="C3458" s="4" t="str">
        <f>IFERROR(__xludf.DUMMYFUNCTION("GOOGLETRANSLATE(A3458, ""en"", ""hi"")"),"स्वाद रोस्टेड उपमा सूजी")</f>
        <v>स्वाद रोस्टेड उपमा सूजी</v>
      </c>
      <c r="D3458" s="2" t="s">
        <v>9103</v>
      </c>
      <c r="E3458" s="2" t="s">
        <v>2649</v>
      </c>
      <c r="F3458" s="1">
        <v>8.0</v>
      </c>
      <c r="G3458" s="3" t="s">
        <v>292</v>
      </c>
    </row>
    <row r="3459">
      <c r="A3459" s="3" t="s">
        <v>9104</v>
      </c>
      <c r="B3459" s="4" t="str">
        <f>IFERROR(__xludf.DUMMYFUNCTION("GOOGLETRANSLATE(A3459, ""en"", ""te"")"),"శ్వేత తెలుగు కాల్చిన ఉప్మా రవ్వ/బొంబాయి రవ్వ")</f>
        <v>శ్వేత తెలుగు కాల్చిన ఉప్మా రవ్వ/బొంబాయి రవ్వ</v>
      </c>
      <c r="C3459" s="4" t="str">
        <f>IFERROR(__xludf.DUMMYFUNCTION("GOOGLETRANSLATE(A3459, ""en"", ""hi"")"),"स्वेता तेलुगु भुना हुआ उपमा रवा/बॉम्बई रवा")</f>
        <v>स्वेता तेलुगु भुना हुआ उपमा रवा/बॉम्बई रवा</v>
      </c>
      <c r="D3459" s="2" t="s">
        <v>8429</v>
      </c>
      <c r="E3459" s="2" t="s">
        <v>2649</v>
      </c>
      <c r="F3459" s="1">
        <v>8.0</v>
      </c>
      <c r="G3459" s="3" t="s">
        <v>292</v>
      </c>
    </row>
    <row r="3460">
      <c r="A3460" s="3" t="s">
        <v>9105</v>
      </c>
      <c r="B3460" s="4" t="str">
        <f>IFERROR(__xludf.DUMMYFUNCTION("GOOGLETRANSLATE(A3460, ""en"", ""te"")"),"శ్వేత తెలుగు ఇడ్లీ రవా")</f>
        <v>శ్వేత తెలుగు ఇడ్లీ రవా</v>
      </c>
      <c r="C3460" s="4" t="str">
        <f>IFERROR(__xludf.DUMMYFUNCTION("GOOGLETRANSLATE(A3460, ""en"", ""hi"")"),"श्वेता तेलुगु इडली रवा")</f>
        <v>श्वेता तेलुगु इडली रवा</v>
      </c>
      <c r="D3460" s="2" t="s">
        <v>1356</v>
      </c>
      <c r="E3460" s="2" t="s">
        <v>2649</v>
      </c>
      <c r="F3460" s="1">
        <v>8.0</v>
      </c>
      <c r="G3460" s="3" t="s">
        <v>292</v>
      </c>
    </row>
    <row r="3461">
      <c r="A3461" s="3" t="s">
        <v>9106</v>
      </c>
      <c r="B3461" s="4" t="str">
        <f>IFERROR(__xludf.DUMMYFUNCTION("GOOGLETRANSLATE(A3461, ""en"", ""te"")"),"స్వాడ్ సూపర్‌ఫైన్ గ్రాము పిండి (బేసన్)")</f>
        <v>స్వాడ్ సూపర్‌ఫైన్ గ్రాము పిండి (బేసన్)</v>
      </c>
      <c r="C3461" s="4" t="str">
        <f>IFERROR(__xludf.DUMMYFUNCTION("GOOGLETRANSLATE(A3461, ""en"", ""hi"")"),"स्वाद सुपरफाइन बेसन (बेसन)")</f>
        <v>स्वाद सुपरफाइन बेसन (बेसन)</v>
      </c>
      <c r="D3461" s="2" t="s">
        <v>9107</v>
      </c>
      <c r="E3461" s="2" t="s">
        <v>67</v>
      </c>
      <c r="F3461" s="1">
        <v>8.0</v>
      </c>
      <c r="G3461" s="3" t="s">
        <v>7053</v>
      </c>
    </row>
    <row r="3462">
      <c r="A3462" s="3" t="s">
        <v>9108</v>
      </c>
      <c r="B3462" s="4" t="str">
        <f>IFERROR(__xludf.DUMMYFUNCTION("GOOGLETRANSLATE(A3462, ""en"", ""te"")"),"దైవీ నేచురల్ ఫుడ్ బెసన్ గ్రాము పిండి")</f>
        <v>దైవీ నేచురల్ ఫుడ్ బెసన్ గ్రాము పిండి</v>
      </c>
      <c r="C3462" s="4" t="str">
        <f>IFERROR(__xludf.DUMMYFUNCTION("GOOGLETRANSLATE(A3462, ""en"", ""hi"")"),"दैवी प्राकृतिक खाद्य बेसन बेसन")</f>
        <v>दैवी प्राकृतिक खाद्य बेसन बेसन</v>
      </c>
      <c r="D3462" s="5"/>
      <c r="E3462" s="2" t="s">
        <v>67</v>
      </c>
      <c r="F3462" s="1">
        <v>8.0</v>
      </c>
      <c r="G3462" s="3" t="s">
        <v>7053</v>
      </c>
    </row>
    <row r="3463">
      <c r="A3463" s="3" t="s">
        <v>9109</v>
      </c>
      <c r="B3463" s="4" t="str">
        <f>IFERROR(__xludf.DUMMYFUNCTION("GOOGLETRANSLATE(A3463, ""en"", ""te"")"),"జస్ట్ ఆర్గానిక్ 9 గ్రెయిన్స్ ఫ్లోర్")</f>
        <v>జస్ట్ ఆర్గానిక్ 9 గ్రెయిన్స్ ఫ్లోర్</v>
      </c>
      <c r="C3463" s="4" t="str">
        <f>IFERROR(__xludf.DUMMYFUNCTION("GOOGLETRANSLATE(A3463, ""en"", ""hi"")"),"जस्ट ऑर्गेनिक 9 अनाज का आटा")</f>
        <v>जस्ट ऑर्गेनिक 9 अनाज का आटा</v>
      </c>
      <c r="D3463" s="5"/>
      <c r="E3463" s="2" t="s">
        <v>67</v>
      </c>
      <c r="F3463" s="1">
        <v>8.0</v>
      </c>
      <c r="G3463" s="3" t="s">
        <v>4469</v>
      </c>
    </row>
    <row r="3464">
      <c r="A3464" s="3" t="s">
        <v>9110</v>
      </c>
      <c r="B3464" s="4" t="str">
        <f>IFERROR(__xludf.DUMMYFUNCTION("GOOGLETRANSLATE(A3464, ""en"", ""te"")"),"స్వాద్ బార్లీ పిండి")</f>
        <v>స్వాద్ బార్లీ పిండి</v>
      </c>
      <c r="C3464" s="4" t="str">
        <f>IFERROR(__xludf.DUMMYFUNCTION("GOOGLETRANSLATE(A3464, ""en"", ""hi"")"),"स्वाद जौ का आटा")</f>
        <v>स्वाद जौ का आटा</v>
      </c>
      <c r="D3464" s="2" t="s">
        <v>7182</v>
      </c>
      <c r="E3464" s="2" t="s">
        <v>67</v>
      </c>
      <c r="F3464" s="1">
        <v>8.0</v>
      </c>
      <c r="G3464" s="3" t="s">
        <v>4469</v>
      </c>
    </row>
    <row r="3465">
      <c r="A3465" s="3" t="s">
        <v>9111</v>
      </c>
      <c r="B3465" s="4" t="str">
        <f>IFERROR(__xludf.DUMMYFUNCTION("GOOGLETRANSLATE(A3465, ""en"", ""te"")"),"సేంద్రీయ బజ్రా పిండి")</f>
        <v>సేంద్రీయ బజ్రా పిండి</v>
      </c>
      <c r="C3465" s="4" t="str">
        <f>IFERROR(__xludf.DUMMYFUNCTION("GOOGLETRANSLATE(A3465, ""en"", ""hi"")"),"ऑर्गेनिक बाजरा का आटा")</f>
        <v>ऑर्गेनिक बाजरा का आटा</v>
      </c>
      <c r="D3465" s="2" t="s">
        <v>9076</v>
      </c>
      <c r="E3465" s="2" t="s">
        <v>67</v>
      </c>
      <c r="F3465" s="1">
        <v>8.0</v>
      </c>
      <c r="G3465" s="3" t="s">
        <v>4469</v>
      </c>
    </row>
    <row r="3466">
      <c r="A3466" s="3" t="s">
        <v>9112</v>
      </c>
      <c r="B3466" s="4" t="str">
        <f>IFERROR(__xludf.DUMMYFUNCTION("GOOGLETRANSLATE(A3466, ""en"", ""te"")"),"లక్ష్మి రాగి పిండి")</f>
        <v>లక్ష్మి రాగి పిండి</v>
      </c>
      <c r="C3466" s="4" t="str">
        <f>IFERROR(__xludf.DUMMYFUNCTION("GOOGLETRANSLATE(A3466, ""en"", ""hi"")"),"लक्ष्मी रागी का आटा")</f>
        <v>लक्ष्मी रागी का आटा</v>
      </c>
      <c r="D3466" s="2" t="s">
        <v>9076</v>
      </c>
      <c r="E3466" s="2" t="s">
        <v>67</v>
      </c>
      <c r="F3466" s="1">
        <v>8.0</v>
      </c>
      <c r="G3466" s="3" t="s">
        <v>4469</v>
      </c>
    </row>
    <row r="3467">
      <c r="A3467" s="3" t="s">
        <v>9085</v>
      </c>
      <c r="B3467" s="4" t="str">
        <f>IFERROR(__xludf.DUMMYFUNCTION("GOOGLETRANSLATE(A3467, ""en"", ""te"")"),"జస్ట్ ఆర్గానిక్ రైస్ ఫ్లోర్")</f>
        <v>జస్ట్ ఆర్గానిక్ రైస్ ఫ్లోర్</v>
      </c>
      <c r="C3467" s="4" t="str">
        <f>IFERROR(__xludf.DUMMYFUNCTION("GOOGLETRANSLATE(A3467, ""en"", ""hi"")"),"जस्ट ऑर्गेनिक चावल का आटा")</f>
        <v>जस्ट ऑर्गेनिक चावल का आटा</v>
      </c>
      <c r="D3467" s="5"/>
      <c r="E3467" s="2" t="s">
        <v>9</v>
      </c>
      <c r="F3467" s="1">
        <v>8.0</v>
      </c>
      <c r="G3467" s="3" t="s">
        <v>4469</v>
      </c>
    </row>
    <row r="3468">
      <c r="A3468" s="3" t="s">
        <v>9113</v>
      </c>
      <c r="B3468" s="4" t="str">
        <f>IFERROR(__xludf.DUMMYFUNCTION("GOOGLETRANSLATE(A3468, ""en"", ""te"")"),"దైవి నేచురల్ ఫుడ్ రైస్ ఫ్లోర్")</f>
        <v>దైవి నేచురల్ ఫుడ్ రైస్ ఫ్లోర్</v>
      </c>
      <c r="C3468" s="4" t="str">
        <f>IFERROR(__xludf.DUMMYFUNCTION("GOOGLETRANSLATE(A3468, ""en"", ""hi"")"),"दैवी नेचुरल फूड चावल का आटा")</f>
        <v>दैवी नेचुरल फूड चावल का आटा</v>
      </c>
      <c r="D3468" s="2" t="s">
        <v>36</v>
      </c>
      <c r="E3468" s="2" t="s">
        <v>67</v>
      </c>
      <c r="F3468" s="1">
        <v>8.0</v>
      </c>
      <c r="G3468" s="3" t="s">
        <v>4469</v>
      </c>
    </row>
    <row r="3469">
      <c r="A3469" s="3" t="s">
        <v>6390</v>
      </c>
      <c r="B3469" s="4" t="str">
        <f>IFERROR(__xludf.DUMMYFUNCTION("GOOGLETRANSLATE(A3469, ""en"", ""te"")"),"స్వాద్ సూజీ కోర్స్")</f>
        <v>స్వాద్ సూజీ కోర్స్</v>
      </c>
      <c r="C3469" s="4" t="str">
        <f>IFERROR(__xludf.DUMMYFUNCTION("GOOGLETRANSLATE(A3469, ""en"", ""hi"")"),"स्वाद सूजी कोर्स")</f>
        <v>स्वाद सूजी कोर्स</v>
      </c>
      <c r="D3469" s="2" t="s">
        <v>9114</v>
      </c>
      <c r="E3469" s="2" t="s">
        <v>67</v>
      </c>
      <c r="F3469" s="1">
        <v>8.0</v>
      </c>
      <c r="G3469" s="3" t="s">
        <v>292</v>
      </c>
    </row>
    <row r="3470">
      <c r="A3470" s="3" t="s">
        <v>9115</v>
      </c>
      <c r="B3470" s="4" t="str">
        <f>IFERROR(__xludf.DUMMYFUNCTION("GOOGLETRANSLATE(A3470, ""en"", ""te"")"),"స్వాద్ సూజీ ఫైన్")</f>
        <v>స్వాద్ సూజీ ఫైన్</v>
      </c>
      <c r="C3470" s="4" t="str">
        <f>IFERROR(__xludf.DUMMYFUNCTION("GOOGLETRANSLATE(A3470, ""en"", ""hi"")"),"स्वाद सूजी फाइन")</f>
        <v>स्वाद सूजी फाइन</v>
      </c>
      <c r="D3470" s="2" t="s">
        <v>9114</v>
      </c>
      <c r="E3470" s="2" t="s">
        <v>2649</v>
      </c>
      <c r="F3470" s="1">
        <v>8.0</v>
      </c>
      <c r="G3470" s="3" t="s">
        <v>292</v>
      </c>
    </row>
    <row r="3471">
      <c r="A3471" s="3" t="s">
        <v>9116</v>
      </c>
      <c r="B3471" s="4" t="str">
        <f>IFERROR(__xludf.DUMMYFUNCTION("GOOGLETRANSLATE(A3471, ""en"", ""te"")"),"శ్వేత రోస్టెడ్ ఉప్మా రవ్వ")</f>
        <v>శ్వేత రోస్టెడ్ ఉప్మా రవ్వ</v>
      </c>
      <c r="C3471" s="4" t="str">
        <f>IFERROR(__xludf.DUMMYFUNCTION("GOOGLETRANSLATE(A3471, ""en"", ""hi"")"),"श्वेता रोस्टेड उपमा रवा")</f>
        <v>श्वेता रोस्टेड उपमा रवा</v>
      </c>
      <c r="D3471" s="5"/>
      <c r="E3471" s="2" t="s">
        <v>2649</v>
      </c>
      <c r="F3471" s="1">
        <v>8.0</v>
      </c>
      <c r="G3471" s="3" t="s">
        <v>292</v>
      </c>
    </row>
    <row r="3472">
      <c r="A3472" s="3" t="s">
        <v>9117</v>
      </c>
      <c r="B3472" s="4" t="str">
        <f>IFERROR(__xludf.DUMMYFUNCTION("GOOGLETRANSLATE(A3472, ""en"", ""te"")"),"సారా రోస్టెడ్ ఉప్మా రవ్వ")</f>
        <v>సారా రోస్టెడ్ ఉప్మా రవ్వ</v>
      </c>
      <c r="C3472" s="4" t="str">
        <f>IFERROR(__xludf.DUMMYFUNCTION("GOOGLETRANSLATE(A3472, ""en"", ""hi"")"),"सारा रोस्टेड उपमा रवा")</f>
        <v>सारा रोस्टेड उपमा रवा</v>
      </c>
      <c r="D3472" s="5"/>
      <c r="E3472" s="2" t="s">
        <v>2649</v>
      </c>
      <c r="F3472" s="1">
        <v>8.0</v>
      </c>
      <c r="G3472" s="3" t="s">
        <v>292</v>
      </c>
    </row>
    <row r="3473">
      <c r="A3473" s="3" t="s">
        <v>9118</v>
      </c>
      <c r="B3473" s="4" t="str">
        <f>IFERROR(__xludf.DUMMYFUNCTION("GOOGLETRANSLATE(A3473, ""en"", ""te"")"),"లక్ష్మి బజ్రి పిండి")</f>
        <v>లక్ష్మి బజ్రి పిండి</v>
      </c>
      <c r="C3473" s="4" t="str">
        <f>IFERROR(__xludf.DUMMYFUNCTION("GOOGLETRANSLATE(A3473, ""en"", ""hi"")"),"लक्ष्मी बाजरे का आटा")</f>
        <v>लक्ष्मी बाजरे का आटा</v>
      </c>
      <c r="D3473" s="2" t="s">
        <v>9076</v>
      </c>
      <c r="E3473" s="2" t="s">
        <v>67</v>
      </c>
      <c r="F3473" s="1">
        <v>8.0</v>
      </c>
      <c r="G3473" s="3" t="s">
        <v>7053</v>
      </c>
    </row>
    <row r="3474">
      <c r="A3474" s="3" t="s">
        <v>9119</v>
      </c>
      <c r="B3474" s="4" t="str">
        <f>IFERROR(__xludf.DUMMYFUNCTION("GOOGLETRANSLATE(A3474, ""en"", ""te"")"),"స్వాద్ బజ్రి పిండి")</f>
        <v>స్వాద్ బజ్రి పిండి</v>
      </c>
      <c r="C3474" s="4" t="str">
        <f>IFERROR(__xludf.DUMMYFUNCTION("GOOGLETRANSLATE(A3474, ""en"", ""hi"")"),"स्वाद बाजरे का आटा")</f>
        <v>स्वाद बाजरे का आटा</v>
      </c>
      <c r="D3474" s="2" t="s">
        <v>9076</v>
      </c>
      <c r="E3474" s="2" t="s">
        <v>67</v>
      </c>
      <c r="F3474" s="1">
        <v>8.0</v>
      </c>
      <c r="G3474" s="3" t="s">
        <v>7053</v>
      </c>
    </row>
    <row r="3475">
      <c r="A3475" s="3" t="s">
        <v>9092</v>
      </c>
      <c r="B3475" s="4" t="str">
        <f>IFERROR(__xludf.DUMMYFUNCTION("GOOGLETRANSLATE(A3475, ""en"", ""te"")"),"దైవి జువార్ పిండి")</f>
        <v>దైవి జువార్ పిండి</v>
      </c>
      <c r="C3475" s="4" t="str">
        <f>IFERROR(__xludf.DUMMYFUNCTION("GOOGLETRANSLATE(A3475, ""en"", ""hi"")"),"दैवी ज्वार का आटा")</f>
        <v>दैवी ज्वार का आटा</v>
      </c>
      <c r="D3475" s="2" t="s">
        <v>9076</v>
      </c>
      <c r="E3475" s="2" t="s">
        <v>2649</v>
      </c>
      <c r="F3475" s="1">
        <v>8.0</v>
      </c>
      <c r="G3475" s="3" t="s">
        <v>7053</v>
      </c>
    </row>
    <row r="3476">
      <c r="A3476" s="3" t="s">
        <v>9120</v>
      </c>
      <c r="B3476" s="4" t="str">
        <f>IFERROR(__xludf.DUMMYFUNCTION("GOOGLETRANSLATE(A3476, ""en"", ""te"")"),"లక్ష్మి జొన్న పిండి")</f>
        <v>లక్ష్మి జొన్న పిండి</v>
      </c>
      <c r="C3476" s="4" t="str">
        <f>IFERROR(__xludf.DUMMYFUNCTION("GOOGLETRANSLATE(A3476, ""en"", ""hi"")"),"लक्ष्मी ज्वार का आटा")</f>
        <v>लक्ष्मी ज्वार का आटा</v>
      </c>
      <c r="D3476" s="2" t="s">
        <v>9076</v>
      </c>
      <c r="E3476" s="2" t="s">
        <v>2649</v>
      </c>
      <c r="F3476" s="1">
        <v>8.0</v>
      </c>
      <c r="G3476" s="3" t="s">
        <v>7053</v>
      </c>
    </row>
    <row r="3477">
      <c r="A3477" s="3" t="s">
        <v>9121</v>
      </c>
      <c r="B3477" s="4" t="str">
        <f>IFERROR(__xludf.DUMMYFUNCTION("GOOGLETRANSLATE(A3477, ""en"", ""te"")"),"స్వాద్ సూపర్ ఫైన్ గ్రామ్ ఫ్లోర్")</f>
        <v>స్వాద్ సూపర్ ఫైన్ గ్రామ్ ఫ్లోర్</v>
      </c>
      <c r="C3477" s="4" t="str">
        <f>IFERROR(__xludf.DUMMYFUNCTION("GOOGLETRANSLATE(A3477, ""en"", ""hi"")"),"स्वाद सुपरफाइन बेसन")</f>
        <v>स्वाद सुपरफाइन बेसन</v>
      </c>
      <c r="D3477" s="2" t="s">
        <v>2314</v>
      </c>
      <c r="E3477" s="2" t="s">
        <v>67</v>
      </c>
      <c r="F3477" s="1">
        <v>8.0</v>
      </c>
      <c r="G3477" s="3" t="s">
        <v>7053</v>
      </c>
    </row>
    <row r="3478">
      <c r="A3478" s="3" t="s">
        <v>9122</v>
      </c>
      <c r="B3478" s="4" t="str">
        <f>IFERROR(__xludf.DUMMYFUNCTION("GOOGLETRANSLATE(A3478, ""en"", ""te"")"),"ఆనంద్ ఇన్‌స్టంట్ రవ్వ ఉప్మా మిక్స్")</f>
        <v>ఆనంద్ ఇన్‌స్టంట్ రవ్వ ఉప్మా మిక్స్</v>
      </c>
      <c r="C3478" s="4" t="str">
        <f>IFERROR(__xludf.DUMMYFUNCTION("GOOGLETRANSLATE(A3478, ""en"", ""hi"")"),"आनंद इंस्टेंट रवा उपमा मिक्स")</f>
        <v>आनंद इंस्टेंट रवा उपमा मिक्स</v>
      </c>
      <c r="D3478" s="5"/>
      <c r="E3478" s="2" t="s">
        <v>940</v>
      </c>
      <c r="F3478" s="1">
        <v>8.0</v>
      </c>
      <c r="G3478" s="3" t="s">
        <v>4469</v>
      </c>
    </row>
    <row r="3479">
      <c r="A3479" s="3" t="s">
        <v>9123</v>
      </c>
      <c r="B3479" s="4" t="str">
        <f>IFERROR(__xludf.DUMMYFUNCTION("GOOGLETRANSLATE(A3479, ""en"", ""te"")"),"సేంద్రీయ బార్లీ పిండి")</f>
        <v>సేంద్రీయ బార్లీ పిండి</v>
      </c>
      <c r="C3479" s="4" t="str">
        <f>IFERROR(__xludf.DUMMYFUNCTION("GOOGLETRANSLATE(A3479, ""en"", ""hi"")"),"जैविक जौ का आटा")</f>
        <v>जैविक जौ का आटा</v>
      </c>
      <c r="D3479" s="5"/>
      <c r="E3479" s="2" t="s">
        <v>67</v>
      </c>
      <c r="F3479" s="1">
        <v>8.0</v>
      </c>
      <c r="G3479" s="3" t="s">
        <v>4469</v>
      </c>
    </row>
    <row r="3480">
      <c r="A3480" s="3" t="s">
        <v>9124</v>
      </c>
      <c r="B3480" s="4" t="str">
        <f>IFERROR(__xludf.DUMMYFUNCTION("GOOGLETRANSLATE(A3480, ""en"", ""te"")"),"లక్ష్మి సూజీ ఫైన్")</f>
        <v>లక్ష్మి సూజీ ఫైన్</v>
      </c>
      <c r="C3480" s="4" t="str">
        <f>IFERROR(__xludf.DUMMYFUNCTION("GOOGLETRANSLATE(A3480, ""en"", ""hi"")"),"लक्ष्मी सूजी फाइन")</f>
        <v>लक्ष्मी सूजी फाइन</v>
      </c>
      <c r="D3480" s="2" t="s">
        <v>9114</v>
      </c>
      <c r="E3480" s="2" t="s">
        <v>2649</v>
      </c>
      <c r="F3480" s="1">
        <v>8.0</v>
      </c>
      <c r="G3480" s="3" t="s">
        <v>4924</v>
      </c>
    </row>
    <row r="3481">
      <c r="A3481" s="3" t="s">
        <v>9125</v>
      </c>
      <c r="B3481" s="4" t="str">
        <f>IFERROR(__xludf.DUMMYFUNCTION("GOOGLETRANSLATE(A3481, ""en"", ""te"")"),"పటా సూజీ కోర్స్")</f>
        <v>పటా సూజీ కోర్స్</v>
      </c>
      <c r="C3481" s="4" t="str">
        <f>IFERROR(__xludf.DUMMYFUNCTION("GOOGLETRANSLATE(A3481, ""en"", ""hi"")"),"पाटा सूजी कोर्स")</f>
        <v>पाटा सूजी कोर्स</v>
      </c>
      <c r="D3481" s="5"/>
      <c r="E3481" s="2" t="s">
        <v>2649</v>
      </c>
      <c r="F3481" s="1">
        <v>8.0</v>
      </c>
      <c r="G3481" s="3" t="s">
        <v>4924</v>
      </c>
    </row>
    <row r="3482">
      <c r="A3482" s="3" t="s">
        <v>9126</v>
      </c>
      <c r="B3482" s="4" t="str">
        <f>IFERROR(__xludf.DUMMYFUNCTION("GOOGLETRANSLATE(A3482, ""en"", ""te"")"),"సూజీ ఫైన్")</f>
        <v>సూజీ ఫైన్</v>
      </c>
      <c r="C3482" s="4" t="str">
        <f>IFERROR(__xludf.DUMMYFUNCTION("GOOGLETRANSLATE(A3482, ""en"", ""hi"")"),"सूजी फाइन")</f>
        <v>सूजी फाइन</v>
      </c>
      <c r="D3482" s="2" t="s">
        <v>9114</v>
      </c>
      <c r="E3482" s="2" t="s">
        <v>2649</v>
      </c>
      <c r="F3482" s="1">
        <v>8.0</v>
      </c>
      <c r="G3482" s="3" t="s">
        <v>4924</v>
      </c>
    </row>
    <row r="3483">
      <c r="A3483" s="3" t="s">
        <v>9127</v>
      </c>
      <c r="B3483" s="4" t="str">
        <f>IFERROR(__xludf.DUMMYFUNCTION("GOOGLETRANSLATE(A3483, ""en"", ""te"")"),"స్వద్ రోస్టెడ్ ఉప్మా మిక్స్")</f>
        <v>స్వద్ రోస్టెడ్ ఉప్మా మిక్స్</v>
      </c>
      <c r="C3483" s="4" t="str">
        <f>IFERROR(__xludf.DUMMYFUNCTION("GOOGLETRANSLATE(A3483, ""en"", ""hi"")"),"स्वाद रोस्टेड उपमा मिक्स")</f>
        <v>स्वाद रोस्टेड उपमा मिक्स</v>
      </c>
      <c r="D3483" s="5"/>
      <c r="E3483" s="2" t="s">
        <v>940</v>
      </c>
      <c r="F3483" s="1">
        <v>8.0</v>
      </c>
      <c r="G3483" s="3" t="s">
        <v>4924</v>
      </c>
    </row>
    <row r="3484">
      <c r="A3484" s="3" t="s">
        <v>9128</v>
      </c>
      <c r="B3484" s="4" t="str">
        <f>IFERROR(__xludf.DUMMYFUNCTION("GOOGLETRANSLATE(A3484, ""en"", ""te"")"),"స్వద్ రోస్టెడ్ ఉప్మా సూజీ")</f>
        <v>స్వద్ రోస్టెడ్ ఉప్మా సూజీ</v>
      </c>
      <c r="C3484" s="4" t="str">
        <f>IFERROR(__xludf.DUMMYFUNCTION("GOOGLETRANSLATE(A3484, ""en"", ""hi"")"),"स्वाद रोस्टेड उपमा सूजी")</f>
        <v>स्वाद रोस्टेड उपमा सूजी</v>
      </c>
      <c r="D3484" s="2" t="s">
        <v>8787</v>
      </c>
      <c r="E3484" s="2" t="s">
        <v>2649</v>
      </c>
      <c r="F3484" s="1">
        <v>8.0</v>
      </c>
      <c r="G3484" s="3" t="s">
        <v>4924</v>
      </c>
    </row>
    <row r="3485">
      <c r="A3485" s="3" t="s">
        <v>9129</v>
      </c>
      <c r="B3485" s="4" t="str">
        <f>IFERROR(__xludf.DUMMYFUNCTION("GOOGLETRANSLATE(A3485, ""en"", ""te"")"),"క్రాక్ వీట్")</f>
        <v>క్రాక్ వీట్</v>
      </c>
      <c r="C3485" s="4" t="str">
        <f>IFERROR(__xludf.DUMMYFUNCTION("GOOGLETRANSLATE(A3485, ""en"", ""hi"")"),"गेहूं के टुकड़े")</f>
        <v>गेहूं के टुकड़े</v>
      </c>
      <c r="D3485" s="2" t="s">
        <v>9130</v>
      </c>
      <c r="E3485" s="2" t="s">
        <v>67</v>
      </c>
      <c r="F3485" s="1">
        <v>8.0</v>
      </c>
      <c r="G3485" s="3" t="s">
        <v>4933</v>
      </c>
    </row>
    <row r="3486">
      <c r="A3486" s="3" t="s">
        <v>9118</v>
      </c>
      <c r="B3486" s="4" t="str">
        <f>IFERROR(__xludf.DUMMYFUNCTION("GOOGLETRANSLATE(A3486, ""en"", ""te"")"),"లక్ష్మి బజ్రి పిండి")</f>
        <v>లక్ష్మి బజ్రి పిండి</v>
      </c>
      <c r="C3486" s="4" t="str">
        <f>IFERROR(__xludf.DUMMYFUNCTION("GOOGLETRANSLATE(A3486, ""en"", ""hi"")"),"लक्ष्मी बाजरे का आटा")</f>
        <v>लक्ष्मी बाजरे का आटा</v>
      </c>
      <c r="D3486" s="2" t="s">
        <v>9076</v>
      </c>
      <c r="E3486" s="2" t="s">
        <v>67</v>
      </c>
      <c r="F3486" s="1">
        <v>8.0</v>
      </c>
      <c r="G3486" s="3" t="s">
        <v>4933</v>
      </c>
    </row>
    <row r="3487">
      <c r="A3487" s="3" t="s">
        <v>9119</v>
      </c>
      <c r="B3487" s="4" t="str">
        <f>IFERROR(__xludf.DUMMYFUNCTION("GOOGLETRANSLATE(A3487, ""en"", ""te"")"),"స్వాద్ బజ్రి పిండి")</f>
        <v>స్వాద్ బజ్రి పిండి</v>
      </c>
      <c r="C3487" s="4" t="str">
        <f>IFERROR(__xludf.DUMMYFUNCTION("GOOGLETRANSLATE(A3487, ""en"", ""hi"")"),"स्वाद बाजरे का आटा")</f>
        <v>स्वाद बाजरे का आटा</v>
      </c>
      <c r="D3487" s="2" t="s">
        <v>9076</v>
      </c>
      <c r="E3487" s="2" t="s">
        <v>67</v>
      </c>
      <c r="F3487" s="1">
        <v>8.0</v>
      </c>
      <c r="G3487" s="3" t="s">
        <v>4933</v>
      </c>
    </row>
    <row r="3488">
      <c r="A3488" s="3" t="s">
        <v>9092</v>
      </c>
      <c r="B3488" s="4" t="str">
        <f>IFERROR(__xludf.DUMMYFUNCTION("GOOGLETRANSLATE(A3488, ""en"", ""te"")"),"దైవి జువార్ పిండి")</f>
        <v>దైవి జువార్ పిండి</v>
      </c>
      <c r="C3488" s="4" t="str">
        <f>IFERROR(__xludf.DUMMYFUNCTION("GOOGLETRANSLATE(A3488, ""en"", ""hi"")"),"दैवी ज्वार का आटा")</f>
        <v>दैवी ज्वार का आटा</v>
      </c>
      <c r="D3488" s="2" t="s">
        <v>9076</v>
      </c>
      <c r="E3488" s="2" t="s">
        <v>2649</v>
      </c>
      <c r="F3488" s="1">
        <v>8.0</v>
      </c>
      <c r="G3488" s="3" t="s">
        <v>4933</v>
      </c>
    </row>
    <row r="3489">
      <c r="A3489" s="3" t="s">
        <v>9131</v>
      </c>
      <c r="B3489" s="4" t="str">
        <f>IFERROR(__xludf.DUMMYFUNCTION("GOOGLETRANSLATE(A3489, ""en"", ""te"")"),"ఆనంద్ ఇన్‌స్టంట్ పౌడర్ మిక్స్")</f>
        <v>ఆనంద్ ఇన్‌స్టంట్ పౌడర్ మిక్స్</v>
      </c>
      <c r="C3489" s="4" t="str">
        <f>IFERROR(__xludf.DUMMYFUNCTION("GOOGLETRANSLATE(A3489, ""en"", ""hi"")"),"आनंद इंस्टेंट पाउडर मिक्स")</f>
        <v>आनंद इंस्टेंट पाउडर मिक्स</v>
      </c>
      <c r="D3489" s="2" t="s">
        <v>6469</v>
      </c>
      <c r="E3489" s="2" t="s">
        <v>442</v>
      </c>
      <c r="F3489" s="1">
        <v>8.0</v>
      </c>
      <c r="G3489" s="3" t="s">
        <v>7163</v>
      </c>
    </row>
    <row r="3490">
      <c r="A3490" s="3" t="s">
        <v>9122</v>
      </c>
      <c r="B3490" s="4" t="str">
        <f>IFERROR(__xludf.DUMMYFUNCTION("GOOGLETRANSLATE(A3490, ""en"", ""te"")"),"ఆనంద్ ఇన్‌స్టంట్ రవ్వ ఉప్మా మిక్స్")</f>
        <v>ఆనంద్ ఇన్‌స్టంట్ రవ్వ ఉప్మా మిక్స్</v>
      </c>
      <c r="C3490" s="4" t="str">
        <f>IFERROR(__xludf.DUMMYFUNCTION("GOOGLETRANSLATE(A3490, ""en"", ""hi"")"),"आनंद इंस्टेंट रवा उपमा मिक्स")</f>
        <v>आनंद इंस्टेंट रवा उपमा मिक्स</v>
      </c>
      <c r="D3490" s="5"/>
      <c r="E3490" s="2" t="s">
        <v>940</v>
      </c>
      <c r="F3490" s="1">
        <v>8.0</v>
      </c>
      <c r="G3490" s="3" t="s">
        <v>7163</v>
      </c>
    </row>
    <row r="3491">
      <c r="A3491" s="3" t="s">
        <v>9109</v>
      </c>
      <c r="B3491" s="4" t="str">
        <f>IFERROR(__xludf.DUMMYFUNCTION("GOOGLETRANSLATE(A3491, ""en"", ""te"")"),"జస్ట్ ఆర్గానిక్ 9 గ్రెయిన్స్ ఫ్లోర్")</f>
        <v>జస్ట్ ఆర్గానిక్ 9 గ్రెయిన్స్ ఫ్లోర్</v>
      </c>
      <c r="C3491" s="4" t="str">
        <f>IFERROR(__xludf.DUMMYFUNCTION("GOOGLETRANSLATE(A3491, ""en"", ""hi"")"),"जस्ट ऑर्गेनिक 9 अनाज का आटा")</f>
        <v>जस्ट ऑर्गेनिक 9 अनाज का आटा</v>
      </c>
      <c r="D3491" s="5"/>
      <c r="E3491" s="2" t="s">
        <v>67</v>
      </c>
      <c r="F3491" s="1">
        <v>8.0</v>
      </c>
      <c r="G3491" s="3" t="s">
        <v>7163</v>
      </c>
    </row>
    <row r="3492">
      <c r="A3492" s="3" t="s">
        <v>9110</v>
      </c>
      <c r="B3492" s="4" t="str">
        <f>IFERROR(__xludf.DUMMYFUNCTION("GOOGLETRANSLATE(A3492, ""en"", ""te"")"),"స్వాద్ బార్లీ పిండి")</f>
        <v>స్వాద్ బార్లీ పిండి</v>
      </c>
      <c r="C3492" s="4" t="str">
        <f>IFERROR(__xludf.DUMMYFUNCTION("GOOGLETRANSLATE(A3492, ""en"", ""hi"")"),"स्वाद जौ का आटा")</f>
        <v>स्वाद जौ का आटा</v>
      </c>
      <c r="D3492" s="2" t="s">
        <v>7182</v>
      </c>
      <c r="E3492" s="2" t="s">
        <v>67</v>
      </c>
      <c r="F3492" s="1">
        <v>8.0</v>
      </c>
      <c r="G3492" s="3" t="s">
        <v>7163</v>
      </c>
    </row>
    <row r="3493">
      <c r="A3493" s="3" t="s">
        <v>9111</v>
      </c>
      <c r="B3493" s="4" t="str">
        <f>IFERROR(__xludf.DUMMYFUNCTION("GOOGLETRANSLATE(A3493, ""en"", ""te"")"),"సేంద్రీయ బజ్రా పిండి")</f>
        <v>సేంద్రీయ బజ్రా పిండి</v>
      </c>
      <c r="C3493" s="4" t="str">
        <f>IFERROR(__xludf.DUMMYFUNCTION("GOOGLETRANSLATE(A3493, ""en"", ""hi"")"),"ऑर्गेनिक बाजरा का आटा")</f>
        <v>ऑर्गेनिक बाजरा का आटा</v>
      </c>
      <c r="D3493" s="2" t="s">
        <v>9076</v>
      </c>
      <c r="E3493" s="2" t="s">
        <v>67</v>
      </c>
      <c r="F3493" s="1">
        <v>8.0</v>
      </c>
      <c r="G3493" s="3" t="s">
        <v>7163</v>
      </c>
    </row>
    <row r="3494">
      <c r="A3494" s="3" t="s">
        <v>9115</v>
      </c>
      <c r="B3494" s="4" t="str">
        <f>IFERROR(__xludf.DUMMYFUNCTION("GOOGLETRANSLATE(A3494, ""en"", ""te"")"),"స్వాద్ సూజీ ఫైన్")</f>
        <v>స్వాద్ సూజీ ఫైన్</v>
      </c>
      <c r="C3494" s="4" t="str">
        <f>IFERROR(__xludf.DUMMYFUNCTION("GOOGLETRANSLATE(A3494, ""en"", ""hi"")"),"स्वाद सूजी फाइन")</f>
        <v>स्वाद सूजी फाइन</v>
      </c>
      <c r="D3494" s="2" t="s">
        <v>9114</v>
      </c>
      <c r="E3494" s="2" t="s">
        <v>2649</v>
      </c>
      <c r="F3494" s="1">
        <v>8.0</v>
      </c>
      <c r="G3494" s="3" t="s">
        <v>4692</v>
      </c>
    </row>
    <row r="3495">
      <c r="A3495" s="3" t="s">
        <v>9132</v>
      </c>
      <c r="B3495" s="4" t="str">
        <f>IFERROR(__xludf.DUMMYFUNCTION("GOOGLETRANSLATE(A3495, ""en"", ""te"")"),"లక్ష్మి సూజీ కోర్స్")</f>
        <v>లక్ష్మి సూజీ కోర్స్</v>
      </c>
      <c r="C3495" s="4" t="str">
        <f>IFERROR(__xludf.DUMMYFUNCTION("GOOGLETRANSLATE(A3495, ""en"", ""hi"")"),"लक्ष्मी सूजी कोर्स")</f>
        <v>लक्ष्मी सूजी कोर्स</v>
      </c>
      <c r="D3495" s="2" t="s">
        <v>9114</v>
      </c>
      <c r="E3495" s="2" t="s">
        <v>2649</v>
      </c>
      <c r="F3495" s="1">
        <v>8.0</v>
      </c>
      <c r="G3495" s="3" t="s">
        <v>4692</v>
      </c>
    </row>
    <row r="3496">
      <c r="A3496" s="3" t="s">
        <v>9133</v>
      </c>
      <c r="B3496" s="4" t="str">
        <f>IFERROR(__xludf.DUMMYFUNCTION("GOOGLETRANSLATE(A3496, ""en"", ""te"")"),"డీప్ సూజీ ఫైన్")</f>
        <v>డీప్ సూజీ ఫైన్</v>
      </c>
      <c r="C3496" s="4" t="str">
        <f>IFERROR(__xludf.DUMMYFUNCTION("GOOGLETRANSLATE(A3496, ""en"", ""hi"")"),"डीप सूजी फाइन")</f>
        <v>डीप सूजी फाइन</v>
      </c>
      <c r="D3496" s="2" t="s">
        <v>9134</v>
      </c>
      <c r="E3496" s="2" t="s">
        <v>2649</v>
      </c>
      <c r="F3496" s="1">
        <v>8.0</v>
      </c>
      <c r="G3496" s="3" t="s">
        <v>4924</v>
      </c>
    </row>
    <row r="3497">
      <c r="A3497" s="3" t="s">
        <v>9132</v>
      </c>
      <c r="B3497" s="4" t="str">
        <f>IFERROR(__xludf.DUMMYFUNCTION("GOOGLETRANSLATE(A3497, ""en"", ""te"")"),"లక్ష్మి సూజీ కోర్స్")</f>
        <v>లక్ష్మి సూజీ కోర్స్</v>
      </c>
      <c r="C3497" s="4" t="str">
        <f>IFERROR(__xludf.DUMMYFUNCTION("GOOGLETRANSLATE(A3497, ""en"", ""hi"")"),"लक्ष्मी सूजी कोर्स")</f>
        <v>लक्ष्मी सूजी कोर्स</v>
      </c>
      <c r="D3497" s="2" t="s">
        <v>9114</v>
      </c>
      <c r="E3497" s="2" t="s">
        <v>2649</v>
      </c>
      <c r="F3497" s="1">
        <v>8.0</v>
      </c>
      <c r="G3497" s="3" t="s">
        <v>4924</v>
      </c>
    </row>
    <row r="3498">
      <c r="A3498" s="3" t="s">
        <v>9135</v>
      </c>
      <c r="B3498" s="4" t="str">
        <f>IFERROR(__xludf.DUMMYFUNCTION("GOOGLETRANSLATE(A3498, ""en"", ""te"")"),"ఆటా సూజీ కోర్స్")</f>
        <v>ఆటా సూజీ కోర్స్</v>
      </c>
      <c r="C3498" s="4" t="str">
        <f>IFERROR(__xludf.DUMMYFUNCTION("GOOGLETRANSLATE(A3498, ""en"", ""hi"")"),"आटा सूजी मोटा")</f>
        <v>आटा सूजी मोटा</v>
      </c>
      <c r="D3498" s="2" t="s">
        <v>9134</v>
      </c>
      <c r="E3498" s="2" t="s">
        <v>2649</v>
      </c>
      <c r="F3498" s="1">
        <v>8.0</v>
      </c>
      <c r="G3498" s="3" t="s">
        <v>4924</v>
      </c>
    </row>
    <row r="3499">
      <c r="A3499" s="3" t="s">
        <v>9136</v>
      </c>
      <c r="B3499" s="4" t="str">
        <f>IFERROR(__xludf.DUMMYFUNCTION("GOOGLETRANSLATE(A3499, ""en"", ""te"")"),"ఆటా క్రాక్ వీట్")</f>
        <v>ఆటా క్రాక్ వీట్</v>
      </c>
      <c r="C3499" s="4" t="str">
        <f>IFERROR(__xludf.DUMMYFUNCTION("GOOGLETRANSLATE(A3499, ""en"", ""hi"")"),"आटा क्रैक गेहूं")</f>
        <v>आटा क्रैक गेहूं</v>
      </c>
      <c r="D3499" s="2" t="s">
        <v>8599</v>
      </c>
      <c r="E3499" s="2" t="s">
        <v>67</v>
      </c>
      <c r="F3499" s="1">
        <v>8.0</v>
      </c>
      <c r="G3499" s="3" t="s">
        <v>4933</v>
      </c>
    </row>
    <row r="3500">
      <c r="A3500" s="3" t="s">
        <v>9137</v>
      </c>
      <c r="B3500" s="4" t="str">
        <f>IFERROR(__xludf.DUMMYFUNCTION("GOOGLETRANSLATE(A3500, ""en"", ""te"")"),"లక్ష్మి ఫాడా")</f>
        <v>లక్ష్మి ఫాడా</v>
      </c>
      <c r="C3500" s="4" t="str">
        <f>IFERROR(__xludf.DUMMYFUNCTION("GOOGLETRANSLATE(A3500, ""en"", ""hi"")"),"लक्ष्मी फड़ा")</f>
        <v>लक्ष्मी फड़ा</v>
      </c>
      <c r="D3500" s="5"/>
      <c r="E3500" s="2" t="s">
        <v>2649</v>
      </c>
      <c r="F3500" s="1">
        <v>8.0</v>
      </c>
      <c r="G3500" s="3" t="s">
        <v>4933</v>
      </c>
    </row>
    <row r="3501">
      <c r="A3501" s="3" t="s">
        <v>935</v>
      </c>
      <c r="B3501" s="4" t="str">
        <f>IFERROR(__xludf.DUMMYFUNCTION("GOOGLETRANSLATE(A3501, ""en"", ""te"")"),"బజ్రి పిండి")</f>
        <v>బజ్రి పిండి</v>
      </c>
      <c r="C3501" s="4" t="str">
        <f>IFERROR(__xludf.DUMMYFUNCTION("GOOGLETRANSLATE(A3501, ""en"", ""hi"")"),"बाजरे का आटा")</f>
        <v>बाजरे का आटा</v>
      </c>
      <c r="D3501" s="2" t="s">
        <v>9076</v>
      </c>
      <c r="E3501" s="2" t="s">
        <v>67</v>
      </c>
      <c r="F3501" s="1">
        <v>8.0</v>
      </c>
      <c r="G3501" s="3" t="s">
        <v>4933</v>
      </c>
    </row>
    <row r="3502">
      <c r="A3502" s="3" t="s">
        <v>9138</v>
      </c>
      <c r="B3502" s="4" t="str">
        <f>IFERROR(__xludf.DUMMYFUNCTION("GOOGLETRANSLATE(A3502, ""en"", ""te"")"),"స్వాద్ కుట్టు పిండి")</f>
        <v>స్వాద్ కుట్టు పిండి</v>
      </c>
      <c r="C3502" s="4" t="str">
        <f>IFERROR(__xludf.DUMMYFUNCTION("GOOGLETRANSLATE(A3502, ""en"", ""hi"")"),"स्वाद कुट्टू आटा")</f>
        <v>स्वाद कुट्टू आटा</v>
      </c>
      <c r="D3502" s="2" t="s">
        <v>7182</v>
      </c>
      <c r="E3502" s="2" t="s">
        <v>67</v>
      </c>
      <c r="F3502" s="1">
        <v>8.0</v>
      </c>
      <c r="G3502" s="3" t="s">
        <v>7163</v>
      </c>
    </row>
    <row r="3503">
      <c r="A3503" s="3" t="s">
        <v>9139</v>
      </c>
      <c r="B3503" s="4" t="str">
        <f>IFERROR(__xludf.DUMMYFUNCTION("GOOGLETRANSLATE(A3503, ""en"", ""te"")"),"ఆనంద్ సత్తు పౌడర్ మిక్స్")</f>
        <v>ఆనంద్ సత్తు పౌడర్ మిక్స్</v>
      </c>
      <c r="C3503" s="4" t="str">
        <f>IFERROR(__xludf.DUMMYFUNCTION("GOOGLETRANSLATE(A3503, ""en"", ""hi"")"),"आनंद सत्तू पाउडर मिक्स")</f>
        <v>आनंद सत्तू पाउडर मिक्स</v>
      </c>
      <c r="D3503" s="5"/>
      <c r="E3503" s="2" t="s">
        <v>1038</v>
      </c>
      <c r="F3503" s="1">
        <v>8.0</v>
      </c>
      <c r="G3503" s="3" t="s">
        <v>7163</v>
      </c>
    </row>
    <row r="3504">
      <c r="A3504" s="3" t="s">
        <v>9124</v>
      </c>
      <c r="B3504" s="4" t="str">
        <f>IFERROR(__xludf.DUMMYFUNCTION("GOOGLETRANSLATE(A3504, ""en"", ""te"")"),"లక్ష్మి సూజీ ఫైన్")</f>
        <v>లక్ష్మి సూజీ ఫైన్</v>
      </c>
      <c r="C3504" s="4" t="str">
        <f>IFERROR(__xludf.DUMMYFUNCTION("GOOGLETRANSLATE(A3504, ""en"", ""hi"")"),"लक्ष्मी सूजी फाइन")</f>
        <v>लक्ष्मी सूजी फाइन</v>
      </c>
      <c r="D3504" s="2" t="s">
        <v>9114</v>
      </c>
      <c r="E3504" s="2" t="s">
        <v>2649</v>
      </c>
      <c r="F3504" s="1">
        <v>8.0</v>
      </c>
      <c r="G3504" s="3" t="s">
        <v>4692</v>
      </c>
    </row>
    <row r="3505">
      <c r="A3505" s="3" t="s">
        <v>9140</v>
      </c>
      <c r="B3505" s="4" t="str">
        <f>IFERROR(__xludf.DUMMYFUNCTION("GOOGLETRANSLATE(A3505, ""en"", ""te"")"),"లక్ష్మి సూజీ రోస్టెడ్")</f>
        <v>లక్ష్మి సూజీ రోస్టెడ్</v>
      </c>
      <c r="C3505" s="4" t="str">
        <f>IFERROR(__xludf.DUMMYFUNCTION("GOOGLETRANSLATE(A3505, ""en"", ""hi"")"),"लक्ष्मी सूजी भुनी हुई")</f>
        <v>लक्ष्मी सूजी भुनी हुई</v>
      </c>
      <c r="D3505" s="2" t="s">
        <v>9141</v>
      </c>
      <c r="E3505" s="2" t="s">
        <v>2649</v>
      </c>
      <c r="F3505" s="1">
        <v>8.0</v>
      </c>
      <c r="G3505" s="3" t="s">
        <v>4924</v>
      </c>
    </row>
    <row r="3506">
      <c r="A3506" s="3" t="s">
        <v>9115</v>
      </c>
      <c r="B3506" s="4" t="str">
        <f>IFERROR(__xludf.DUMMYFUNCTION("GOOGLETRANSLATE(A3506, ""en"", ""te"")"),"స్వాద్ సూజీ ఫైన్")</f>
        <v>స్వాద్ సూజీ ఫైన్</v>
      </c>
      <c r="C3506" s="4" t="str">
        <f>IFERROR(__xludf.DUMMYFUNCTION("GOOGLETRANSLATE(A3506, ""en"", ""hi"")"),"स्वाद सूजी फाइन")</f>
        <v>स्वाद सूजी फाइन</v>
      </c>
      <c r="D3506" s="2" t="s">
        <v>9114</v>
      </c>
      <c r="E3506" s="2" t="s">
        <v>2649</v>
      </c>
      <c r="F3506" s="1">
        <v>8.0</v>
      </c>
      <c r="G3506" s="3" t="s">
        <v>4924</v>
      </c>
    </row>
    <row r="3507">
      <c r="A3507" s="3" t="s">
        <v>9142</v>
      </c>
      <c r="B3507" s="4" t="str">
        <f>IFERROR(__xludf.DUMMYFUNCTION("GOOGLETRANSLATE(A3507, ""en"", ""te"")"),"తెలుగు వేయించిన సెమోలినా")</f>
        <v>తెలుగు వేయించిన సెమోలినా</v>
      </c>
      <c r="C3507" s="4" t="str">
        <f>IFERROR(__xludf.DUMMYFUNCTION("GOOGLETRANSLATE(A3507, ""en"", ""hi"")"),"तेलुगु भुनी हुई सूजी")</f>
        <v>तेलुगु भुनी हुई सूजी</v>
      </c>
      <c r="D3507" s="2" t="s">
        <v>8231</v>
      </c>
      <c r="E3507" s="2" t="s">
        <v>2649</v>
      </c>
      <c r="F3507" s="1">
        <v>8.0</v>
      </c>
      <c r="G3507" s="3" t="s">
        <v>329</v>
      </c>
    </row>
    <row r="3508">
      <c r="A3508" s="3" t="s">
        <v>9143</v>
      </c>
      <c r="B3508" s="4" t="str">
        <f>IFERROR(__xludf.DUMMYFUNCTION("GOOGLETRANSLATE(A3508, ""en"", ""te"")"),"బాగా వేయించిన ఉప్మా రవ్వ")</f>
        <v>బాగా వేయించిన ఉప్మా రవ్వ</v>
      </c>
      <c r="C3508" s="4" t="str">
        <f>IFERROR(__xludf.DUMMYFUNCTION("GOOGLETRANSLATE(A3508, ""en"", ""hi"")"),"डीप रोस्टेड उपमा रवा")</f>
        <v>डीप रोस्टेड उपमा रवा</v>
      </c>
      <c r="D3508" s="5"/>
      <c r="E3508" s="2" t="s">
        <v>2649</v>
      </c>
      <c r="F3508" s="1">
        <v>8.0</v>
      </c>
      <c r="G3508" s="3" t="s">
        <v>329</v>
      </c>
    </row>
    <row r="3509">
      <c r="A3509" s="3" t="s">
        <v>9144</v>
      </c>
      <c r="B3509" s="4" t="str">
        <f>IFERROR(__xludf.DUMMYFUNCTION("GOOGLETRANSLATE(A3509, ""en"", ""te"")"),"ఆటా క్రాక్డ్ వీట్")</f>
        <v>ఆటా క్రాక్డ్ వీట్</v>
      </c>
      <c r="C3509" s="4" t="str">
        <f>IFERROR(__xludf.DUMMYFUNCTION("GOOGLETRANSLATE(A3509, ""en"", ""hi"")"),"आटा टूटा हुआ गेहूं")</f>
        <v>आटा टूटा हुआ गेहूं</v>
      </c>
      <c r="D3509" s="2" t="s">
        <v>9145</v>
      </c>
      <c r="E3509" s="2" t="s">
        <v>67</v>
      </c>
      <c r="F3509" s="1">
        <v>8.0</v>
      </c>
      <c r="G3509" s="3" t="s">
        <v>329</v>
      </c>
    </row>
    <row r="3510">
      <c r="A3510" s="3" t="s">
        <v>9146</v>
      </c>
      <c r="B3510" s="4" t="str">
        <f>IFERROR(__xludf.DUMMYFUNCTION("GOOGLETRANSLATE(A3510, ""en"", ""te"")"),"లక్ష్మి క్రాక్డ్ వీట్")</f>
        <v>లక్ష్మి క్రాక్డ్ వీట్</v>
      </c>
      <c r="C3510" s="4" t="str">
        <f>IFERROR(__xludf.DUMMYFUNCTION("GOOGLETRANSLATE(A3510, ""en"", ""hi"")"),"लक्ष्मी क्रैक्ड व्हीट")</f>
        <v>लक्ष्मी क्रैक्ड व्हीट</v>
      </c>
      <c r="D3510" s="2" t="s">
        <v>9147</v>
      </c>
      <c r="E3510" s="2" t="s">
        <v>67</v>
      </c>
      <c r="F3510" s="1">
        <v>8.0</v>
      </c>
      <c r="G3510" s="3" t="s">
        <v>329</v>
      </c>
    </row>
    <row r="3511">
      <c r="A3511" s="3" t="s">
        <v>9148</v>
      </c>
      <c r="B3511" s="4" t="str">
        <f>IFERROR(__xludf.DUMMYFUNCTION("GOOGLETRANSLATE(A3511, ""en"", ""te"")"),"లక్ష్మి బజ్రా పిండి")</f>
        <v>లక్ష్మి బజ్రా పిండి</v>
      </c>
      <c r="C3511" s="4" t="str">
        <f>IFERROR(__xludf.DUMMYFUNCTION("GOOGLETRANSLATE(A3511, ""en"", ""hi"")"),"लक्ष्मी बाजरा का आटा")</f>
        <v>लक्ष्मी बाजरा का आटा</v>
      </c>
      <c r="D3511" s="2" t="s">
        <v>9149</v>
      </c>
      <c r="E3511" s="2" t="s">
        <v>67</v>
      </c>
      <c r="F3511" s="1">
        <v>8.0</v>
      </c>
      <c r="G3511" s="3" t="s">
        <v>329</v>
      </c>
    </row>
    <row r="3512">
      <c r="A3512" s="3" t="s">
        <v>9150</v>
      </c>
      <c r="B3512" s="4" t="str">
        <f>IFERROR(__xludf.DUMMYFUNCTION("GOOGLETRANSLATE(A3512, ""en"", ""te"")"),"స్వాద్ సెమోలినా")</f>
        <v>స్వాద్ సెమోలినా</v>
      </c>
      <c r="C3512" s="4" t="str">
        <f>IFERROR(__xludf.DUMMYFUNCTION("GOOGLETRANSLATE(A3512, ""en"", ""hi"")"),"स्वाद सूजी")</f>
        <v>स्वाद सूजी</v>
      </c>
      <c r="D3512" s="5"/>
      <c r="E3512" s="2" t="s">
        <v>2649</v>
      </c>
      <c r="F3512" s="1">
        <v>8.0</v>
      </c>
      <c r="G3512" s="3" t="s">
        <v>350</v>
      </c>
    </row>
    <row r="3513">
      <c r="A3513" s="3" t="s">
        <v>9151</v>
      </c>
      <c r="B3513" s="4" t="str">
        <f>IFERROR(__xludf.DUMMYFUNCTION("GOOGLETRANSLATE(A3513, ""en"", ""te"")"),"తెలుగు బుక్‌వీట్ పిండి")</f>
        <v>తెలుగు బుక్‌వీట్ పిండి</v>
      </c>
      <c r="C3513" s="4" t="str">
        <f>IFERROR(__xludf.DUMMYFUNCTION("GOOGLETRANSLATE(A3513, ""en"", ""hi"")"),"तेलुगु बकव्हीट आटा")</f>
        <v>तेलुगु बकव्हीट आटा</v>
      </c>
      <c r="D3513" s="2" t="s">
        <v>7182</v>
      </c>
      <c r="E3513" s="2" t="s">
        <v>67</v>
      </c>
      <c r="F3513" s="1">
        <v>8.0</v>
      </c>
      <c r="G3513" s="3" t="s">
        <v>350</v>
      </c>
    </row>
    <row r="3514">
      <c r="A3514" s="3" t="s">
        <v>9152</v>
      </c>
      <c r="B3514" s="4" t="str">
        <f>IFERROR(__xludf.DUMMYFUNCTION("GOOGLETRANSLATE(A3514, ""en"", ""te"")"),"తెలుగు ఫరాలి పిండి")</f>
        <v>తెలుగు ఫరాలి పిండి</v>
      </c>
      <c r="C3514" s="4" t="str">
        <f>IFERROR(__xludf.DUMMYFUNCTION("GOOGLETRANSLATE(A3514, ""en"", ""hi"")"),"तेलुगु फराली आटा")</f>
        <v>तेलुगु फराली आटा</v>
      </c>
      <c r="D3514" s="2" t="s">
        <v>2314</v>
      </c>
      <c r="E3514" s="2" t="s">
        <v>67</v>
      </c>
      <c r="F3514" s="1">
        <v>8.0</v>
      </c>
      <c r="G3514" s="3" t="s">
        <v>350</v>
      </c>
    </row>
    <row r="3515">
      <c r="A3515" s="3" t="s">
        <v>698</v>
      </c>
      <c r="B3515" s="4" t="str">
        <f>IFERROR(__xludf.DUMMYFUNCTION("GOOGLETRANSLATE(A3515, ""en"", ""te"")"),"ఆనంద్ ఇన్‌స్టంట్ రవ్వ దోస మిక్స్")</f>
        <v>ఆనంద్ ఇన్‌స్టంట్ రవ్వ దోస మిక్స్</v>
      </c>
      <c r="C3515" s="4" t="str">
        <f>IFERROR(__xludf.DUMMYFUNCTION("GOOGLETRANSLATE(A3515, ""en"", ""hi"")"),"आनंद इंस्टेंट रवा डोसा मिक्स")</f>
        <v>आनंद इंस्टेंट रवा डोसा मिक्स</v>
      </c>
      <c r="D3515" s="2" t="s">
        <v>9153</v>
      </c>
      <c r="E3515" s="2" t="s">
        <v>940</v>
      </c>
      <c r="F3515" s="1">
        <v>8.0</v>
      </c>
      <c r="G3515" s="3" t="s">
        <v>350</v>
      </c>
    </row>
    <row r="3516">
      <c r="A3516" s="3" t="s">
        <v>9154</v>
      </c>
      <c r="B3516" s="4" t="str">
        <f>IFERROR(__xludf.DUMMYFUNCTION("GOOGLETRANSLATE(A3516, ""en"", ""te"")"),"తలోద్ ఫరాలి అట్టా")</f>
        <v>తలోద్ ఫరాలి అట్టా</v>
      </c>
      <c r="C3516" s="4" t="str">
        <f>IFERROR(__xludf.DUMMYFUNCTION("GOOGLETRANSLATE(A3516, ""en"", ""hi"")"),"तलोद फराली अट्टा")</f>
        <v>तलोद फराली अट्टा</v>
      </c>
      <c r="D3516" s="5"/>
      <c r="E3516" s="2" t="s">
        <v>67</v>
      </c>
      <c r="F3516" s="1">
        <v>8.0</v>
      </c>
      <c r="G3516" s="3" t="s">
        <v>350</v>
      </c>
    </row>
    <row r="3517">
      <c r="A3517" s="3" t="s">
        <v>9138</v>
      </c>
      <c r="B3517" s="4" t="str">
        <f>IFERROR(__xludf.DUMMYFUNCTION("GOOGLETRANSLATE(A3517, ""en"", ""te"")"),"స్వాద్ కుట్టు పిండి")</f>
        <v>స్వాద్ కుట్టు పిండి</v>
      </c>
      <c r="C3517" s="4" t="str">
        <f>IFERROR(__xludf.DUMMYFUNCTION("GOOGLETRANSLATE(A3517, ""en"", ""hi"")"),"स्वाद कुट्टू आटा")</f>
        <v>स्वाद कुट्टू आटा</v>
      </c>
      <c r="D3517" s="2" t="s">
        <v>7182</v>
      </c>
      <c r="E3517" s="2" t="s">
        <v>67</v>
      </c>
      <c r="F3517" s="1">
        <v>8.0</v>
      </c>
      <c r="G3517" s="3" t="s">
        <v>350</v>
      </c>
    </row>
    <row r="3518">
      <c r="A3518" s="3" t="s">
        <v>9155</v>
      </c>
      <c r="B3518" s="4" t="str">
        <f>IFERROR(__xludf.DUMMYFUNCTION("GOOGLETRANSLATE(A3518, ""en"", ""te"")"),"ఆనంద్ ఇన్‌స్టంట్ సత్తు పౌడర్ మిక్స్")</f>
        <v>ఆనంద్ ఇన్‌స్టంట్ సత్తు పౌడర్ మిక్స్</v>
      </c>
      <c r="C3518" s="4" t="str">
        <f>IFERROR(__xludf.DUMMYFUNCTION("GOOGLETRANSLATE(A3518, ""en"", ""hi"")"),"आनंद इंस्टेंट सत्तू पाउडर मिक्स")</f>
        <v>आनंद इंस्टेंट सत्तू पाउडर मिक्स</v>
      </c>
      <c r="D3518" s="5"/>
      <c r="E3518" s="2" t="s">
        <v>940</v>
      </c>
      <c r="F3518" s="1">
        <v>8.0</v>
      </c>
      <c r="G3518" s="3" t="s">
        <v>350</v>
      </c>
    </row>
    <row r="3519">
      <c r="A3519" s="3" t="s">
        <v>9156</v>
      </c>
      <c r="B3519" s="4" t="str">
        <f>IFERROR(__xludf.DUMMYFUNCTION("GOOGLETRANSLATE(A3519, ""en"", ""te"")"),"స్వాద్ భక్రి పిండి")</f>
        <v>స్వాద్ భక్రి పిండి</v>
      </c>
      <c r="C3519" s="4" t="str">
        <f>IFERROR(__xludf.DUMMYFUNCTION("GOOGLETRANSLATE(A3519, ""en"", ""hi"")"),"स्वाद भाकरी आटा")</f>
        <v>स्वाद भाकरी आटा</v>
      </c>
      <c r="D3519" s="5"/>
      <c r="E3519" s="2" t="s">
        <v>67</v>
      </c>
      <c r="F3519" s="1">
        <v>8.0</v>
      </c>
      <c r="G3519" s="3" t="s">
        <v>350</v>
      </c>
    </row>
    <row r="3520">
      <c r="A3520" s="3" t="s">
        <v>9157</v>
      </c>
      <c r="B3520" s="4" t="str">
        <f>IFERROR(__xludf.DUMMYFUNCTION("GOOGLETRANSLATE(A3520, ""en"", ""te"")"),"స్వాద్ పిండి")</f>
        <v>స్వాద్ పిండి</v>
      </c>
      <c r="C3520" s="4" t="str">
        <f>IFERROR(__xludf.DUMMYFUNCTION("GOOGLETRANSLATE(A3520, ""en"", ""hi"")"),"स्वाद आटा")</f>
        <v>स्वाद आटा</v>
      </c>
      <c r="D3520" s="2" t="s">
        <v>7182</v>
      </c>
      <c r="E3520" s="2" t="s">
        <v>67</v>
      </c>
      <c r="F3520" s="1">
        <v>8.0</v>
      </c>
      <c r="G3520" s="3" t="s">
        <v>350</v>
      </c>
    </row>
    <row r="3521">
      <c r="A3521" s="3" t="s">
        <v>4241</v>
      </c>
      <c r="B3521" s="4" t="str">
        <f>IFERROR(__xludf.DUMMYFUNCTION("GOOGLETRANSLATE(A3521, ""en"", ""te"")"),"లక్ష్మి సూజీ")</f>
        <v>లక్ష్మి సూజీ</v>
      </c>
      <c r="C3521" s="4" t="str">
        <f>IFERROR(__xludf.DUMMYFUNCTION("GOOGLETRANSLATE(A3521, ""en"", ""hi"")"),"लक्ष्मी सूजी")</f>
        <v>लक्ष्मी सूजी</v>
      </c>
      <c r="D3521" s="2" t="s">
        <v>9114</v>
      </c>
      <c r="E3521" s="2" t="s">
        <v>2649</v>
      </c>
      <c r="F3521" s="1">
        <v>8.0</v>
      </c>
      <c r="G3521" s="3" t="s">
        <v>4446</v>
      </c>
    </row>
    <row r="3522">
      <c r="A3522" s="3" t="s">
        <v>9158</v>
      </c>
      <c r="B3522" s="4" t="str">
        <f>IFERROR(__xludf.DUMMYFUNCTION("GOOGLETRANSLATE(A3522, ""en"", ""te"")"),"స్వాద్ సూజీ రోస్టెడ్")</f>
        <v>స్వాద్ సూజీ రోస్టెడ్</v>
      </c>
      <c r="C3522" s="4" t="str">
        <f>IFERROR(__xludf.DUMMYFUNCTION("GOOGLETRANSLATE(A3522, ""en"", ""hi"")"),"स्वाद सूजी भुनी हुई")</f>
        <v>स्वाद सूजी भुनी हुई</v>
      </c>
      <c r="D3522" s="2" t="s">
        <v>9141</v>
      </c>
      <c r="E3522" s="2" t="s">
        <v>2649</v>
      </c>
      <c r="F3522" s="1">
        <v>8.0</v>
      </c>
      <c r="G3522" s="3" t="s">
        <v>4446</v>
      </c>
    </row>
    <row r="3523">
      <c r="A3523" s="3" t="s">
        <v>9115</v>
      </c>
      <c r="B3523" s="4" t="str">
        <f>IFERROR(__xludf.DUMMYFUNCTION("GOOGLETRANSLATE(A3523, ""en"", ""te"")"),"స్వాద్ సూజీ ఫైన్")</f>
        <v>స్వాద్ సూజీ ఫైన్</v>
      </c>
      <c r="C3523" s="4" t="str">
        <f>IFERROR(__xludf.DUMMYFUNCTION("GOOGLETRANSLATE(A3523, ""en"", ""hi"")"),"स्वाद सूजी फाइन")</f>
        <v>स्वाद सूजी फाइन</v>
      </c>
      <c r="D3523" s="2" t="s">
        <v>9114</v>
      </c>
      <c r="E3523" s="2" t="s">
        <v>2649</v>
      </c>
      <c r="F3523" s="1">
        <v>8.0</v>
      </c>
      <c r="G3523" s="3" t="s">
        <v>4446</v>
      </c>
    </row>
    <row r="3524">
      <c r="A3524" s="3" t="s">
        <v>9132</v>
      </c>
      <c r="B3524" s="4" t="str">
        <f>IFERROR(__xludf.DUMMYFUNCTION("GOOGLETRANSLATE(A3524, ""en"", ""te"")"),"లక్ష్మి సూజీ కోర్స్")</f>
        <v>లక్ష్మి సూజీ కోర్స్</v>
      </c>
      <c r="C3524" s="4" t="str">
        <f>IFERROR(__xludf.DUMMYFUNCTION("GOOGLETRANSLATE(A3524, ""en"", ""hi"")"),"लक्ष्मी सूजी कोर्स")</f>
        <v>लक्ष्मी सूजी कोर्स</v>
      </c>
      <c r="D3524" s="2" t="s">
        <v>9114</v>
      </c>
      <c r="E3524" s="2" t="s">
        <v>2649</v>
      </c>
      <c r="F3524" s="1">
        <v>8.0</v>
      </c>
      <c r="G3524" s="3" t="s">
        <v>4446</v>
      </c>
    </row>
    <row r="3525">
      <c r="A3525" s="3" t="s">
        <v>6390</v>
      </c>
      <c r="B3525" s="4" t="str">
        <f>IFERROR(__xludf.DUMMYFUNCTION("GOOGLETRANSLATE(A3525, ""en"", ""te"")"),"స్వాద్ సూజీ కోర్స్")</f>
        <v>స్వాద్ సూజీ కోర్స్</v>
      </c>
      <c r="C3525" s="4" t="str">
        <f>IFERROR(__xludf.DUMMYFUNCTION("GOOGLETRANSLATE(A3525, ""en"", ""hi"")"),"स्वाद सूजी कोर्स")</f>
        <v>स्वाद सूजी कोर्स</v>
      </c>
      <c r="D3525" s="2" t="s">
        <v>9114</v>
      </c>
      <c r="E3525" s="2" t="s">
        <v>67</v>
      </c>
      <c r="F3525" s="1">
        <v>8.0</v>
      </c>
      <c r="G3525" s="3" t="s">
        <v>4446</v>
      </c>
    </row>
    <row r="3526">
      <c r="A3526" s="3" t="s">
        <v>2805</v>
      </c>
      <c r="B3526" s="4" t="str">
        <f>IFERROR(__xludf.DUMMYFUNCTION("GOOGLETRANSLATE(A3526, ""en"", ""te"")"),"దీప్ సూజీ")</f>
        <v>దీప్ సూజీ</v>
      </c>
      <c r="C3526" s="4" t="str">
        <f>IFERROR(__xludf.DUMMYFUNCTION("GOOGLETRANSLATE(A3526, ""en"", ""hi"")"),"दीप सूजी")</f>
        <v>दीप सूजी</v>
      </c>
      <c r="D3526" s="2" t="s">
        <v>3484</v>
      </c>
      <c r="E3526" s="2" t="s">
        <v>2649</v>
      </c>
      <c r="F3526" s="1">
        <v>8.0</v>
      </c>
      <c r="G3526" s="3" t="s">
        <v>329</v>
      </c>
    </row>
    <row r="3527">
      <c r="A3527" s="3" t="s">
        <v>9159</v>
      </c>
      <c r="B3527" s="4" t="str">
        <f>IFERROR(__xludf.DUMMYFUNCTION("GOOGLETRANSLATE(A3527, ""en"", ""te"")"),"స్వాద్ గోధుమ ముతక")</f>
        <v>స్వాద్ గోధుమ ముతక</v>
      </c>
      <c r="C3527" s="4" t="str">
        <f>IFERROR(__xludf.DUMMYFUNCTION("GOOGLETRANSLATE(A3527, ""en"", ""hi"")"),"स्वाद गेहूं मोटा")</f>
        <v>स्वाद गेहूं मोटा</v>
      </c>
      <c r="D3527" s="2" t="s">
        <v>9160</v>
      </c>
      <c r="E3527" s="2" t="s">
        <v>67</v>
      </c>
      <c r="F3527" s="1">
        <v>8.0</v>
      </c>
      <c r="G3527" s="3" t="s">
        <v>329</v>
      </c>
    </row>
    <row r="3528">
      <c r="A3528" s="3" t="s">
        <v>9161</v>
      </c>
      <c r="B3528" s="4" t="str">
        <f>IFERROR(__xludf.DUMMYFUNCTION("GOOGLETRANSLATE(A3528, ""en"", ""te"")"),"రజత్ గోధుమ")</f>
        <v>రజత్ గోధుమ</v>
      </c>
      <c r="C3528" s="4" t="str">
        <f>IFERROR(__xludf.DUMMYFUNCTION("GOOGLETRANSLATE(A3528, ""en"", ""hi"")"),"रजत गेहूं")</f>
        <v>रजत गेहूं</v>
      </c>
      <c r="D3528" s="2" t="s">
        <v>9162</v>
      </c>
      <c r="E3528" s="2" t="s">
        <v>67</v>
      </c>
      <c r="F3528" s="1">
        <v>8.0</v>
      </c>
      <c r="G3528" s="3" t="s">
        <v>329</v>
      </c>
    </row>
    <row r="3529">
      <c r="A3529" s="3" t="s">
        <v>9163</v>
      </c>
      <c r="B3529" s="4" t="str">
        <f>IFERROR(__xludf.DUMMYFUNCTION("GOOGLETRANSLATE(A3529, ""en"", ""te"")"),"శ్వేత రావ")</f>
        <v>శ్వేత రావ</v>
      </c>
      <c r="C3529" s="4" t="str">
        <f>IFERROR(__xludf.DUMMYFUNCTION("GOOGLETRANSLATE(A3529, ""en"", ""hi"")"),"श्वेता राव")</f>
        <v>श्वेता राव</v>
      </c>
      <c r="D3529" s="5"/>
      <c r="E3529" s="2" t="s">
        <v>2649</v>
      </c>
      <c r="F3529" s="1">
        <v>8.0</v>
      </c>
      <c r="G3529" s="3" t="s">
        <v>329</v>
      </c>
    </row>
    <row r="3530">
      <c r="A3530" s="3" t="s">
        <v>9164</v>
      </c>
      <c r="B3530" s="4" t="str">
        <f>IFERROR(__xludf.DUMMYFUNCTION("GOOGLETRANSLATE(A3530, ""en"", ""te"")"),"శ్వేత రోస్టెడ్ వీట్ రవ్వ")</f>
        <v>శ్వేత రోస్టెడ్ వీట్ రవ్వ</v>
      </c>
      <c r="C3530" s="4" t="str">
        <f>IFERROR(__xludf.DUMMYFUNCTION("GOOGLETRANSLATE(A3530, ""en"", ""hi"")"),"श्वेता रोस्टेड व्हीट रवा")</f>
        <v>श्वेता रोस्टेड व्हीट रवा</v>
      </c>
      <c r="D3530" s="2" t="s">
        <v>9162</v>
      </c>
      <c r="E3530" s="2" t="s">
        <v>2649</v>
      </c>
      <c r="F3530" s="1">
        <v>8.0</v>
      </c>
      <c r="G3530" s="3" t="s">
        <v>329</v>
      </c>
    </row>
    <row r="3531">
      <c r="A3531" s="3" t="s">
        <v>9165</v>
      </c>
      <c r="B3531" s="4" t="str">
        <f>IFERROR(__xludf.DUMMYFUNCTION("GOOGLETRANSLATE(A3531, ""en"", ""te"")"),"ఆస్థా గోధుమ రవ్వ")</f>
        <v>ఆస్థా గోధుమ రవ్వ</v>
      </c>
      <c r="C3531" s="4" t="str">
        <f>IFERROR(__xludf.DUMMYFUNCTION("GOOGLETRANSLATE(A3531, ""en"", ""hi"")"),"आस्था गेहूं रवा")</f>
        <v>आस्था गेहूं रवा</v>
      </c>
      <c r="D3531" s="2" t="s">
        <v>9166</v>
      </c>
      <c r="E3531" s="2" t="s">
        <v>2649</v>
      </c>
      <c r="F3531" s="1">
        <v>8.0</v>
      </c>
      <c r="G3531" s="3" t="s">
        <v>329</v>
      </c>
    </row>
    <row r="3532">
      <c r="A3532" s="3" t="s">
        <v>9167</v>
      </c>
      <c r="B3532" s="4" t="str">
        <f>IFERROR(__xludf.DUMMYFUNCTION("GOOGLETRANSLATE(A3532, ""en"", ""te"")"),"హ్యాపీ లీఫ్ చిక్‌పీ ఫ్లోర్")</f>
        <v>హ్యాపీ లీఫ్ చిక్‌పీ ఫ్లోర్</v>
      </c>
      <c r="C3532" s="4" t="str">
        <f>IFERROR(__xludf.DUMMYFUNCTION("GOOGLETRANSLATE(A3532, ""en"", ""hi"")"),"हैप्पी लीफ चना आटा")</f>
        <v>हैप्पी लीफ चना आटा</v>
      </c>
      <c r="D3532" s="5"/>
      <c r="E3532" s="2" t="s">
        <v>67</v>
      </c>
      <c r="F3532" s="1">
        <v>8.0</v>
      </c>
      <c r="G3532" s="3" t="s">
        <v>350</v>
      </c>
    </row>
    <row r="3533">
      <c r="A3533" s="3" t="s">
        <v>9168</v>
      </c>
      <c r="B3533" s="4" t="str">
        <f>IFERROR(__xludf.DUMMYFUNCTION("GOOGLETRANSLATE(A3533, ""en"", ""te"")"),"శ్వేత బక్వీట్ పిండి")</f>
        <v>శ్వేత బక్వీట్ పిండి</v>
      </c>
      <c r="C3533" s="4" t="str">
        <f>IFERROR(__xludf.DUMMYFUNCTION("GOOGLETRANSLATE(A3533, ""en"", ""hi"")"),"श्वेता बकव्हीट आटा")</f>
        <v>श्वेता बकव्हीट आटा</v>
      </c>
      <c r="D3533" s="5"/>
      <c r="E3533" s="2" t="s">
        <v>67</v>
      </c>
      <c r="F3533" s="1">
        <v>8.0</v>
      </c>
      <c r="G3533" s="3" t="s">
        <v>350</v>
      </c>
    </row>
    <row r="3534">
      <c r="A3534" s="3" t="s">
        <v>9169</v>
      </c>
      <c r="B3534" s="4" t="str">
        <f>IFERROR(__xludf.DUMMYFUNCTION("GOOGLETRANSLATE(A3534, ""en"", ""te"")"),"స్వాద్ ఫరాలి పిండి")</f>
        <v>స్వాద్ ఫరాలి పిండి</v>
      </c>
      <c r="C3534" s="4" t="str">
        <f>IFERROR(__xludf.DUMMYFUNCTION("GOOGLETRANSLATE(A3534, ""en"", ""hi"")"),"स्वाद फराली आटा")</f>
        <v>स्वाद फराली आटा</v>
      </c>
      <c r="D3534" s="5"/>
      <c r="E3534" s="2" t="s">
        <v>67</v>
      </c>
      <c r="F3534" s="1">
        <v>8.0</v>
      </c>
      <c r="G3534" s="3" t="s">
        <v>350</v>
      </c>
    </row>
    <row r="3535">
      <c r="A3535" s="3" t="s">
        <v>9170</v>
      </c>
      <c r="B3535" s="4" t="str">
        <f>IFERROR(__xludf.DUMMYFUNCTION("GOOGLETRANSLATE(A3535, ""en"", ""te"")"),"ఆనంద్ రవ్వ దోస మిక్స్")</f>
        <v>ఆనంద్ రవ్వ దోస మిక్స్</v>
      </c>
      <c r="C3535" s="4" t="str">
        <f>IFERROR(__xludf.DUMMYFUNCTION("GOOGLETRANSLATE(A3535, ""en"", ""hi"")"),"आनंद रवा डोसा मिक्स")</f>
        <v>आनंद रवा डोसा मिक्स</v>
      </c>
      <c r="D3535" s="2" t="s">
        <v>8787</v>
      </c>
      <c r="E3535" s="2" t="s">
        <v>940</v>
      </c>
      <c r="F3535" s="1">
        <v>8.0</v>
      </c>
      <c r="G3535" s="3" t="s">
        <v>350</v>
      </c>
    </row>
    <row r="3536">
      <c r="A3536" s="3" t="s">
        <v>9171</v>
      </c>
      <c r="B3536" s="4" t="str">
        <f>IFERROR(__xludf.DUMMYFUNCTION("GOOGLETRANSLATE(A3536, ""en"", ""te"")"),"స్వాద్ ఫరాలి అట్టా")</f>
        <v>స్వాద్ ఫరాలి అట్టా</v>
      </c>
      <c r="C3536" s="4" t="str">
        <f>IFERROR(__xludf.DUMMYFUNCTION("GOOGLETRANSLATE(A3536, ""en"", ""hi"")"),"स्वाद फराली आटा")</f>
        <v>स्वाद फराली आटा</v>
      </c>
      <c r="D3536" s="2" t="s">
        <v>4403</v>
      </c>
      <c r="E3536" s="2" t="s">
        <v>67</v>
      </c>
      <c r="F3536" s="1">
        <v>8.0</v>
      </c>
      <c r="G3536" s="3" t="s">
        <v>350</v>
      </c>
    </row>
    <row r="3537">
      <c r="A3537" s="3" t="s">
        <v>9131</v>
      </c>
      <c r="B3537" s="4" t="str">
        <f>IFERROR(__xludf.DUMMYFUNCTION("GOOGLETRANSLATE(A3537, ""en"", ""te"")"),"ఆనంద్ ఇన్‌స్టంట్ పౌడర్ మిక్స్")</f>
        <v>ఆనంద్ ఇన్‌స్టంట్ పౌడర్ మిక్స్</v>
      </c>
      <c r="C3537" s="4" t="str">
        <f>IFERROR(__xludf.DUMMYFUNCTION("GOOGLETRANSLATE(A3537, ""en"", ""hi"")"),"आनंद इंस्टेंट पाउडर मिक्स")</f>
        <v>आनंद इंस्टेंट पाउडर मिक्स</v>
      </c>
      <c r="D3537" s="2" t="s">
        <v>6469</v>
      </c>
      <c r="E3537" s="2" t="s">
        <v>442</v>
      </c>
      <c r="F3537" s="1">
        <v>8.0</v>
      </c>
      <c r="G3537" s="3" t="s">
        <v>350</v>
      </c>
    </row>
    <row r="3538">
      <c r="A3538" s="3" t="s">
        <v>9172</v>
      </c>
      <c r="B3538" s="4" t="str">
        <f>IFERROR(__xludf.DUMMYFUNCTION("GOOGLETRANSLATE(A3538, ""en"", ""te"")"),"ఉపవాస్ సింగోడ పిండి")</f>
        <v>ఉపవాస్ సింగోడ పిండి</v>
      </c>
      <c r="C3538" s="4" t="str">
        <f>IFERROR(__xludf.DUMMYFUNCTION("GOOGLETRANSLATE(A3538, ""en"", ""hi"")"),"उपवास सिंगोड़ा आटा")</f>
        <v>उपवास सिंगोड़ा आटा</v>
      </c>
      <c r="D3538" s="2" t="s">
        <v>445</v>
      </c>
      <c r="E3538" s="2" t="s">
        <v>67</v>
      </c>
      <c r="F3538" s="1">
        <v>8.0</v>
      </c>
      <c r="G3538" s="3" t="s">
        <v>350</v>
      </c>
    </row>
    <row r="3539">
      <c r="A3539" s="3" t="s">
        <v>9173</v>
      </c>
      <c r="B3539" s="4" t="str">
        <f>IFERROR(__xludf.DUMMYFUNCTION("GOOGLETRANSLATE(A3539, ""en"", ""te"")"),"లక్ష్మి రోస్టెడ్ ఉప్మా రవ్వ")</f>
        <v>లక్ష్మి రోస్టెడ్ ఉప్మా రవ్వ</v>
      </c>
      <c r="C3539" s="4" t="str">
        <f>IFERROR(__xludf.DUMMYFUNCTION("GOOGLETRANSLATE(A3539, ""en"", ""hi"")"),"लक्ष्मी रोस्टेड उपमा रवा")</f>
        <v>लक्ष्मी रोस्टेड उपमा रवा</v>
      </c>
      <c r="D3539" s="5"/>
      <c r="E3539" s="2" t="s">
        <v>2649</v>
      </c>
      <c r="F3539" s="1">
        <v>8.0</v>
      </c>
      <c r="G3539" s="3" t="s">
        <v>4446</v>
      </c>
    </row>
    <row r="3540">
      <c r="A3540" s="3" t="s">
        <v>9140</v>
      </c>
      <c r="B3540" s="4" t="str">
        <f>IFERROR(__xludf.DUMMYFUNCTION("GOOGLETRANSLATE(A3540, ""en"", ""te"")"),"లక్ష్మి సూజీ రోస్టెడ్")</f>
        <v>లక్ష్మి సూజీ రోస్టెడ్</v>
      </c>
      <c r="C3540" s="4" t="str">
        <f>IFERROR(__xludf.DUMMYFUNCTION("GOOGLETRANSLATE(A3540, ""en"", ""hi"")"),"लक्ष्मी सूजी भुनी हुई")</f>
        <v>लक्ष्मी सूजी भुनी हुई</v>
      </c>
      <c r="D3540" s="2" t="s">
        <v>9141</v>
      </c>
      <c r="E3540" s="2" t="s">
        <v>2649</v>
      </c>
      <c r="F3540" s="1">
        <v>8.0</v>
      </c>
      <c r="G3540" s="3" t="s">
        <v>4446</v>
      </c>
    </row>
    <row r="3541">
      <c r="A3541" s="3" t="s">
        <v>9174</v>
      </c>
      <c r="B3541" s="4" t="str">
        <f>IFERROR(__xludf.DUMMYFUNCTION("GOOGLETRANSLATE(A3541, ""en"", ""te"")"),"లక్ష్మి సూజీ రోస్టెడ్ ఉప్మా మిక్స్")</f>
        <v>లక్ష్మి సూజీ రోస్టెడ్ ఉప్మా మిక్స్</v>
      </c>
      <c r="C3541" s="4" t="str">
        <f>IFERROR(__xludf.DUMMYFUNCTION("GOOGLETRANSLATE(A3541, ""en"", ""hi"")"),"लक्ष्मी सूजी रोस्टेड उपमा मिक्स")</f>
        <v>लक्ष्मी सूजी रोस्टेड उपमा मिक्स</v>
      </c>
      <c r="D3541" s="5"/>
      <c r="E3541" s="2" t="s">
        <v>940</v>
      </c>
      <c r="F3541" s="1">
        <v>8.0</v>
      </c>
      <c r="G3541" s="3" t="s">
        <v>4446</v>
      </c>
    </row>
    <row r="3542">
      <c r="A3542" s="3" t="s">
        <v>9175</v>
      </c>
      <c r="B3542" s="4" t="str">
        <f>IFERROR(__xludf.DUMMYFUNCTION("GOOGLETRANSLATE(A3542, ""en"", ""te"")"),"స్వాద్ సూజీ ఫరీనా")</f>
        <v>స్వాద్ సూజీ ఫరీనా</v>
      </c>
      <c r="C3542" s="4" t="str">
        <f>IFERROR(__xludf.DUMMYFUNCTION("GOOGLETRANSLATE(A3542, ""en"", ""hi"")"),"स्वाद सूजी फरीना")</f>
        <v>स्वाद सूजी फरीना</v>
      </c>
      <c r="D3542" s="2" t="s">
        <v>9114</v>
      </c>
      <c r="E3542" s="2" t="s">
        <v>2649</v>
      </c>
      <c r="F3542" s="1">
        <v>8.0</v>
      </c>
      <c r="G3542" s="3" t="s">
        <v>4446</v>
      </c>
    </row>
    <row r="3543">
      <c r="A3543" s="3" t="s">
        <v>9126</v>
      </c>
      <c r="B3543" s="4" t="str">
        <f>IFERROR(__xludf.DUMMYFUNCTION("GOOGLETRANSLATE(A3543, ""en"", ""te"")"),"సూజీ ఫైన్")</f>
        <v>సూజీ ఫైన్</v>
      </c>
      <c r="C3543" s="4" t="str">
        <f>IFERROR(__xludf.DUMMYFUNCTION("GOOGLETRANSLATE(A3543, ""en"", ""hi"")"),"सूजी फाइन")</f>
        <v>सूजी फाइन</v>
      </c>
      <c r="D3543" s="2" t="s">
        <v>9114</v>
      </c>
      <c r="E3543" s="2" t="s">
        <v>2649</v>
      </c>
      <c r="F3543" s="1">
        <v>8.0</v>
      </c>
      <c r="G3543" s="3" t="s">
        <v>4446</v>
      </c>
    </row>
    <row r="3544">
      <c r="A3544" s="3" t="s">
        <v>9176</v>
      </c>
      <c r="B3544" s="4" t="str">
        <f>IFERROR(__xludf.DUMMYFUNCTION("GOOGLETRANSLATE(A3544, ""en"", ""te"")"),"డీప్ సూజీ సెమోలినా")</f>
        <v>డీప్ సూజీ సెమోలినా</v>
      </c>
      <c r="C3544" s="4" t="str">
        <f>IFERROR(__xludf.DUMMYFUNCTION("GOOGLETRANSLATE(A3544, ""en"", ""hi"")"),"डीप सूजी सूजी")</f>
        <v>डीप सूजी सूजी</v>
      </c>
      <c r="D3544" s="2" t="s">
        <v>6469</v>
      </c>
      <c r="E3544" s="2" t="s">
        <v>2649</v>
      </c>
      <c r="F3544" s="1">
        <v>8.0</v>
      </c>
      <c r="G3544" s="3" t="s">
        <v>329</v>
      </c>
    </row>
    <row r="3545">
      <c r="A3545" s="3" t="s">
        <v>9177</v>
      </c>
      <c r="B3545" s="4" t="str">
        <f>IFERROR(__xludf.DUMMYFUNCTION("GOOGLETRANSLATE(A3545, ""en"", ""te"")"),"స్వాద్ పగిలిన గోధుమ ముతక")</f>
        <v>స్వాద్ పగిలిన గోధుమ ముతక</v>
      </c>
      <c r="C3545" s="4" t="str">
        <f>IFERROR(__xludf.DUMMYFUNCTION("GOOGLETRANSLATE(A3545, ""en"", ""hi"")"),"स्वाद टूटा हुआ गेहूं मोटा")</f>
        <v>स्वाद टूटा हुआ गेहूं मोटा</v>
      </c>
      <c r="D3545" s="2" t="s">
        <v>9178</v>
      </c>
      <c r="E3545" s="2" t="s">
        <v>1038</v>
      </c>
      <c r="F3545" s="1">
        <v>8.0</v>
      </c>
      <c r="G3545" s="3" t="s">
        <v>329</v>
      </c>
    </row>
    <row r="3546">
      <c r="A3546" s="3" t="s">
        <v>9179</v>
      </c>
      <c r="B3546" s="4" t="str">
        <f>IFERROR(__xludf.DUMMYFUNCTION("GOOGLETRANSLATE(A3546, ""en"", ""te"")"),"శ్వేత సూజీ కోర్స్")</f>
        <v>శ్వేత సూజీ కోర్స్</v>
      </c>
      <c r="C3546" s="4" t="str">
        <f>IFERROR(__xludf.DUMMYFUNCTION("GOOGLETRANSLATE(A3546, ""en"", ""hi"")"),"श्वेता सूजी कोर्स")</f>
        <v>श्वेता सूजी कोर्स</v>
      </c>
      <c r="D3546" s="2" t="s">
        <v>9114</v>
      </c>
      <c r="E3546" s="2" t="s">
        <v>2649</v>
      </c>
      <c r="F3546" s="1">
        <v>8.0</v>
      </c>
      <c r="G3546" s="3" t="s">
        <v>329</v>
      </c>
    </row>
    <row r="3547">
      <c r="A3547" s="3" t="s">
        <v>9180</v>
      </c>
      <c r="B3547" s="4" t="str">
        <f>IFERROR(__xludf.DUMMYFUNCTION("GOOGLETRANSLATE(A3547, ""en"", ""te"")"),"గోధుమ రవ్వ")</f>
        <v>గోధుమ రవ్వ</v>
      </c>
      <c r="C3547" s="4" t="str">
        <f>IFERROR(__xludf.DUMMYFUNCTION("GOOGLETRANSLATE(A3547, ""en"", ""hi"")"),"गेहूं रवा")</f>
        <v>गेहूं रवा</v>
      </c>
      <c r="D3547" s="2" t="s">
        <v>9178</v>
      </c>
      <c r="E3547" s="2" t="s">
        <v>2649</v>
      </c>
      <c r="F3547" s="1">
        <v>8.0</v>
      </c>
      <c r="G3547" s="3" t="s">
        <v>329</v>
      </c>
    </row>
    <row r="3548">
      <c r="A3548" s="3" t="s">
        <v>9181</v>
      </c>
      <c r="B3548" s="4" t="str">
        <f>IFERROR(__xludf.DUMMYFUNCTION("GOOGLETRANSLATE(A3548, ""en"", ""te"")"),"హ్యాపీ లీఫ్ ఆర్గానిక్ చిక్‌పీ స్ప్లిట్")</f>
        <v>హ్యాపీ లీఫ్ ఆర్గానిక్ చిక్‌పీ స్ప్లిట్</v>
      </c>
      <c r="C3548" s="4" t="str">
        <f>IFERROR(__xludf.DUMMYFUNCTION("GOOGLETRANSLATE(A3548, ""en"", ""hi"")"),"हैप्पी लीफ ऑर्गेनिक चना स्प्लिट")</f>
        <v>हैप्पी लीफ ऑर्गेनिक चना स्प्लिट</v>
      </c>
      <c r="D3548" s="2" t="s">
        <v>9182</v>
      </c>
      <c r="E3548" s="2" t="s">
        <v>1038</v>
      </c>
      <c r="F3548" s="1">
        <v>8.0</v>
      </c>
      <c r="G3548" s="3" t="s">
        <v>350</v>
      </c>
    </row>
    <row r="3549">
      <c r="A3549" s="3" t="s">
        <v>9183</v>
      </c>
      <c r="B3549" s="4" t="str">
        <f>IFERROR(__xludf.DUMMYFUNCTION("GOOGLETRANSLATE(A3549, ""en"", ""te"")"),"హ్యాపీ లీఫ్ ఆర్గానిక్ ఎల్లో స్ప్లిట్")</f>
        <v>హ్యాపీ లీఫ్ ఆర్గానిక్ ఎల్లో స్ప్లిట్</v>
      </c>
      <c r="C3549" s="4" t="str">
        <f>IFERROR(__xludf.DUMMYFUNCTION("GOOGLETRANSLATE(A3549, ""en"", ""hi"")"),"हैप्पी लीफ ऑर्गेनिक येलो स्प्लिट")</f>
        <v>हैप्पी लीफ ऑर्गेनिक येलो स्प्लिट</v>
      </c>
      <c r="D3549" s="2" t="s">
        <v>9184</v>
      </c>
      <c r="E3549" s="2" t="s">
        <v>1038</v>
      </c>
      <c r="F3549" s="1">
        <v>8.0</v>
      </c>
      <c r="G3549" s="3" t="s">
        <v>350</v>
      </c>
    </row>
    <row r="3550">
      <c r="A3550" s="3" t="s">
        <v>9185</v>
      </c>
      <c r="B3550" s="4" t="str">
        <f>IFERROR(__xludf.DUMMYFUNCTION("GOOGLETRANSLATE(A3550, ""en"", ""te"")"),"బుక్‌వీట్ పిండి")</f>
        <v>బుక్‌వీట్ పిండి</v>
      </c>
      <c r="C3550" s="4" t="str">
        <f>IFERROR(__xludf.DUMMYFUNCTION("GOOGLETRANSLATE(A3550, ""en"", ""hi"")"),"बकव्हीट का आटा")</f>
        <v>बकव्हीट का आटा</v>
      </c>
      <c r="D3550" s="2" t="s">
        <v>7182</v>
      </c>
      <c r="E3550" s="2" t="s">
        <v>67</v>
      </c>
      <c r="F3550" s="1">
        <v>8.0</v>
      </c>
      <c r="G3550" s="3" t="s">
        <v>350</v>
      </c>
    </row>
    <row r="3551">
      <c r="A3551" s="3" t="s">
        <v>9186</v>
      </c>
      <c r="B3551" s="4" t="str">
        <f>IFERROR(__xludf.DUMMYFUNCTION("GOOGLETRANSLATE(A3551, ""en"", ""te"")"),"ఫరాలి పిండి")</f>
        <v>ఫరాలి పిండి</v>
      </c>
      <c r="C3551" s="4" t="str">
        <f>IFERROR(__xludf.DUMMYFUNCTION("GOOGLETRANSLATE(A3551, ""en"", ""hi"")"),"फराली आटा")</f>
        <v>फराली आटा</v>
      </c>
      <c r="D3551" s="2" t="s">
        <v>9187</v>
      </c>
      <c r="E3551" s="2" t="s">
        <v>67</v>
      </c>
      <c r="F3551" s="1">
        <v>8.0</v>
      </c>
      <c r="G3551" s="3" t="s">
        <v>350</v>
      </c>
    </row>
    <row r="3552">
      <c r="A3552" s="3" t="s">
        <v>9188</v>
      </c>
      <c r="B3552" s="4" t="str">
        <f>IFERROR(__xludf.DUMMYFUNCTION("GOOGLETRANSLATE(A3552, ""en"", ""te"")"),"తక్షణ రవ్వ దోస మిక్స్")</f>
        <v>తక్షణ రవ్వ దోస మిక్స్</v>
      </c>
      <c r="C3552" s="4" t="str">
        <f>IFERROR(__xludf.DUMMYFUNCTION("GOOGLETRANSLATE(A3552, ""en"", ""hi"")"),"इंस्टेंट रवा डोसा मिक्स")</f>
        <v>इंस्टेंट रवा डोसा मिक्स</v>
      </c>
      <c r="D3552" s="2" t="s">
        <v>2520</v>
      </c>
      <c r="E3552" s="2" t="s">
        <v>940</v>
      </c>
      <c r="F3552" s="1">
        <v>8.0</v>
      </c>
      <c r="G3552" s="3" t="s">
        <v>350</v>
      </c>
    </row>
    <row r="3553">
      <c r="A3553" s="3" t="s">
        <v>9189</v>
      </c>
      <c r="B3553" s="4" t="str">
        <f>IFERROR(__xludf.DUMMYFUNCTION("GOOGLETRANSLATE(A3553, ""en"", ""te"")"),"కట్టు పిండి")</f>
        <v>కట్టు పిండి</v>
      </c>
      <c r="C3553" s="4" t="str">
        <f>IFERROR(__xludf.DUMMYFUNCTION("GOOGLETRANSLATE(A3553, ""en"", ""hi"")"),"कट्टू का आटा")</f>
        <v>कट्टू का आटा</v>
      </c>
      <c r="D3553" s="2" t="s">
        <v>9190</v>
      </c>
      <c r="E3553" s="2" t="s">
        <v>67</v>
      </c>
      <c r="F3553" s="1">
        <v>8.0</v>
      </c>
      <c r="G3553" s="3" t="s">
        <v>350</v>
      </c>
    </row>
    <row r="3554">
      <c r="A3554" s="3" t="s">
        <v>2342</v>
      </c>
      <c r="B3554" s="4" t="str">
        <f>IFERROR(__xludf.DUMMYFUNCTION("GOOGLETRANSLATE(A3554, ""en"", ""te"")"),"డీప్ భాక్రి పిండి")</f>
        <v>డీప్ భాక్రి పిండి</v>
      </c>
      <c r="C3554" s="4" t="str">
        <f>IFERROR(__xludf.DUMMYFUNCTION("GOOGLETRANSLATE(A3554, ""en"", ""hi"")"),"दीप भाकरी आटा")</f>
        <v>दीप भाकरी आटा</v>
      </c>
      <c r="D3554" s="2" t="s">
        <v>9076</v>
      </c>
      <c r="E3554" s="2" t="s">
        <v>2649</v>
      </c>
      <c r="F3554" s="1">
        <v>8.0</v>
      </c>
      <c r="G3554" s="3" t="s">
        <v>350</v>
      </c>
    </row>
    <row r="3555">
      <c r="A3555" s="3" t="s">
        <v>9191</v>
      </c>
      <c r="B3555" s="4" t="str">
        <f>IFERROR(__xludf.DUMMYFUNCTION("GOOGLETRANSLATE(A3555, ""en"", ""te"")"),"స్వాద్ రోస్టెడ్ చనా దాల్")</f>
        <v>స్వాద్ రోస్టెడ్ చనా దాల్</v>
      </c>
      <c r="C3555" s="4" t="str">
        <f>IFERROR(__xludf.DUMMYFUNCTION("GOOGLETRANSLATE(A3555, ""en"", ""hi"")"),"स्वाद रोस्टेड चना दाल")</f>
        <v>स्वाद रोस्टेड चना दाल</v>
      </c>
      <c r="D3555" s="2" t="s">
        <v>9192</v>
      </c>
      <c r="E3555" s="2" t="s">
        <v>1038</v>
      </c>
      <c r="F3555" s="1">
        <v>8.0</v>
      </c>
      <c r="G3555" s="3" t="s">
        <v>350</v>
      </c>
    </row>
    <row r="3556">
      <c r="A3556" s="3" t="s">
        <v>9193</v>
      </c>
      <c r="B3556" s="4" t="str">
        <f>IFERROR(__xludf.DUMMYFUNCTION("GOOGLETRANSLATE(A3556, ""en"", ""te"")"),"స్వాద్ ఆరోరూట్ పౌడర్")</f>
        <v>స్వాద్ ఆరోరూట్ పౌడర్</v>
      </c>
      <c r="C3556" s="4" t="str">
        <f>IFERROR(__xludf.DUMMYFUNCTION("GOOGLETRANSLATE(A3556, ""en"", ""hi"")"),"स्वाद अरारोट पाउडर")</f>
        <v>स्वाद अरारोट पाउडर</v>
      </c>
      <c r="D3556" s="2" t="s">
        <v>9194</v>
      </c>
      <c r="E3556" s="2" t="s">
        <v>2649</v>
      </c>
      <c r="F3556" s="1">
        <v>8.0</v>
      </c>
      <c r="G3556" s="3" t="s">
        <v>350</v>
      </c>
    </row>
    <row r="3557">
      <c r="A3557" s="3" t="s">
        <v>9195</v>
      </c>
      <c r="B3557" s="4" t="str">
        <f>IFERROR(__xludf.DUMMYFUNCTION("GOOGLETRANSLATE(A3557, ""en"", ""te"")"),"స్వాద్ సమో పౌడర్")</f>
        <v>స్వాద్ సమో పౌడర్</v>
      </c>
      <c r="C3557" s="4" t="str">
        <f>IFERROR(__xludf.DUMMYFUNCTION("GOOGLETRANSLATE(A3557, ""en"", ""hi"")"),"स्वाद सामो पाउडर")</f>
        <v>स्वाद सामो पाउडर</v>
      </c>
      <c r="D3557" s="5"/>
      <c r="E3557" s="2" t="s">
        <v>442</v>
      </c>
      <c r="F3557" s="1">
        <v>8.0</v>
      </c>
      <c r="G3557" s="3" t="s">
        <v>350</v>
      </c>
    </row>
    <row r="3558">
      <c r="A3558" s="3" t="s">
        <v>9196</v>
      </c>
      <c r="B3558" s="4" t="str">
        <f>IFERROR(__xludf.DUMMYFUNCTION("GOOGLETRANSLATE(A3558, ""en"", ""te"")"),"స్వాద్ ఫరీనా")</f>
        <v>స్వాద్ ఫరీనా</v>
      </c>
      <c r="C3558" s="4" t="str">
        <f>IFERROR(__xludf.DUMMYFUNCTION("GOOGLETRANSLATE(A3558, ""en"", ""hi"")"),"स्वाद फरीना")</f>
        <v>स्वाद फरीना</v>
      </c>
      <c r="D3558" s="5"/>
      <c r="E3558" s="2" t="s">
        <v>2649</v>
      </c>
      <c r="F3558" s="1">
        <v>8.0</v>
      </c>
      <c r="G3558" s="3" t="s">
        <v>4446</v>
      </c>
    </row>
    <row r="3559">
      <c r="A3559" s="3" t="s">
        <v>9197</v>
      </c>
      <c r="B3559" s="4" t="str">
        <f>IFERROR(__xludf.DUMMYFUNCTION("GOOGLETRANSLATE(A3559, ""en"", ""te"")"),"హ్యాపీ లీఫ్ ఆర్గానిక్ స్ప్లిట్")</f>
        <v>హ్యాపీ లీఫ్ ఆర్గానిక్ స్ప్లిట్</v>
      </c>
      <c r="C3559" s="4" t="str">
        <f>IFERROR(__xludf.DUMMYFUNCTION("GOOGLETRANSLATE(A3559, ""en"", ""hi"")"),"हैप्पी लीफ ऑर्गेनिक स्प्लिट")</f>
        <v>हैप्पी लीफ ऑर्गेनिक स्प्लिट</v>
      </c>
      <c r="D3559" s="2" t="s">
        <v>9184</v>
      </c>
      <c r="E3559" s="2" t="s">
        <v>1038</v>
      </c>
      <c r="F3559" s="1">
        <v>8.0</v>
      </c>
      <c r="G3559" s="3" t="s">
        <v>350</v>
      </c>
    </row>
    <row r="3560">
      <c r="A3560" s="3" t="s">
        <v>9198</v>
      </c>
      <c r="B3560" s="4" t="str">
        <f>IFERROR(__xludf.DUMMYFUNCTION("GOOGLETRANSLATE(A3560, ""en"", ""te"")"),"స్వాద్ బక్వీట్")</f>
        <v>స్వాద్ బక్వీట్</v>
      </c>
      <c r="C3560" s="4" t="str">
        <f>IFERROR(__xludf.DUMMYFUNCTION("GOOGLETRANSLATE(A3560, ""en"", ""hi"")"),"स्वाद बकव्हीट")</f>
        <v>स्वाद बकव्हीट</v>
      </c>
      <c r="D3560" s="5"/>
      <c r="E3560" s="2" t="s">
        <v>2649</v>
      </c>
      <c r="F3560" s="1">
        <v>8.0</v>
      </c>
      <c r="G3560" s="3" t="s">
        <v>350</v>
      </c>
    </row>
    <row r="3561">
      <c r="A3561" s="3" t="s">
        <v>9199</v>
      </c>
      <c r="B3561" s="4" t="str">
        <f>IFERROR(__xludf.DUMMYFUNCTION("GOOGLETRANSLATE(A3561, ""en"", ""te"")"),"ఉపవాస్ మోరియో")</f>
        <v>ఉపవాస్ మోరియో</v>
      </c>
      <c r="C3561" s="4" t="str">
        <f>IFERROR(__xludf.DUMMYFUNCTION("GOOGLETRANSLATE(A3561, ""en"", ""hi"")"),"उपवास मोर्रियो")</f>
        <v>उपवास मोर्रियो</v>
      </c>
      <c r="D3561" s="2" t="s">
        <v>3435</v>
      </c>
      <c r="E3561" s="2" t="s">
        <v>1038</v>
      </c>
      <c r="F3561" s="1">
        <v>8.0</v>
      </c>
      <c r="G3561" s="3" t="s">
        <v>389</v>
      </c>
    </row>
    <row r="3562">
      <c r="A3562" s="3" t="s">
        <v>9172</v>
      </c>
      <c r="B3562" s="4" t="str">
        <f>IFERROR(__xludf.DUMMYFUNCTION("GOOGLETRANSLATE(A3562, ""en"", ""te"")"),"ఉపవాస్ సింగోడ పిండి")</f>
        <v>ఉపవాస్ సింగోడ పిండి</v>
      </c>
      <c r="C3562" s="4" t="str">
        <f>IFERROR(__xludf.DUMMYFUNCTION("GOOGLETRANSLATE(A3562, ""en"", ""hi"")"),"उपवास सिंगोड़ा आटा")</f>
        <v>उपवास सिंगोड़ा आटा</v>
      </c>
      <c r="D3562" s="2" t="s">
        <v>445</v>
      </c>
      <c r="E3562" s="2" t="s">
        <v>67</v>
      </c>
      <c r="F3562" s="1">
        <v>8.0</v>
      </c>
      <c r="G3562" s="3" t="s">
        <v>389</v>
      </c>
    </row>
    <row r="3563">
      <c r="A3563" s="3" t="s">
        <v>9200</v>
      </c>
      <c r="B3563" s="4" t="str">
        <f>IFERROR(__xludf.DUMMYFUNCTION("GOOGLETRANSLATE(A3563, ""en"", ""te"")"),"ఉపవాస్ రాజ్‌గార్డ్")</f>
        <v>ఉపవాస్ రాజ్‌గార్డ్</v>
      </c>
      <c r="C3563" s="4" t="str">
        <f>IFERROR(__xludf.DUMMYFUNCTION("GOOGLETRANSLATE(A3563, ""en"", ""hi"")"),"उपवास राजगार्ड")</f>
        <v>उपवास राजगार्ड</v>
      </c>
      <c r="D3563" s="2" t="s">
        <v>3435</v>
      </c>
      <c r="E3563" s="2" t="s">
        <v>1038</v>
      </c>
      <c r="F3563" s="1">
        <v>8.0</v>
      </c>
      <c r="G3563" s="3" t="s">
        <v>389</v>
      </c>
    </row>
    <row r="3564">
      <c r="A3564" s="3" t="s">
        <v>9156</v>
      </c>
      <c r="B3564" s="4" t="str">
        <f>IFERROR(__xludf.DUMMYFUNCTION("GOOGLETRANSLATE(A3564, ""en"", ""te"")"),"స్వాద్ భక్రి పిండి")</f>
        <v>స్వాద్ భక్రి పిండి</v>
      </c>
      <c r="C3564" s="4" t="str">
        <f>IFERROR(__xludf.DUMMYFUNCTION("GOOGLETRANSLATE(A3564, ""en"", ""hi"")"),"स्वाद भाकरी आटा")</f>
        <v>स्वाद भाकरी आटा</v>
      </c>
      <c r="D3564" s="5"/>
      <c r="E3564" s="2" t="s">
        <v>67</v>
      </c>
      <c r="F3564" s="1">
        <v>8.0</v>
      </c>
      <c r="G3564" s="3" t="s">
        <v>389</v>
      </c>
    </row>
    <row r="3565">
      <c r="A3565" s="3" t="s">
        <v>7429</v>
      </c>
      <c r="B3565" s="4" t="str">
        <f>IFERROR(__xludf.DUMMYFUNCTION("GOOGLETRANSLATE(A3565, ""en"", ""te"")"),"స్వాద్ వేయించిన శనగలు")</f>
        <v>స్వాద్ వేయించిన శనగలు</v>
      </c>
      <c r="C3565" s="4" t="str">
        <f>IFERROR(__xludf.DUMMYFUNCTION("GOOGLETRANSLATE(A3565, ""en"", ""hi"")"),"स्वाद भुना हुआ चना")</f>
        <v>स्वाद भुना हुआ चना</v>
      </c>
      <c r="D3565" s="2" t="s">
        <v>1036</v>
      </c>
      <c r="E3565" s="2" t="s">
        <v>1294</v>
      </c>
      <c r="F3565" s="1">
        <v>8.0</v>
      </c>
      <c r="G3565" s="3" t="s">
        <v>389</v>
      </c>
    </row>
    <row r="3566">
      <c r="A3566" s="3" t="s">
        <v>9201</v>
      </c>
      <c r="B3566" s="4" t="str">
        <f>IFERROR(__xludf.DUMMYFUNCTION("GOOGLETRANSLATE(A3566, ""en"", ""te"")"),"స్వాద్ నేచురల్ కూర్")</f>
        <v>స్వాద్ నేచురల్ కూర్</v>
      </c>
      <c r="C3566" s="4" t="str">
        <f>IFERROR(__xludf.DUMMYFUNCTION("GOOGLETRANSLATE(A3566, ""en"", ""hi"")"),"स्वाद नेचुरल कूर")</f>
        <v>स्वाद नेचुरल कूर</v>
      </c>
      <c r="D3566" s="5"/>
      <c r="E3566" s="2" t="s">
        <v>2649</v>
      </c>
      <c r="F3566" s="1">
        <v>8.0</v>
      </c>
      <c r="G3566" s="3" t="s">
        <v>389</v>
      </c>
    </row>
    <row r="3567">
      <c r="A3567" s="3" t="s">
        <v>9202</v>
      </c>
      <c r="B3567" s="4" t="str">
        <f>IFERROR(__xludf.DUMMYFUNCTION("GOOGLETRANSLATE(A3567, ""en"", ""te"")"),"స్వాద్ సామో విత్తనాలు")</f>
        <v>స్వాద్ సామో విత్తనాలు</v>
      </c>
      <c r="C3567" s="4" t="str">
        <f>IFERROR(__xludf.DUMMYFUNCTION("GOOGLETRANSLATE(A3567, ""en"", ""hi"")"),"स्वाद सामो के बीज")</f>
        <v>स्वाद सामो के बीज</v>
      </c>
      <c r="D3567" s="5"/>
      <c r="E3567" s="2" t="s">
        <v>442</v>
      </c>
      <c r="F3567" s="1">
        <v>8.0</v>
      </c>
      <c r="G3567" s="3" t="s">
        <v>389</v>
      </c>
    </row>
    <row r="3568">
      <c r="A3568" s="3" t="s">
        <v>9203</v>
      </c>
      <c r="B3568" s="4" t="str">
        <f>IFERROR(__xludf.DUMMYFUNCTION("GOOGLETRANSLATE(A3568, ""en"", ""te"")"),"స్వాద్ అరరూట్ పౌడర్")</f>
        <v>స్వాద్ అరరూట్ పౌడర్</v>
      </c>
      <c r="C3568" s="4" t="str">
        <f>IFERROR(__xludf.DUMMYFUNCTION("GOOGLETRANSLATE(A3568, ""en"", ""hi"")"),"स्वाद अररूट पाउडर")</f>
        <v>स्वाद अररूट पाउडर</v>
      </c>
      <c r="D3568" s="5"/>
      <c r="E3568" s="2" t="s">
        <v>442</v>
      </c>
      <c r="F3568" s="1">
        <v>8.0</v>
      </c>
      <c r="G3568" s="3" t="s">
        <v>389</v>
      </c>
    </row>
    <row r="3569">
      <c r="A3569" s="3" t="s">
        <v>9195</v>
      </c>
      <c r="B3569" s="4" t="str">
        <f>IFERROR(__xludf.DUMMYFUNCTION("GOOGLETRANSLATE(A3569, ""en"", ""te"")"),"స్వాద్ సమో పౌడర్")</f>
        <v>స్వాద్ సమో పౌడర్</v>
      </c>
      <c r="C3569" s="4" t="str">
        <f>IFERROR(__xludf.DUMMYFUNCTION("GOOGLETRANSLATE(A3569, ""en"", ""hi"")"),"स्वाद सामो पाउडर")</f>
        <v>स्वाद सामो पाउडर</v>
      </c>
      <c r="D3569" s="5"/>
      <c r="E3569" s="2" t="s">
        <v>442</v>
      </c>
      <c r="F3569" s="1">
        <v>8.0</v>
      </c>
      <c r="G3569" s="3" t="s">
        <v>389</v>
      </c>
    </row>
    <row r="3570">
      <c r="A3570" s="3" t="s">
        <v>4241</v>
      </c>
      <c r="B3570" s="4" t="str">
        <f>IFERROR(__xludf.DUMMYFUNCTION("GOOGLETRANSLATE(A3570, ""en"", ""te"")"),"లక్ష్మి సూజీ")</f>
        <v>లక్ష్మి సూజీ</v>
      </c>
      <c r="C3570" s="4" t="str">
        <f>IFERROR(__xludf.DUMMYFUNCTION("GOOGLETRANSLATE(A3570, ""en"", ""hi"")"),"लक्ष्मी सूजी")</f>
        <v>लक्ष्मी सूजी</v>
      </c>
      <c r="D3570" s="2" t="s">
        <v>9114</v>
      </c>
      <c r="E3570" s="2" t="s">
        <v>2649</v>
      </c>
      <c r="F3570" s="1">
        <v>8.0</v>
      </c>
      <c r="G3570" s="3" t="s">
        <v>329</v>
      </c>
    </row>
    <row r="3571">
      <c r="A3571" s="3" t="s">
        <v>9204</v>
      </c>
      <c r="B3571" s="4" t="str">
        <f>IFERROR(__xludf.DUMMYFUNCTION("GOOGLETRANSLATE(A3571, ""en"", ""te"")"),"హ్యాపీ లీఫ్ ఉపవాసాలు")</f>
        <v>హ్యాపీ లీఫ్ ఉపవాసాలు</v>
      </c>
      <c r="C3571" s="4" t="str">
        <f>IFERROR(__xludf.DUMMYFUNCTION("GOOGLETRANSLATE(A3571, ""en"", ""hi"")"),"हैप्पी लीफ उपवास")</f>
        <v>हैप्पी लीफ उपवास</v>
      </c>
      <c r="D3571" s="5"/>
      <c r="E3571" s="2" t="s">
        <v>940</v>
      </c>
      <c r="F3571" s="1">
        <v>8.0</v>
      </c>
      <c r="G3571" s="3" t="s">
        <v>350</v>
      </c>
    </row>
    <row r="3572">
      <c r="A3572" s="3" t="s">
        <v>9205</v>
      </c>
      <c r="B3572" s="4" t="str">
        <f>IFERROR(__xludf.DUMMYFUNCTION("GOOGLETRANSLATE(A3572, ""en"", ""te"")"),"స్వాద్ తెల్ల మొక్కజొన్న పిండి")</f>
        <v>స్వాద్ తెల్ల మొక్కజొన్న పిండి</v>
      </c>
      <c r="C3572" s="4" t="str">
        <f>IFERROR(__xludf.DUMMYFUNCTION("GOOGLETRANSLATE(A3572, ""en"", ""hi"")"),"स्वाद सफेद मक्के का आटा")</f>
        <v>स्वाद सफेद मक्के का आटा</v>
      </c>
      <c r="D3572" s="2" t="s">
        <v>9178</v>
      </c>
      <c r="E3572" s="2" t="s">
        <v>2649</v>
      </c>
      <c r="F3572" s="1">
        <v>8.0</v>
      </c>
      <c r="G3572" s="3" t="s">
        <v>389</v>
      </c>
    </row>
    <row r="3573">
      <c r="A3573" s="3" t="s">
        <v>9206</v>
      </c>
      <c r="B3573" s="4" t="str">
        <f>IFERROR(__xludf.DUMMYFUNCTION("GOOGLETRANSLATE(A3573, ""en"", ""te"")"),"స్వాద్ పసుపు మొక్కజొన్న పిండి")</f>
        <v>స్వాద్ పసుపు మొక్కజొన్న పిండి</v>
      </c>
      <c r="C3573" s="4" t="str">
        <f>IFERROR(__xludf.DUMMYFUNCTION("GOOGLETRANSLATE(A3573, ""en"", ""hi"")"),"स्वाद पीला मक्का का आटा")</f>
        <v>स्वाद पीला मक्का का आटा</v>
      </c>
      <c r="D3573" s="5"/>
      <c r="E3573" s="2" t="s">
        <v>2649</v>
      </c>
      <c r="F3573" s="1">
        <v>8.0</v>
      </c>
      <c r="G3573" s="3" t="s">
        <v>389</v>
      </c>
    </row>
    <row r="3574">
      <c r="A3574" s="3" t="s">
        <v>9207</v>
      </c>
      <c r="B3574" s="4" t="str">
        <f>IFERROR(__xludf.DUMMYFUNCTION("GOOGLETRANSLATE(A3574, ""en"", ""te"")"),"స్వాద్ రాజ్గారా పిండి")</f>
        <v>స్వాద్ రాజ్గారా పిండి</v>
      </c>
      <c r="C3574" s="4" t="str">
        <f>IFERROR(__xludf.DUMMYFUNCTION("GOOGLETRANSLATE(A3574, ""en"", ""hi"")"),"स्वाद राजगरा आटा")</f>
        <v>स्वाद राजगरा आटा</v>
      </c>
      <c r="D3574" s="2" t="s">
        <v>9149</v>
      </c>
      <c r="E3574" s="2" t="s">
        <v>67</v>
      </c>
      <c r="F3574" s="1">
        <v>8.0</v>
      </c>
      <c r="G3574" s="3" t="s">
        <v>389</v>
      </c>
    </row>
    <row r="3575">
      <c r="A3575" s="3" t="s">
        <v>9208</v>
      </c>
      <c r="B3575" s="4" t="str">
        <f>IFERROR(__xludf.DUMMYFUNCTION("GOOGLETRANSLATE(A3575, ""en"", ""te"")"),"స్వాద్ క్రాక్డ్ రావా")</f>
        <v>స్వాద్ క్రాక్డ్ రావా</v>
      </c>
      <c r="C3575" s="4" t="str">
        <f>IFERROR(__xludf.DUMMYFUNCTION("GOOGLETRANSLATE(A3575, ""en"", ""hi"")"),"स्वाद क्रैक्ड रवा")</f>
        <v>स्वाद क्रैक्ड रवा</v>
      </c>
      <c r="D3575" s="2" t="s">
        <v>4366</v>
      </c>
      <c r="E3575" s="2" t="s">
        <v>2649</v>
      </c>
      <c r="F3575" s="1">
        <v>8.0</v>
      </c>
      <c r="G3575" s="3" t="s">
        <v>418</v>
      </c>
    </row>
    <row r="3576">
      <c r="A3576" s="3" t="s">
        <v>9209</v>
      </c>
      <c r="B3576" s="4" t="str">
        <f>IFERROR(__xludf.DUMMYFUNCTION("GOOGLETRANSLATE(A3576, ""en"", ""te"")"),"స్వాద్ కోర్స్ రావా")</f>
        <v>స్వాద్ కోర్స్ రావా</v>
      </c>
      <c r="C3576" s="4" t="str">
        <f>IFERROR(__xludf.DUMMYFUNCTION("GOOGLETRANSLATE(A3576, ""en"", ""hi"")"),"स्वाद कोर्स रवा")</f>
        <v>स्वाद कोर्स रवा</v>
      </c>
      <c r="D3576" s="2" t="s">
        <v>9210</v>
      </c>
      <c r="E3576" s="2" t="s">
        <v>2649</v>
      </c>
      <c r="F3576" s="1">
        <v>8.0</v>
      </c>
      <c r="G3576" s="3" t="s">
        <v>418</v>
      </c>
    </row>
    <row r="3577">
      <c r="A3577" s="3" t="s">
        <v>9124</v>
      </c>
      <c r="B3577" s="4" t="str">
        <f>IFERROR(__xludf.DUMMYFUNCTION("GOOGLETRANSLATE(A3577, ""en"", ""te"")"),"లక్ష్మి సూజీ ఫైన్")</f>
        <v>లక్ష్మి సూజీ ఫైన్</v>
      </c>
      <c r="C3577" s="4" t="str">
        <f>IFERROR(__xludf.DUMMYFUNCTION("GOOGLETRANSLATE(A3577, ""en"", ""hi"")"),"लक्ष्मी सूजी फाइन")</f>
        <v>लक्ष्मी सूजी फाइन</v>
      </c>
      <c r="D3577" s="2" t="s">
        <v>9114</v>
      </c>
      <c r="E3577" s="2" t="s">
        <v>2649</v>
      </c>
      <c r="F3577" s="1">
        <v>8.0</v>
      </c>
      <c r="G3577" s="3" t="s">
        <v>418</v>
      </c>
    </row>
    <row r="3578">
      <c r="A3578" s="3" t="s">
        <v>9132</v>
      </c>
      <c r="B3578" s="4" t="str">
        <f>IFERROR(__xludf.DUMMYFUNCTION("GOOGLETRANSLATE(A3578, ""en"", ""te"")"),"లక్ష్మి సూజీ కోర్స్")</f>
        <v>లక్ష్మి సూజీ కోర్స్</v>
      </c>
      <c r="C3578" s="4" t="str">
        <f>IFERROR(__xludf.DUMMYFUNCTION("GOOGLETRANSLATE(A3578, ""en"", ""hi"")"),"लक्ष्मी सूजी कोर्स")</f>
        <v>लक्ष्मी सूजी कोर्स</v>
      </c>
      <c r="D3578" s="2" t="s">
        <v>9114</v>
      </c>
      <c r="E3578" s="2" t="s">
        <v>2649</v>
      </c>
      <c r="F3578" s="1">
        <v>8.0</v>
      </c>
      <c r="G3578" s="3" t="s">
        <v>418</v>
      </c>
    </row>
    <row r="3579">
      <c r="A3579" s="3" t="s">
        <v>9211</v>
      </c>
      <c r="B3579" s="4" t="str">
        <f>IFERROR(__xludf.DUMMYFUNCTION("GOOGLETRANSLATE(A3579, ""en"", ""te"")"),"స్వాద్ ఫైన్ సూజీ")</f>
        <v>స్వాద్ ఫైన్ సూజీ</v>
      </c>
      <c r="C3579" s="4" t="str">
        <f>IFERROR(__xludf.DUMMYFUNCTION("GOOGLETRANSLATE(A3579, ""en"", ""hi"")"),"स्वाद फाइन सूजी")</f>
        <v>स्वाद फाइन सूजी</v>
      </c>
      <c r="D3579" s="2" t="s">
        <v>9114</v>
      </c>
      <c r="E3579" s="2" t="s">
        <v>2649</v>
      </c>
      <c r="F3579" s="1">
        <v>8.0</v>
      </c>
      <c r="G3579" s="3" t="s">
        <v>418</v>
      </c>
    </row>
    <row r="3580">
      <c r="A3580" s="3" t="s">
        <v>9212</v>
      </c>
      <c r="B3580" s="4" t="str">
        <f>IFERROR(__xludf.DUMMYFUNCTION("GOOGLETRANSLATE(A3580, ""en"", ""te"")"),"స్వాద్ క్రాక్డ్ వీట్")</f>
        <v>స్వాద్ క్రాక్డ్ వీట్</v>
      </c>
      <c r="C3580" s="4" t="str">
        <f>IFERROR(__xludf.DUMMYFUNCTION("GOOGLETRANSLATE(A3580, ""en"", ""hi"")"),"स्वाद टूटा हुआ गेहूं")</f>
        <v>स्वाद टूटा हुआ गेहूं</v>
      </c>
      <c r="D3580" s="2" t="s">
        <v>9213</v>
      </c>
      <c r="E3580" s="2" t="s">
        <v>67</v>
      </c>
      <c r="F3580" s="1">
        <v>8.0</v>
      </c>
      <c r="G3580" s="3" t="s">
        <v>4933</v>
      </c>
    </row>
    <row r="3581">
      <c r="A3581" s="3" t="s">
        <v>9169</v>
      </c>
      <c r="B3581" s="4" t="str">
        <f>IFERROR(__xludf.DUMMYFUNCTION("GOOGLETRANSLATE(A3581, ""en"", ""te"")"),"స్వాద్ ఫరాలి పిండి")</f>
        <v>స్వాద్ ఫరాలి పిండి</v>
      </c>
      <c r="C3581" s="4" t="str">
        <f>IFERROR(__xludf.DUMMYFUNCTION("GOOGLETRANSLATE(A3581, ""en"", ""hi"")"),"स्वाद फराली आटा")</f>
        <v>स्वाद फराली आटा</v>
      </c>
      <c r="D3581" s="5"/>
      <c r="E3581" s="2" t="s">
        <v>67</v>
      </c>
      <c r="F3581" s="1">
        <v>8.0</v>
      </c>
      <c r="G3581" s="3" t="s">
        <v>4933</v>
      </c>
    </row>
    <row r="3582">
      <c r="A3582" s="3" t="s">
        <v>9214</v>
      </c>
      <c r="B3582" s="4" t="str">
        <f>IFERROR(__xludf.DUMMYFUNCTION("GOOGLETRANSLATE(A3582, ""en"", ""te"")"),"స్వాద్ బక్వీట్ పిండి")</f>
        <v>స్వాద్ బక్వీట్ పిండి</v>
      </c>
      <c r="C3582" s="4" t="str">
        <f>IFERROR(__xludf.DUMMYFUNCTION("GOOGLETRANSLATE(A3582, ""en"", ""hi"")"),"स्वाद बकव्हीट आटा")</f>
        <v>स्वाद बकव्हीट आटा</v>
      </c>
      <c r="D3582" s="2" t="s">
        <v>2314</v>
      </c>
      <c r="E3582" s="2" t="s">
        <v>67</v>
      </c>
      <c r="F3582" s="1">
        <v>8.0</v>
      </c>
      <c r="G3582" s="3" t="s">
        <v>350</v>
      </c>
    </row>
    <row r="3583">
      <c r="A3583" s="3" t="s">
        <v>9215</v>
      </c>
      <c r="B3583" s="4" t="str">
        <f>IFERROR(__xludf.DUMMYFUNCTION("GOOGLETRANSLATE(A3583, ""en"", ""te"")"),"సత్తు పొడి")</f>
        <v>సత్తు పొడి</v>
      </c>
      <c r="C3583" s="4" t="str">
        <f>IFERROR(__xludf.DUMMYFUNCTION("GOOGLETRANSLATE(A3583, ""en"", ""hi"")"),"सत्तू पाउडर")</f>
        <v>सत्तू पाउडर</v>
      </c>
      <c r="D3583" s="5"/>
      <c r="E3583" s="2" t="s">
        <v>1038</v>
      </c>
      <c r="F3583" s="1">
        <v>8.0</v>
      </c>
      <c r="G3583" s="3" t="s">
        <v>7163</v>
      </c>
    </row>
    <row r="3584">
      <c r="A3584" s="3" t="s">
        <v>9216</v>
      </c>
      <c r="B3584" s="4" t="str">
        <f>IFERROR(__xludf.DUMMYFUNCTION("GOOGLETRANSLATE(A3584, ""en"", ""te"")"),"స్వాద్ రాజగిరా పిండి")</f>
        <v>స్వాద్ రాజగిరా పిండి</v>
      </c>
      <c r="C3584" s="4" t="str">
        <f>IFERROR(__xludf.DUMMYFUNCTION("GOOGLETRANSLATE(A3584, ""en"", ""hi"")"),"स्वाद राजगीरा आटा")</f>
        <v>स्वाद राजगीरा आटा</v>
      </c>
      <c r="D3584" s="2" t="s">
        <v>9149</v>
      </c>
      <c r="E3584" s="2" t="s">
        <v>67</v>
      </c>
      <c r="F3584" s="1">
        <v>8.0</v>
      </c>
      <c r="G3584" s="3" t="s">
        <v>4419</v>
      </c>
    </row>
    <row r="3585">
      <c r="A3585" s="3" t="s">
        <v>9203</v>
      </c>
      <c r="B3585" s="4" t="str">
        <f>IFERROR(__xludf.DUMMYFUNCTION("GOOGLETRANSLATE(A3585, ""en"", ""te"")"),"స్వాద్ అరరూట్ పౌడర్")</f>
        <v>స్వాద్ అరరూట్ పౌడర్</v>
      </c>
      <c r="C3585" s="4" t="str">
        <f>IFERROR(__xludf.DUMMYFUNCTION("GOOGLETRANSLATE(A3585, ""en"", ""hi"")"),"स्वाद अररूट पाउडर")</f>
        <v>स्वाद अररूट पाउडर</v>
      </c>
      <c r="D3585" s="5"/>
      <c r="E3585" s="2" t="s">
        <v>442</v>
      </c>
      <c r="F3585" s="1">
        <v>8.0</v>
      </c>
      <c r="G3585" s="3" t="s">
        <v>4419</v>
      </c>
    </row>
    <row r="3586">
      <c r="A3586" s="3" t="s">
        <v>9195</v>
      </c>
      <c r="B3586" s="4" t="str">
        <f>IFERROR(__xludf.DUMMYFUNCTION("GOOGLETRANSLATE(A3586, ""en"", ""te"")"),"స్వాద్ సమో పౌడర్")</f>
        <v>స్వాద్ సమో పౌడర్</v>
      </c>
      <c r="C3586" s="4" t="str">
        <f>IFERROR(__xludf.DUMMYFUNCTION("GOOGLETRANSLATE(A3586, ""en"", ""hi"")"),"स्वाद सामो पाउडर")</f>
        <v>स्वाद सामो पाउडर</v>
      </c>
      <c r="D3586" s="5"/>
      <c r="E3586" s="2" t="s">
        <v>442</v>
      </c>
      <c r="F3586" s="1">
        <v>8.0</v>
      </c>
      <c r="G3586" s="3" t="s">
        <v>4419</v>
      </c>
    </row>
    <row r="3587">
      <c r="A3587" s="3" t="s">
        <v>9205</v>
      </c>
      <c r="B3587" s="4" t="str">
        <f>IFERROR(__xludf.DUMMYFUNCTION("GOOGLETRANSLATE(A3587, ""en"", ""te"")"),"స్వాద్ తెల్ల మొక్కజొన్న పిండి")</f>
        <v>స్వాద్ తెల్ల మొక్కజొన్న పిండి</v>
      </c>
      <c r="C3587" s="4" t="str">
        <f>IFERROR(__xludf.DUMMYFUNCTION("GOOGLETRANSLATE(A3587, ""en"", ""hi"")"),"स्वाद सफेद मक्के का आटा")</f>
        <v>स्वाद सफेद मक्के का आटा</v>
      </c>
      <c r="D3587" s="2" t="s">
        <v>9178</v>
      </c>
      <c r="E3587" s="2" t="s">
        <v>2649</v>
      </c>
      <c r="F3587" s="1">
        <v>8.0</v>
      </c>
      <c r="G3587" s="3" t="s">
        <v>4419</v>
      </c>
    </row>
    <row r="3588">
      <c r="A3588" s="3" t="s">
        <v>9206</v>
      </c>
      <c r="B3588" s="4" t="str">
        <f>IFERROR(__xludf.DUMMYFUNCTION("GOOGLETRANSLATE(A3588, ""en"", ""te"")"),"స్వాద్ పసుపు మొక్కజొన్న పిండి")</f>
        <v>స్వాద్ పసుపు మొక్కజొన్న పిండి</v>
      </c>
      <c r="C3588" s="4" t="str">
        <f>IFERROR(__xludf.DUMMYFUNCTION("GOOGLETRANSLATE(A3588, ""en"", ""hi"")"),"स्वाद पीला मक्का का आटा")</f>
        <v>स्वाद पीला मक्का का आटा</v>
      </c>
      <c r="D3588" s="5"/>
      <c r="E3588" s="2" t="s">
        <v>2649</v>
      </c>
      <c r="F3588" s="1">
        <v>8.0</v>
      </c>
      <c r="G3588" s="3" t="s">
        <v>4419</v>
      </c>
    </row>
    <row r="3589">
      <c r="A3589" s="3" t="s">
        <v>9217</v>
      </c>
      <c r="B3589" s="4" t="str">
        <f>IFERROR(__xludf.DUMMYFUNCTION("GOOGLETRANSLATE(A3589, ""en"", ""te"")"),"స్వాద్ ధోక్లా పిండి")</f>
        <v>స్వాద్ ధోక్లా పిండి</v>
      </c>
      <c r="C3589" s="4" t="str">
        <f>IFERROR(__xludf.DUMMYFUNCTION("GOOGLETRANSLATE(A3589, ""en"", ""hi"")"),"स्वाद ढोकला आटा")</f>
        <v>स्वाद ढोकला आटा</v>
      </c>
      <c r="D3589" s="2" t="s">
        <v>9149</v>
      </c>
      <c r="E3589" s="2" t="s">
        <v>67</v>
      </c>
      <c r="F3589" s="1">
        <v>8.0</v>
      </c>
      <c r="G3589" s="3" t="s">
        <v>4419</v>
      </c>
    </row>
    <row r="3590">
      <c r="A3590" s="3" t="s">
        <v>4241</v>
      </c>
      <c r="B3590" s="4" t="str">
        <f>IFERROR(__xludf.DUMMYFUNCTION("GOOGLETRANSLATE(A3590, ""en"", ""te"")"),"లక్ష్మి సూజీ")</f>
        <v>లక్ష్మి సూజీ</v>
      </c>
      <c r="C3590" s="4" t="str">
        <f>IFERROR(__xludf.DUMMYFUNCTION("GOOGLETRANSLATE(A3590, ""en"", ""hi"")"),"लक्ष्मी सूजी")</f>
        <v>लक्ष्मी सूजी</v>
      </c>
      <c r="D3590" s="2" t="s">
        <v>9114</v>
      </c>
      <c r="E3590" s="2" t="s">
        <v>2649</v>
      </c>
      <c r="F3590" s="1">
        <v>8.0</v>
      </c>
      <c r="G3590" s="3" t="s">
        <v>4692</v>
      </c>
    </row>
    <row r="3591">
      <c r="A3591" s="3" t="s">
        <v>6390</v>
      </c>
      <c r="B3591" s="4" t="str">
        <f>IFERROR(__xludf.DUMMYFUNCTION("GOOGLETRANSLATE(A3591, ""en"", ""te"")"),"స్వాద్ సూజీ కోర్స్")</f>
        <v>స్వాద్ సూజీ కోర్స్</v>
      </c>
      <c r="C3591" s="4" t="str">
        <f>IFERROR(__xludf.DUMMYFUNCTION("GOOGLETRANSLATE(A3591, ""en"", ""hi"")"),"स्वाद सूजी कोर्स")</f>
        <v>स्वाद सूजी कोर्स</v>
      </c>
      <c r="D3591" s="2" t="s">
        <v>9114</v>
      </c>
      <c r="E3591" s="2" t="s">
        <v>67</v>
      </c>
      <c r="F3591" s="1">
        <v>8.0</v>
      </c>
      <c r="G3591" s="3" t="s">
        <v>4692</v>
      </c>
    </row>
    <row r="3592">
      <c r="A3592" s="3" t="s">
        <v>9218</v>
      </c>
      <c r="B3592" s="4" t="str">
        <f>IFERROR(__xludf.DUMMYFUNCTION("GOOGLETRANSLATE(A3592, ""en"", ""te"")"),"స్వాద్ రోస్టెడ్ సూజీ")</f>
        <v>స్వాద్ రోస్టెడ్ సూజీ</v>
      </c>
      <c r="C3592" s="4" t="str">
        <f>IFERROR(__xludf.DUMMYFUNCTION("GOOGLETRANSLATE(A3592, ""en"", ""hi"")"),"स्वाद रोस्टेड सूजी")</f>
        <v>स्वाद रोस्टेड सूजी</v>
      </c>
      <c r="D3592" s="2" t="s">
        <v>9141</v>
      </c>
      <c r="E3592" s="2" t="s">
        <v>2649</v>
      </c>
      <c r="F3592" s="1">
        <v>8.0</v>
      </c>
      <c r="G3592" s="3" t="s">
        <v>4692</v>
      </c>
    </row>
    <row r="3593">
      <c r="A3593" s="3" t="s">
        <v>9219</v>
      </c>
      <c r="B3593" s="4" t="str">
        <f>IFERROR(__xludf.DUMMYFUNCTION("GOOGLETRANSLATE(A3593, ""en"", ""te"")"),"స్వాద్ క్రాక్ వీట్")</f>
        <v>స్వాద్ క్రాక్ వీట్</v>
      </c>
      <c r="C3593" s="4" t="str">
        <f>IFERROR(__xludf.DUMMYFUNCTION("GOOGLETRANSLATE(A3593, ""en"", ""hi"")"),"स्वाद क्रैक गेहूं")</f>
        <v>स्वाद क्रैक गेहूं</v>
      </c>
      <c r="D3593" s="2" t="s">
        <v>9220</v>
      </c>
      <c r="E3593" s="2" t="s">
        <v>67</v>
      </c>
      <c r="F3593" s="1">
        <v>8.0</v>
      </c>
      <c r="G3593" s="3" t="s">
        <v>4924</v>
      </c>
    </row>
    <row r="3594">
      <c r="A3594" s="3" t="s">
        <v>9221</v>
      </c>
      <c r="B3594" s="4" t="str">
        <f>IFERROR(__xludf.DUMMYFUNCTION("GOOGLETRANSLATE(A3594, ""en"", ""te"")"),"స్వాద్ ఫాడా")</f>
        <v>స్వాద్ ఫాడా</v>
      </c>
      <c r="C3594" s="4" t="str">
        <f>IFERROR(__xludf.DUMMYFUNCTION("GOOGLETRANSLATE(A3594, ""en"", ""hi"")"),"स्वाद फड़ा")</f>
        <v>स्वाद फड़ा</v>
      </c>
      <c r="D3594" s="5"/>
      <c r="E3594" s="2" t="s">
        <v>2649</v>
      </c>
      <c r="F3594" s="1">
        <v>8.0</v>
      </c>
      <c r="G3594" s="3" t="s">
        <v>4924</v>
      </c>
    </row>
    <row r="3595">
      <c r="A3595" s="3" t="s">
        <v>9119</v>
      </c>
      <c r="B3595" s="4" t="str">
        <f>IFERROR(__xludf.DUMMYFUNCTION("GOOGLETRANSLATE(A3595, ""en"", ""te"")"),"స్వాద్ బజ్రి పిండి")</f>
        <v>స్వాద్ బజ్రి పిండి</v>
      </c>
      <c r="C3595" s="4" t="str">
        <f>IFERROR(__xludf.DUMMYFUNCTION("GOOGLETRANSLATE(A3595, ""en"", ""hi"")"),"स्वाद बाजरे का आटा")</f>
        <v>स्वाद बाजरे का आटा</v>
      </c>
      <c r="D3595" s="2" t="s">
        <v>9076</v>
      </c>
      <c r="E3595" s="2" t="s">
        <v>67</v>
      </c>
      <c r="F3595" s="1">
        <v>8.0</v>
      </c>
      <c r="G3595" s="3" t="s">
        <v>4924</v>
      </c>
    </row>
    <row r="3596">
      <c r="A3596" s="3" t="s">
        <v>9075</v>
      </c>
      <c r="B3596" s="4" t="str">
        <f>IFERROR(__xludf.DUMMYFUNCTION("GOOGLETRANSLATE(A3596, ""en"", ""te"")"),"స్వాద్ జొన్న పిండి")</f>
        <v>స్వాద్ జొన్న పిండి</v>
      </c>
      <c r="C3596" s="4" t="str">
        <f>IFERROR(__xludf.DUMMYFUNCTION("GOOGLETRANSLATE(A3596, ""en"", ""hi"")"),"स्वाद ज्वार का आटा")</f>
        <v>स्वाद ज्वार का आटा</v>
      </c>
      <c r="D3596" s="2" t="s">
        <v>9076</v>
      </c>
      <c r="E3596" s="2" t="s">
        <v>2649</v>
      </c>
      <c r="F3596" s="1">
        <v>8.0</v>
      </c>
      <c r="G3596" s="3" t="s">
        <v>4924</v>
      </c>
    </row>
    <row r="3597">
      <c r="A3597" s="3" t="s">
        <v>9222</v>
      </c>
      <c r="B3597" s="4" t="str">
        <f>IFERROR(__xludf.DUMMYFUNCTION("GOOGLETRANSLATE(A3597, ""en"", ""te"")"),"ఆనంద్ సత్తు పౌడర్")</f>
        <v>ఆనంద్ సత్తు పౌడర్</v>
      </c>
      <c r="C3597" s="4" t="str">
        <f>IFERROR(__xludf.DUMMYFUNCTION("GOOGLETRANSLATE(A3597, ""en"", ""hi"")"),"आनंद सत्तू पाउडर")</f>
        <v>आनंद सत्तू पाउडर</v>
      </c>
      <c r="D3597" s="2" t="s">
        <v>3397</v>
      </c>
      <c r="E3597" s="2" t="s">
        <v>1038</v>
      </c>
      <c r="F3597" s="1">
        <v>8.0</v>
      </c>
      <c r="G3597" s="3" t="s">
        <v>7163</v>
      </c>
    </row>
    <row r="3598">
      <c r="A3598" s="3" t="s">
        <v>9223</v>
      </c>
      <c r="B3598" s="4" t="str">
        <f>IFERROR(__xludf.DUMMYFUNCTION("GOOGLETRANSLATE(A3598, ""en"", ""te"")"),"స్వాద్ వేయించిన పిండి")</f>
        <v>స్వాద్ వేయించిన పిండి</v>
      </c>
      <c r="C3598" s="4" t="str">
        <f>IFERROR(__xludf.DUMMYFUNCTION("GOOGLETRANSLATE(A3598, ""en"", ""hi"")"),"स्वाद भुना हुआ आटा")</f>
        <v>स्वाद भुना हुआ आटा</v>
      </c>
      <c r="D3598" s="2" t="s">
        <v>7182</v>
      </c>
      <c r="E3598" s="2" t="s">
        <v>67</v>
      </c>
      <c r="F3598" s="1">
        <v>8.0</v>
      </c>
      <c r="G3598" s="3" t="s">
        <v>7163</v>
      </c>
    </row>
    <row r="3599">
      <c r="A3599" s="3" t="s">
        <v>9224</v>
      </c>
      <c r="B3599" s="4" t="str">
        <f>IFERROR(__xludf.DUMMYFUNCTION("GOOGLETRANSLATE(A3599, ""en"", ""te"")"),"లోతైన సోయా బీన్ పిండి")</f>
        <v>లోతైన సోయా బీన్ పిండి</v>
      </c>
      <c r="C3599" s="4" t="str">
        <f>IFERROR(__xludf.DUMMYFUNCTION("GOOGLETRANSLATE(A3599, ""en"", ""hi"")"),"डीप सोयाबीन आटा")</f>
        <v>डीप सोयाबीन आटा</v>
      </c>
      <c r="D3599" s="2" t="s">
        <v>7182</v>
      </c>
      <c r="E3599" s="2" t="s">
        <v>67</v>
      </c>
      <c r="F3599" s="1">
        <v>8.0</v>
      </c>
      <c r="G3599" s="3" t="s">
        <v>7163</v>
      </c>
    </row>
    <row r="3600">
      <c r="A3600" s="3" t="s">
        <v>9225</v>
      </c>
      <c r="B3600" s="4" t="str">
        <f>IFERROR(__xludf.DUMMYFUNCTION("GOOGLETRANSLATE(A3600, ""en"", ""te"")"),"స్వాద్ మల్టీగ్రెయిన్ పిండి")</f>
        <v>స్వాద్ మల్టీగ్రెయిన్ పిండి</v>
      </c>
      <c r="C3600" s="4" t="str">
        <f>IFERROR(__xludf.DUMMYFUNCTION("GOOGLETRANSLATE(A3600, ""en"", ""hi"")"),"स्वाद मल्टीग्रेन आटा")</f>
        <v>स्वाद मल्टीग्रेन आटा</v>
      </c>
      <c r="D3600" s="2" t="s">
        <v>8455</v>
      </c>
      <c r="E3600" s="2" t="s">
        <v>67</v>
      </c>
      <c r="F3600" s="1">
        <v>8.0</v>
      </c>
      <c r="G3600" s="3" t="s">
        <v>7163</v>
      </c>
    </row>
    <row r="3601">
      <c r="A3601" s="3" t="s">
        <v>9193</v>
      </c>
      <c r="B3601" s="4" t="str">
        <f>IFERROR(__xludf.DUMMYFUNCTION("GOOGLETRANSLATE(A3601, ""en"", ""te"")"),"స్వాద్ ఆరోరూట్ పౌడర్")</f>
        <v>స్వాద్ ఆరోరూట్ పౌడర్</v>
      </c>
      <c r="C3601" s="4" t="str">
        <f>IFERROR(__xludf.DUMMYFUNCTION("GOOGLETRANSLATE(A3601, ""en"", ""hi"")"),"स्वाद अरारोट पाउडर")</f>
        <v>स्वाद अरारोट पाउडर</v>
      </c>
      <c r="D3601" s="2" t="s">
        <v>9194</v>
      </c>
      <c r="E3601" s="2" t="s">
        <v>2649</v>
      </c>
      <c r="F3601" s="1">
        <v>8.0</v>
      </c>
      <c r="G3601" s="3" t="s">
        <v>4419</v>
      </c>
    </row>
    <row r="3602">
      <c r="A3602" s="3" t="s">
        <v>9207</v>
      </c>
      <c r="B3602" s="4" t="str">
        <f>IFERROR(__xludf.DUMMYFUNCTION("GOOGLETRANSLATE(A3602, ""en"", ""te"")"),"స్వాద్ రాజ్గారా పిండి")</f>
        <v>స్వాద్ రాజ్గారా పిండి</v>
      </c>
      <c r="C3602" s="4" t="str">
        <f>IFERROR(__xludf.DUMMYFUNCTION("GOOGLETRANSLATE(A3602, ""en"", ""hi"")"),"स्वाद राजगरा आटा")</f>
        <v>स्वाद राजगरा आटा</v>
      </c>
      <c r="D3602" s="2" t="s">
        <v>9149</v>
      </c>
      <c r="E3602" s="2" t="s">
        <v>67</v>
      </c>
      <c r="F3602" s="1">
        <v>8.0</v>
      </c>
      <c r="G3602" s="3" t="s">
        <v>4419</v>
      </c>
    </row>
    <row r="3603">
      <c r="A3603" s="3" t="s">
        <v>9226</v>
      </c>
      <c r="B3603" s="4" t="str">
        <f>IFERROR(__xludf.DUMMYFUNCTION("GOOGLETRANSLATE(A3603, ""en"", ""te"")"),"స్వాద్ ఇడ్లీ/దోస పిండి")</f>
        <v>స్వాద్ ఇడ్లీ/దోస పిండి</v>
      </c>
      <c r="C3603" s="4" t="str">
        <f>IFERROR(__xludf.DUMMYFUNCTION("GOOGLETRANSLATE(A3603, ""en"", ""hi"")"),"स्वाद इडली/डोसा बैटर")</f>
        <v>स्वाद इडली/डोसा बैटर</v>
      </c>
      <c r="D3603" s="2" t="s">
        <v>4022</v>
      </c>
      <c r="E3603" s="2" t="s">
        <v>2649</v>
      </c>
      <c r="F3603" s="1">
        <v>8.0</v>
      </c>
      <c r="G3603" s="3" t="s">
        <v>4419</v>
      </c>
    </row>
    <row r="3604">
      <c r="A3604" s="3" t="s">
        <v>9227</v>
      </c>
      <c r="B3604" s="4" t="str">
        <f>IFERROR(__xludf.DUMMYFUNCTION("GOOGLETRANSLATE(A3604, ""en"", ""te"")"),"బ్రాహ్మణుల అప్పం/ఇడియప్పం పొడి")</f>
        <v>బ్రాహ్మణుల అప్పం/ఇడియప్పం పొడి</v>
      </c>
      <c r="C3604" s="4" t="str">
        <f>IFERROR(__xludf.DUMMYFUNCTION("GOOGLETRANSLATE(A3604, ""en"", ""hi"")"),"ब्राह्मण अप्पम/इडियप्पम पाउडर")</f>
        <v>ब्राह्मण अप्पम/इडियप्पम पाउडर</v>
      </c>
      <c r="D3604" s="2" t="s">
        <v>6349</v>
      </c>
      <c r="E3604" s="2" t="s">
        <v>2649</v>
      </c>
      <c r="F3604" s="1">
        <v>8.0</v>
      </c>
      <c r="G3604" s="3" t="s">
        <v>4419</v>
      </c>
    </row>
    <row r="3605">
      <c r="A3605" s="3" t="s">
        <v>1417</v>
      </c>
      <c r="B3605" s="4" t="str">
        <f>IFERROR(__xludf.DUMMYFUNCTION("GOOGLETRANSLATE(A3605, ""en"", ""te"")"),"బ్రాహ్మణులు చెంబ పుట్టు పొడి")</f>
        <v>బ్రాహ్మణులు చెంబ పుట్టు పొడి</v>
      </c>
      <c r="C3605" s="4" t="str">
        <f>IFERROR(__xludf.DUMMYFUNCTION("GOOGLETRANSLATE(A3605, ""en"", ""hi"")"),"ब्राह्मण चेम्बा पुट्टू पोडी")</f>
        <v>ब्राह्मण चेम्बा पुट्टू पोडी</v>
      </c>
      <c r="D3605" s="2" t="s">
        <v>9228</v>
      </c>
      <c r="E3605" s="2" t="s">
        <v>2649</v>
      </c>
      <c r="F3605" s="1">
        <v>8.0</v>
      </c>
      <c r="G3605" s="3" t="s">
        <v>4419</v>
      </c>
    </row>
    <row r="3606">
      <c r="A3606" s="3" t="s">
        <v>9115</v>
      </c>
      <c r="B3606" s="4" t="str">
        <f>IFERROR(__xludf.DUMMYFUNCTION("GOOGLETRANSLATE(A3606, ""en"", ""te"")"),"స్వాద్ సూజీ ఫైన్")</f>
        <v>స్వాద్ సూజీ ఫైన్</v>
      </c>
      <c r="C3606" s="4" t="str">
        <f>IFERROR(__xludf.DUMMYFUNCTION("GOOGLETRANSLATE(A3606, ""en"", ""hi"")"),"स्वाद सूजी फाइन")</f>
        <v>स्वाद सूजी फाइन</v>
      </c>
      <c r="D3606" s="2" t="s">
        <v>9114</v>
      </c>
      <c r="E3606" s="2" t="s">
        <v>2649</v>
      </c>
      <c r="F3606" s="1">
        <v>8.0</v>
      </c>
      <c r="G3606" s="3" t="s">
        <v>71</v>
      </c>
    </row>
    <row r="3607">
      <c r="A3607" s="3" t="s">
        <v>4241</v>
      </c>
      <c r="B3607" s="4" t="str">
        <f>IFERROR(__xludf.DUMMYFUNCTION("GOOGLETRANSLATE(A3607, ""en"", ""te"")"),"లక్ష్మి సూజీ")</f>
        <v>లక్ష్మి సూజీ</v>
      </c>
      <c r="C3607" s="4" t="str">
        <f>IFERROR(__xludf.DUMMYFUNCTION("GOOGLETRANSLATE(A3607, ""en"", ""hi"")"),"लक्ष्मी सूजी")</f>
        <v>लक्ष्मी सूजी</v>
      </c>
      <c r="D3607" s="2" t="s">
        <v>9114</v>
      </c>
      <c r="E3607" s="2" t="s">
        <v>2649</v>
      </c>
      <c r="F3607" s="1">
        <v>8.0</v>
      </c>
      <c r="G3607" s="3" t="s">
        <v>71</v>
      </c>
    </row>
    <row r="3608">
      <c r="A3608" s="3" t="s">
        <v>6390</v>
      </c>
      <c r="B3608" s="4" t="str">
        <f>IFERROR(__xludf.DUMMYFUNCTION("GOOGLETRANSLATE(A3608, ""en"", ""te"")"),"స్వాద్ సూజీ కోర్స్")</f>
        <v>స్వాద్ సూజీ కోర్స్</v>
      </c>
      <c r="C3608" s="4" t="str">
        <f>IFERROR(__xludf.DUMMYFUNCTION("GOOGLETRANSLATE(A3608, ""en"", ""hi"")"),"स्वाद सूजी कोर्स")</f>
        <v>स्वाद सूजी कोर्स</v>
      </c>
      <c r="D3608" s="2" t="s">
        <v>9114</v>
      </c>
      <c r="E3608" s="2" t="s">
        <v>67</v>
      </c>
      <c r="F3608" s="1">
        <v>8.0</v>
      </c>
      <c r="G3608" s="3" t="s">
        <v>71</v>
      </c>
    </row>
    <row r="3609">
      <c r="A3609" s="3" t="s">
        <v>9229</v>
      </c>
      <c r="B3609" s="4" t="str">
        <f>IFERROR(__xludf.DUMMYFUNCTION("GOOGLETRANSLATE(A3609, ""en"", ""te"")"),"స్వాద్ సూజీ")</f>
        <v>స్వాద్ సూజీ</v>
      </c>
      <c r="C3609" s="4" t="str">
        <f>IFERROR(__xludf.DUMMYFUNCTION("GOOGLETRANSLATE(A3609, ""en"", ""hi"")"),"स्वाद सूजी")</f>
        <v>स्वाद सूजी</v>
      </c>
      <c r="D3609" s="2" t="s">
        <v>9114</v>
      </c>
      <c r="E3609" s="2" t="s">
        <v>2649</v>
      </c>
      <c r="F3609" s="1">
        <v>8.0</v>
      </c>
      <c r="G3609" s="3" t="s">
        <v>71</v>
      </c>
    </row>
    <row r="3610">
      <c r="A3610" s="3" t="s">
        <v>9219</v>
      </c>
      <c r="B3610" s="4" t="str">
        <f>IFERROR(__xludf.DUMMYFUNCTION("GOOGLETRANSLATE(A3610, ""en"", ""te"")"),"స్వాద్ క్రాక్ వీట్")</f>
        <v>స్వాద్ క్రాక్ వీట్</v>
      </c>
      <c r="C3610" s="4" t="str">
        <f>IFERROR(__xludf.DUMMYFUNCTION("GOOGLETRANSLATE(A3610, ""en"", ""hi"")"),"स्वाद क्रैक गेहूं")</f>
        <v>स्वाद क्रैक गेहूं</v>
      </c>
      <c r="D3610" s="2" t="s">
        <v>9220</v>
      </c>
      <c r="E3610" s="2" t="s">
        <v>67</v>
      </c>
      <c r="F3610" s="1">
        <v>8.0</v>
      </c>
      <c r="G3610" s="3" t="s">
        <v>76</v>
      </c>
    </row>
    <row r="3611">
      <c r="A3611" s="3" t="s">
        <v>9119</v>
      </c>
      <c r="B3611" s="4" t="str">
        <f>IFERROR(__xludf.DUMMYFUNCTION("GOOGLETRANSLATE(A3611, ""en"", ""te"")"),"స్వాద్ బజ్రి పిండి")</f>
        <v>స్వాద్ బజ్రి పిండి</v>
      </c>
      <c r="C3611" s="4" t="str">
        <f>IFERROR(__xludf.DUMMYFUNCTION("GOOGLETRANSLATE(A3611, ""en"", ""hi"")"),"स्वाद बाजरे का आटा")</f>
        <v>स्वाद बाजरे का आटा</v>
      </c>
      <c r="D3611" s="2" t="s">
        <v>9076</v>
      </c>
      <c r="E3611" s="2" t="s">
        <v>67</v>
      </c>
      <c r="F3611" s="1">
        <v>8.0</v>
      </c>
      <c r="G3611" s="3" t="s">
        <v>76</v>
      </c>
    </row>
    <row r="3612">
      <c r="A3612" s="3" t="s">
        <v>9230</v>
      </c>
      <c r="B3612" s="4" t="str">
        <f>IFERROR(__xludf.DUMMYFUNCTION("GOOGLETRANSLATE(A3612, ""en"", ""te"")"),"కుట్టు పిండి")</f>
        <v>కుట్టు పిండి</v>
      </c>
      <c r="C3612" s="4" t="str">
        <f>IFERROR(__xludf.DUMMYFUNCTION("GOOGLETRANSLATE(A3612, ""en"", ""hi"")"),"कुट्टू का आटा")</f>
        <v>कुट्टू का आटा</v>
      </c>
      <c r="D3612" s="2" t="s">
        <v>9190</v>
      </c>
      <c r="E3612" s="2" t="s">
        <v>2649</v>
      </c>
      <c r="F3612" s="1">
        <v>8.0</v>
      </c>
      <c r="G3612" s="3" t="s">
        <v>85</v>
      </c>
    </row>
    <row r="3613">
      <c r="A3613" s="3" t="s">
        <v>9231</v>
      </c>
      <c r="B3613" s="4" t="str">
        <f>IFERROR(__xludf.DUMMYFUNCTION("GOOGLETRANSLATE(A3613, ""en"", ""te"")"),"స్వాద్ సత్తు")</f>
        <v>స్వాద్ సత్తు</v>
      </c>
      <c r="C3613" s="4" t="str">
        <f>IFERROR(__xludf.DUMMYFUNCTION("GOOGLETRANSLATE(A3613, ""en"", ""hi"")"),"स्वाद सत्तू")</f>
        <v>स्वाद सत्तू</v>
      </c>
      <c r="D3613" s="2" t="s">
        <v>2314</v>
      </c>
      <c r="E3613" s="2" t="s">
        <v>1038</v>
      </c>
      <c r="F3613" s="1">
        <v>8.0</v>
      </c>
      <c r="G3613" s="3" t="s">
        <v>85</v>
      </c>
    </row>
    <row r="3614">
      <c r="A3614" s="3" t="s">
        <v>9224</v>
      </c>
      <c r="B3614" s="4" t="str">
        <f>IFERROR(__xludf.DUMMYFUNCTION("GOOGLETRANSLATE(A3614, ""en"", ""te"")"),"లోతైన సోయా బీన్ పిండి")</f>
        <v>లోతైన సోయా బీన్ పిండి</v>
      </c>
      <c r="C3614" s="4" t="str">
        <f>IFERROR(__xludf.DUMMYFUNCTION("GOOGLETRANSLATE(A3614, ""en"", ""hi"")"),"डीप सोयाबीन आटा")</f>
        <v>डीप सोयाबीन आटा</v>
      </c>
      <c r="D3614" s="2" t="s">
        <v>7182</v>
      </c>
      <c r="E3614" s="2" t="s">
        <v>67</v>
      </c>
      <c r="F3614" s="1">
        <v>8.0</v>
      </c>
      <c r="G3614" s="3" t="s">
        <v>85</v>
      </c>
    </row>
    <row r="3615">
      <c r="A3615" s="3" t="s">
        <v>9232</v>
      </c>
      <c r="B3615" s="4" t="str">
        <f>IFERROR(__xludf.DUMMYFUNCTION("GOOGLETRANSLATE(A3615, ""en"", ""te"")"),"సేంద్రీయ 9 ధాన్యాల పిండి")</f>
        <v>సేంద్రీయ 9 ధాన్యాల పిండి</v>
      </c>
      <c r="C3615" s="4" t="str">
        <f>IFERROR(__xludf.DUMMYFUNCTION("GOOGLETRANSLATE(A3615, ""en"", ""hi"")"),"जैविक 9 अनाजों का आटा")</f>
        <v>जैविक 9 अनाजों का आटा</v>
      </c>
      <c r="D3615" s="2" t="s">
        <v>9233</v>
      </c>
      <c r="E3615" s="2" t="s">
        <v>67</v>
      </c>
      <c r="F3615" s="1">
        <v>8.0</v>
      </c>
      <c r="G3615" s="3" t="s">
        <v>85</v>
      </c>
    </row>
    <row r="3616">
      <c r="A3616" s="3" t="s">
        <v>9110</v>
      </c>
      <c r="B3616" s="4" t="str">
        <f>IFERROR(__xludf.DUMMYFUNCTION("GOOGLETRANSLATE(A3616, ""en"", ""te"")"),"స్వాద్ బార్లీ పిండి")</f>
        <v>స్వాద్ బార్లీ పిండి</v>
      </c>
      <c r="C3616" s="4" t="str">
        <f>IFERROR(__xludf.DUMMYFUNCTION("GOOGLETRANSLATE(A3616, ""en"", ""hi"")"),"स्वाद जौ का आटा")</f>
        <v>स्वाद जौ का आटा</v>
      </c>
      <c r="D3616" s="2" t="s">
        <v>7182</v>
      </c>
      <c r="E3616" s="2" t="s">
        <v>67</v>
      </c>
      <c r="F3616" s="1">
        <v>8.0</v>
      </c>
      <c r="G3616" s="3" t="s">
        <v>85</v>
      </c>
    </row>
    <row r="3617">
      <c r="A3617" s="3" t="s">
        <v>9234</v>
      </c>
      <c r="B3617" s="4" t="str">
        <f>IFERROR(__xludf.DUMMYFUNCTION("GOOGLETRANSLATE(A3617, ""en"", ""te"")"),"రాజగిర పిండి")</f>
        <v>రాజగిర పిండి</v>
      </c>
      <c r="C3617" s="4" t="str">
        <f>IFERROR(__xludf.DUMMYFUNCTION("GOOGLETRANSLATE(A3617, ""en"", ""hi"")"),"राजगीरा का आटा")</f>
        <v>राजगीरा का आटा</v>
      </c>
      <c r="D3617" s="2" t="s">
        <v>9235</v>
      </c>
      <c r="E3617" s="2" t="s">
        <v>2649</v>
      </c>
      <c r="F3617" s="1">
        <v>8.0</v>
      </c>
      <c r="G3617" s="3" t="s">
        <v>114</v>
      </c>
    </row>
    <row r="3618">
      <c r="A3618" s="3" t="s">
        <v>9236</v>
      </c>
      <c r="B3618" s="4" t="str">
        <f>IFERROR(__xludf.DUMMYFUNCTION("GOOGLETRANSLATE(A3618, ""en"", ""te"")"),"స్వాద్ మొక్కజొన్న పిండి")</f>
        <v>స్వాద్ మొక్కజొన్న పిండి</v>
      </c>
      <c r="C3618" s="4" t="str">
        <f>IFERROR(__xludf.DUMMYFUNCTION("GOOGLETRANSLATE(A3618, ""en"", ""hi"")"),"स्वाद कॉर्न फ्लोर")</f>
        <v>स्वाद कॉर्न फ्लोर</v>
      </c>
      <c r="D3618" s="2" t="s">
        <v>2314</v>
      </c>
      <c r="E3618" s="2" t="s">
        <v>2649</v>
      </c>
      <c r="F3618" s="1">
        <v>8.0</v>
      </c>
      <c r="G3618" s="3" t="s">
        <v>114</v>
      </c>
    </row>
    <row r="3619">
      <c r="A3619" s="3" t="s">
        <v>9217</v>
      </c>
      <c r="B3619" s="4" t="str">
        <f>IFERROR(__xludf.DUMMYFUNCTION("GOOGLETRANSLATE(A3619, ""en"", ""te"")"),"స్వాద్ ధోక్లా పిండి")</f>
        <v>స్వాద్ ధోక్లా పిండి</v>
      </c>
      <c r="C3619" s="4" t="str">
        <f>IFERROR(__xludf.DUMMYFUNCTION("GOOGLETRANSLATE(A3619, ""en"", ""hi"")"),"स्वाद ढोकला आटा")</f>
        <v>स्वाद ढोकला आटा</v>
      </c>
      <c r="D3619" s="2" t="s">
        <v>9149</v>
      </c>
      <c r="E3619" s="2" t="s">
        <v>67</v>
      </c>
      <c r="F3619" s="1">
        <v>8.0</v>
      </c>
      <c r="G3619" s="3" t="s">
        <v>114</v>
      </c>
    </row>
    <row r="3620">
      <c r="A3620" s="3" t="s">
        <v>9237</v>
      </c>
      <c r="B3620" s="4" t="str">
        <f>IFERROR(__xludf.DUMMYFUNCTION("GOOGLETRANSLATE(A3620, ""en"", ""te"")"),"దావత్ ధోక్లా పిండి")</f>
        <v>దావత్ ధోక్లా పిండి</v>
      </c>
      <c r="C3620" s="4" t="str">
        <f>IFERROR(__xludf.DUMMYFUNCTION("GOOGLETRANSLATE(A3620, ""en"", ""hi"")"),"दावत ढोकला आटा")</f>
        <v>दावत ढोकला आटा</v>
      </c>
      <c r="D3620" s="2" t="s">
        <v>9076</v>
      </c>
      <c r="E3620" s="2" t="s">
        <v>2649</v>
      </c>
      <c r="F3620" s="1">
        <v>8.0</v>
      </c>
      <c r="G3620" s="3" t="s">
        <v>114</v>
      </c>
    </row>
    <row r="3621">
      <c r="A3621" s="3" t="s">
        <v>9227</v>
      </c>
      <c r="B3621" s="4" t="str">
        <f>IFERROR(__xludf.DUMMYFUNCTION("GOOGLETRANSLATE(A3621, ""en"", ""te"")"),"బ్రాహ్మణుల అప్పం/ఇడియప్పం పొడి")</f>
        <v>బ్రాహ్మణుల అప్పం/ఇడియప్పం పొడి</v>
      </c>
      <c r="C3621" s="4" t="str">
        <f>IFERROR(__xludf.DUMMYFUNCTION("GOOGLETRANSLATE(A3621, ""en"", ""hi"")"),"ब्राह्मण अप्पम/इडियप्पम पाउडर")</f>
        <v>ब्राह्मण अप्पम/इडियप्पम पाउडर</v>
      </c>
      <c r="D3621" s="2" t="s">
        <v>6349</v>
      </c>
      <c r="E3621" s="2" t="s">
        <v>2649</v>
      </c>
      <c r="F3621" s="1">
        <v>8.0</v>
      </c>
      <c r="G3621" s="3" t="s">
        <v>114</v>
      </c>
    </row>
    <row r="3622">
      <c r="A3622" s="3" t="s">
        <v>9238</v>
      </c>
      <c r="B3622" s="4" t="str">
        <f>IFERROR(__xludf.DUMMYFUNCTION("GOOGLETRANSLATE(A3622, ""en"", ""te"")"),"బ్రాహ్మణులు చెంబు పుట్టు పొడి")</f>
        <v>బ్రాహ్మణులు చెంబు పుట్టు పొడి</v>
      </c>
      <c r="C3622" s="4" t="str">
        <f>IFERROR(__xludf.DUMMYFUNCTION("GOOGLETRANSLATE(A3622, ""en"", ""hi"")"),"ब्राह्मण चेम्बु पुट्टू पोडी")</f>
        <v>ब्राह्मण चेम्बु पुट्टू पोडी</v>
      </c>
      <c r="D3622" s="2" t="s">
        <v>9228</v>
      </c>
      <c r="E3622" s="2" t="s">
        <v>442</v>
      </c>
      <c r="F3622" s="1">
        <v>8.0</v>
      </c>
      <c r="G3622" s="3" t="s">
        <v>114</v>
      </c>
    </row>
    <row r="3623">
      <c r="A3623" s="3" t="s">
        <v>9239</v>
      </c>
      <c r="B3623" s="4" t="str">
        <f>IFERROR(__xludf.DUMMYFUNCTION("GOOGLETRANSLATE(A3623, ""en"", ""te"")"),"దావత్ పిండి")</f>
        <v>దావత్ పిండి</v>
      </c>
      <c r="C3623" s="4" t="str">
        <f>IFERROR(__xludf.DUMMYFUNCTION("GOOGLETRANSLATE(A3623, ""en"", ""hi"")"),"दावत आटा")</f>
        <v>दावत आटा</v>
      </c>
      <c r="D3623" s="2" t="s">
        <v>9233</v>
      </c>
      <c r="E3623" s="2" t="s">
        <v>67</v>
      </c>
      <c r="F3623" s="1">
        <v>8.0</v>
      </c>
      <c r="G3623" s="3" t="s">
        <v>114</v>
      </c>
    </row>
    <row r="3624">
      <c r="A3624" s="3" t="s">
        <v>9229</v>
      </c>
      <c r="B3624" s="4" t="str">
        <f>IFERROR(__xludf.DUMMYFUNCTION("GOOGLETRANSLATE(A3624, ""en"", ""te"")"),"స్వాద్ సూజీ")</f>
        <v>స్వాద్ సూజీ</v>
      </c>
      <c r="C3624" s="4" t="str">
        <f>IFERROR(__xludf.DUMMYFUNCTION("GOOGLETRANSLATE(A3624, ""en"", ""hi"")"),"स्वाद सूजी")</f>
        <v>स्वाद सूजी</v>
      </c>
      <c r="D3624" s="2" t="s">
        <v>9114</v>
      </c>
      <c r="E3624" s="2" t="s">
        <v>2649</v>
      </c>
      <c r="F3624" s="1">
        <v>8.0</v>
      </c>
      <c r="G3624" s="3" t="s">
        <v>292</v>
      </c>
    </row>
    <row r="3625">
      <c r="A3625" s="3" t="s">
        <v>9240</v>
      </c>
      <c r="B3625" s="4" t="str">
        <f>IFERROR(__xludf.DUMMYFUNCTION("GOOGLETRANSLATE(A3625, ""en"", ""te"")"),"స్వాద్ రోస్టెడ్ రవ్వ సూజీ")</f>
        <v>స్వాద్ రోస్టెడ్ రవ్వ సూజీ</v>
      </c>
      <c r="C3625" s="4" t="str">
        <f>IFERROR(__xludf.DUMMYFUNCTION("GOOGLETRANSLATE(A3625, ""en"", ""hi"")"),"स्वाद रोस्टेड रवा सूजी")</f>
        <v>स्वाद रोस्टेड रवा सूजी</v>
      </c>
      <c r="D3625" s="5"/>
      <c r="E3625" s="2" t="s">
        <v>2649</v>
      </c>
      <c r="F3625" s="1">
        <v>8.0</v>
      </c>
      <c r="G3625" s="3" t="s">
        <v>292</v>
      </c>
    </row>
    <row r="3626">
      <c r="A3626" s="3" t="s">
        <v>220</v>
      </c>
      <c r="B3626" s="4" t="str">
        <f>IFERROR(__xludf.DUMMYFUNCTION("GOOGLETRANSLATE(A3626, ""en"", ""te"")"),"ఆట")</f>
        <v>ఆట</v>
      </c>
      <c r="C3626" s="4" t="str">
        <f>IFERROR(__xludf.DUMMYFUNCTION("GOOGLETRANSLATE(A3626, ""en"", ""hi"")"),"आटा")</f>
        <v>आटा</v>
      </c>
      <c r="D3626" s="2" t="s">
        <v>2391</v>
      </c>
      <c r="E3626" s="2" t="s">
        <v>67</v>
      </c>
      <c r="F3626" s="1">
        <v>8.0</v>
      </c>
      <c r="G3626" s="3" t="s">
        <v>292</v>
      </c>
    </row>
    <row r="3627">
      <c r="A3627" s="3" t="s">
        <v>9241</v>
      </c>
      <c r="B3627" s="4" t="str">
        <f>IFERROR(__xludf.DUMMYFUNCTION("GOOGLETRANSLATE(A3627, ""en"", ""te"")"),"స్వాద్ రాగి పిండి")</f>
        <v>స్వాద్ రాగి పిండి</v>
      </c>
      <c r="C3627" s="4" t="str">
        <f>IFERROR(__xludf.DUMMYFUNCTION("GOOGLETRANSLATE(A3627, ""en"", ""hi"")"),"स्वाद रागी का आटा")</f>
        <v>स्वाद रागी का आटा</v>
      </c>
      <c r="D3627" s="2" t="s">
        <v>9076</v>
      </c>
      <c r="E3627" s="2" t="s">
        <v>2649</v>
      </c>
      <c r="F3627" s="1">
        <v>8.0</v>
      </c>
      <c r="G3627" s="3" t="s">
        <v>7053</v>
      </c>
    </row>
    <row r="3628">
      <c r="A3628" s="3" t="s">
        <v>9242</v>
      </c>
      <c r="B3628" s="4" t="str">
        <f>IFERROR(__xludf.DUMMYFUNCTION("GOOGLETRANSLATE(A3628, ""en"", ""te"")"),"స్వాద్ సూపర్ ఫైన్ బేసన్")</f>
        <v>స్వాద్ సూపర్ ఫైన్ బేసన్</v>
      </c>
      <c r="C3628" s="4" t="str">
        <f>IFERROR(__xludf.DUMMYFUNCTION("GOOGLETRANSLATE(A3628, ""en"", ""hi"")"),"स्वाद सुपर फाइन बेसन")</f>
        <v>स्वाद सुपर फाइन बेसन</v>
      </c>
      <c r="D3628" s="2" t="s">
        <v>7052</v>
      </c>
      <c r="E3628" s="2" t="s">
        <v>67</v>
      </c>
      <c r="F3628" s="1">
        <v>8.0</v>
      </c>
      <c r="G3628" s="3" t="s">
        <v>7053</v>
      </c>
    </row>
    <row r="3629">
      <c r="A3629" s="3" t="s">
        <v>9243</v>
      </c>
      <c r="B3629" s="4" t="str">
        <f>IFERROR(__xludf.DUMMYFUNCTION("GOOGLETRANSLATE(A3629, ""en"", ""te"")"),"ఆర్గానిక్ 9 గ్రెయిన్స్ ఫ్లోర్")</f>
        <v>ఆర్గానిక్ 9 గ్రెయిన్స్ ఫ్లోర్</v>
      </c>
      <c r="C3629" s="4" t="str">
        <f>IFERROR(__xludf.DUMMYFUNCTION("GOOGLETRANSLATE(A3629, ""en"", ""hi"")"),"ऑर्गेनिक 9 अनाज का आटा")</f>
        <v>ऑर्गेनिक 9 अनाज का आटा</v>
      </c>
      <c r="D3629" s="2" t="s">
        <v>9233</v>
      </c>
      <c r="E3629" s="2" t="s">
        <v>2649</v>
      </c>
      <c r="F3629" s="1">
        <v>8.0</v>
      </c>
      <c r="G3629" s="3" t="s">
        <v>4469</v>
      </c>
    </row>
    <row r="3630">
      <c r="A3630" s="3" t="s">
        <v>9244</v>
      </c>
      <c r="B3630" s="4" t="str">
        <f>IFERROR(__xludf.DUMMYFUNCTION("GOOGLETRANSLATE(A3630, ""en"", ""te"")"),"24 మంత్ర ఆర్గానిక్ అట్టా")</f>
        <v>24 మంత్ర ఆర్గానిక్ అట్టా</v>
      </c>
      <c r="C3630" s="4" t="str">
        <f>IFERROR(__xludf.DUMMYFUNCTION("GOOGLETRANSLATE(A3630, ""en"", ""hi"")"),"24 मंत्रा ऑर्गेनिक आटा")</f>
        <v>24 मंत्रा ऑर्गेनिक आटा</v>
      </c>
      <c r="D3630" s="2" t="s">
        <v>9245</v>
      </c>
      <c r="E3630" s="2" t="s">
        <v>67</v>
      </c>
      <c r="F3630" s="1">
        <v>8.0</v>
      </c>
      <c r="G3630" s="3" t="s">
        <v>4469</v>
      </c>
    </row>
    <row r="3631">
      <c r="A3631" s="3" t="s">
        <v>9246</v>
      </c>
      <c r="B3631" s="4" t="str">
        <f>IFERROR(__xludf.DUMMYFUNCTION("GOOGLETRANSLATE(A3631, ""en"", ""te"")"),"సేంద్రీయ బియ్యం పిండి")</f>
        <v>సేంద్రీయ బియ్యం పిండి</v>
      </c>
      <c r="C3631" s="4" t="str">
        <f>IFERROR(__xludf.DUMMYFUNCTION("GOOGLETRANSLATE(A3631, ""en"", ""hi"")"),"ऑर्गेनिक चावल का आटा")</f>
        <v>ऑर्गेनिक चावल का आटा</v>
      </c>
      <c r="D3631" s="2" t="s">
        <v>9247</v>
      </c>
      <c r="E3631" s="2" t="s">
        <v>2649</v>
      </c>
      <c r="F3631" s="1">
        <v>8.0</v>
      </c>
      <c r="G3631" s="3" t="s">
        <v>4469</v>
      </c>
    </row>
    <row r="3632">
      <c r="A3632" s="3" t="s">
        <v>9248</v>
      </c>
      <c r="B3632" s="4" t="str">
        <f>IFERROR(__xludf.DUMMYFUNCTION("GOOGLETRANSLATE(A3632, ""en"", ""te"")"),"స్వద్ ధాలా పిండి")</f>
        <v>స్వద్ ధాలా పిండి</v>
      </c>
      <c r="C3632" s="4" t="str">
        <f>IFERROR(__xludf.DUMMYFUNCTION("GOOGLETRANSLATE(A3632, ""en"", ""hi"")"),"स्वाद दाला आटा")</f>
        <v>स्वाद दाला आटा</v>
      </c>
      <c r="D3632" s="2" t="s">
        <v>9149</v>
      </c>
      <c r="E3632" s="2" t="s">
        <v>2649</v>
      </c>
      <c r="F3632" s="1">
        <v>8.0</v>
      </c>
      <c r="G3632" s="3" t="s">
        <v>4419</v>
      </c>
    </row>
    <row r="3633">
      <c r="A3633" s="3" t="s">
        <v>9249</v>
      </c>
      <c r="B3633" s="4" t="str">
        <f>IFERROR(__xludf.DUMMYFUNCTION("GOOGLETRANSLATE(A3633, ""en"", ""te"")"),"డైవి ధాలా పిండి")</f>
        <v>డైవి ధాలా పిండి</v>
      </c>
      <c r="C3633" s="4" t="str">
        <f>IFERROR(__xludf.DUMMYFUNCTION("GOOGLETRANSLATE(A3633, ""en"", ""hi"")"),"दैवी दाल का आटा")</f>
        <v>दैवी दाल का आटा</v>
      </c>
      <c r="D3633" s="2" t="s">
        <v>9149</v>
      </c>
      <c r="E3633" s="2" t="s">
        <v>2649</v>
      </c>
      <c r="F3633" s="1">
        <v>8.0</v>
      </c>
      <c r="G3633" s="3" t="s">
        <v>4419</v>
      </c>
    </row>
    <row r="3634">
      <c r="A3634" s="3" t="s">
        <v>9250</v>
      </c>
      <c r="B3634" s="4" t="str">
        <f>IFERROR(__xludf.DUMMYFUNCTION("GOOGLETRANSLATE(A3634, ""en"", ""te"")"),"బ్రాహ్మణ అప్పం/ఇడియప్పం పొడి")</f>
        <v>బ్రాహ్మణ అప్పం/ఇడియప్పం పొడి</v>
      </c>
      <c r="C3634" s="4" t="str">
        <f>IFERROR(__xludf.DUMMYFUNCTION("GOOGLETRANSLATE(A3634, ""en"", ""hi"")"),"ब्राह्मण अप्पम/इडियप्पम पाउडर")</f>
        <v>ब्राह्मण अप्पम/इडियप्पम पाउडर</v>
      </c>
      <c r="D3634" s="2" t="s">
        <v>6349</v>
      </c>
      <c r="E3634" s="2" t="s">
        <v>2649</v>
      </c>
      <c r="F3634" s="1">
        <v>8.0</v>
      </c>
      <c r="G3634" s="3" t="s">
        <v>4419</v>
      </c>
    </row>
    <row r="3635">
      <c r="A3635" s="3" t="s">
        <v>9251</v>
      </c>
      <c r="B3635" s="4" t="str">
        <f>IFERROR(__xludf.DUMMYFUNCTION("GOOGLETRANSLATE(A3635, ""en"", ""te"")"),"బ్రాహ్మణ చెంబ పుట్టు పొడి")</f>
        <v>బ్రాహ్మణ చెంబ పుట్టు పొడి</v>
      </c>
      <c r="C3635" s="4" t="str">
        <f>IFERROR(__xludf.DUMMYFUNCTION("GOOGLETRANSLATE(A3635, ""en"", ""hi"")"),"ब्राह्मण चेम्बा पुट्टू पोडी")</f>
        <v>ब्राह्मण चेम्बा पुट्टू पोडी</v>
      </c>
      <c r="D3635" s="2" t="s">
        <v>9228</v>
      </c>
      <c r="E3635" s="2" t="s">
        <v>2649</v>
      </c>
      <c r="F3635" s="1">
        <v>8.0</v>
      </c>
      <c r="G3635" s="3" t="s">
        <v>4419</v>
      </c>
    </row>
    <row r="3636">
      <c r="A3636" s="3" t="s">
        <v>9252</v>
      </c>
      <c r="B3636" s="4" t="str">
        <f>IFERROR(__xludf.DUMMYFUNCTION("GOOGLETRANSLATE(A3636, ""en"", ""te"")"),"దైవి పుట్టు పొడి")</f>
        <v>దైవి పుట్టు పొడి</v>
      </c>
      <c r="C3636" s="4" t="str">
        <f>IFERROR(__xludf.DUMMYFUNCTION("GOOGLETRANSLATE(A3636, ""en"", ""hi"")"),"Daivi Puttu Podi")</f>
        <v>Daivi Puttu Podi</v>
      </c>
      <c r="D3636" s="2" t="s">
        <v>9253</v>
      </c>
      <c r="E3636" s="2" t="s">
        <v>442</v>
      </c>
      <c r="F3636" s="1">
        <v>8.0</v>
      </c>
      <c r="G3636" s="3" t="s">
        <v>4419</v>
      </c>
    </row>
    <row r="3637">
      <c r="A3637" s="3" t="s">
        <v>9254</v>
      </c>
      <c r="B3637" s="4" t="str">
        <f>IFERROR(__xludf.DUMMYFUNCTION("GOOGLETRANSLATE(A3637, ""en"", ""te"")"),"రాచవ్ ఉరద్ పిండి")</f>
        <v>రాచవ్ ఉరద్ పిండి</v>
      </c>
      <c r="C3637" s="4" t="str">
        <f>IFERROR(__xludf.DUMMYFUNCTION("GOOGLETRANSLATE(A3637, ""en"", ""hi"")"),"रचाव उड़द का आटा")</f>
        <v>रचाव उड़द का आटा</v>
      </c>
      <c r="D3637" s="2" t="s">
        <v>9255</v>
      </c>
      <c r="E3637" s="2" t="s">
        <v>1038</v>
      </c>
      <c r="F3637" s="1">
        <v>8.0</v>
      </c>
      <c r="G3637" s="3" t="s">
        <v>4419</v>
      </c>
    </row>
    <row r="3638">
      <c r="A3638" s="3" t="s">
        <v>9256</v>
      </c>
      <c r="B3638" s="4" t="str">
        <f>IFERROR(__xludf.DUMMYFUNCTION("GOOGLETRANSLATE(A3638, ""en"", ""te"")"),"ఆరాజ్ రావా")</f>
        <v>ఆరాజ్ రావా</v>
      </c>
      <c r="C3638" s="4" t="str">
        <f>IFERROR(__xludf.DUMMYFUNCTION("GOOGLETRANSLATE(A3638, ""en"", ""hi"")"),"आरज रावा")</f>
        <v>आरज रावा</v>
      </c>
      <c r="D3638" s="2" t="s">
        <v>1356</v>
      </c>
      <c r="E3638" s="2" t="s">
        <v>2649</v>
      </c>
      <c r="F3638" s="1">
        <v>8.0</v>
      </c>
      <c r="G3638" s="3" t="s">
        <v>292</v>
      </c>
    </row>
    <row r="3639">
      <c r="A3639" s="3" t="s">
        <v>9157</v>
      </c>
      <c r="B3639" s="4" t="str">
        <f>IFERROR(__xludf.DUMMYFUNCTION("GOOGLETRANSLATE(A3639, ""en"", ""te"")"),"స్వాద్ పిండి")</f>
        <v>స్వాద్ పిండి</v>
      </c>
      <c r="C3639" s="4" t="str">
        <f>IFERROR(__xludf.DUMMYFUNCTION("GOOGLETRANSLATE(A3639, ""en"", ""hi"")"),"स्वाद आटा")</f>
        <v>स्वाद आटा</v>
      </c>
      <c r="D3639" s="2" t="s">
        <v>7182</v>
      </c>
      <c r="E3639" s="2" t="s">
        <v>67</v>
      </c>
      <c r="F3639" s="1">
        <v>8.0</v>
      </c>
      <c r="G3639" s="3" t="s">
        <v>7053</v>
      </c>
    </row>
    <row r="3640">
      <c r="A3640" s="3" t="s">
        <v>9257</v>
      </c>
      <c r="B3640" s="4" t="str">
        <f>IFERROR(__xludf.DUMMYFUNCTION("GOOGLETRANSLATE(A3640, ""en"", ""te"")"),"బ్రాహ్మి అప్పం/ఇడియప్పం పొడి")</f>
        <v>బ్రాహ్మి అప్పం/ఇడియప్పం పొడి</v>
      </c>
      <c r="C3640" s="4" t="str">
        <f>IFERROR(__xludf.DUMMYFUNCTION("GOOGLETRANSLATE(A3640, ""en"", ""hi"")"),"ब्राह्मी अप्पम/इडियप्पम पोडी")</f>
        <v>ब्राह्मी अप्पम/इडियप्पम पोडी</v>
      </c>
      <c r="D3640" s="2" t="s">
        <v>9258</v>
      </c>
      <c r="E3640" s="2" t="s">
        <v>2649</v>
      </c>
      <c r="F3640" s="1">
        <v>8.0</v>
      </c>
      <c r="G3640" s="3" t="s">
        <v>4469</v>
      </c>
    </row>
    <row r="3641">
      <c r="A3641" s="3" t="s">
        <v>9259</v>
      </c>
      <c r="B3641" s="4" t="str">
        <f>IFERROR(__xludf.DUMMYFUNCTION("GOOGLETRANSLATE(A3641, ""en"", ""te"")"),"బ్రాహ్మి పుట్టు పొడి")</f>
        <v>బ్రాహ్మి పుట్టు పొడి</v>
      </c>
      <c r="C3641" s="4" t="str">
        <f>IFERROR(__xludf.DUMMYFUNCTION("GOOGLETRANSLATE(A3641, ""en"", ""hi"")"),"ब्राह्मी पुट्टू पोडी")</f>
        <v>ब्राह्मी पुट्टू पोडी</v>
      </c>
      <c r="D3641" s="2" t="s">
        <v>8261</v>
      </c>
      <c r="E3641" s="2" t="s">
        <v>2649</v>
      </c>
      <c r="F3641" s="1">
        <v>8.0</v>
      </c>
      <c r="G3641" s="3" t="s">
        <v>4469</v>
      </c>
    </row>
    <row r="3642">
      <c r="A3642" s="3" t="s">
        <v>9260</v>
      </c>
      <c r="B3642" s="4" t="str">
        <f>IFERROR(__xludf.DUMMYFUNCTION("GOOGLETRANSLATE(A3642, ""en"", ""te"")"),"బ్రాహ్మి చెంబ పుట్టు పొడి")</f>
        <v>బ్రాహ్మి చెంబ పుట్టు పొడి</v>
      </c>
      <c r="C3642" s="4" t="str">
        <f>IFERROR(__xludf.DUMMYFUNCTION("GOOGLETRANSLATE(A3642, ""en"", ""hi"")"),"ब्राह्मी चेम्बा पुट्टू पोडी")</f>
        <v>ब्राह्मी चेम्बा पुट्टू पोडी</v>
      </c>
      <c r="D3642" s="2" t="s">
        <v>9228</v>
      </c>
      <c r="E3642" s="2" t="s">
        <v>2649</v>
      </c>
      <c r="F3642" s="1">
        <v>8.0</v>
      </c>
      <c r="G3642" s="3" t="s">
        <v>4469</v>
      </c>
    </row>
    <row r="3643">
      <c r="A3643" s="3" t="s">
        <v>9064</v>
      </c>
      <c r="B3643" s="4" t="str">
        <f>IFERROR(__xludf.DUMMYFUNCTION("GOOGLETRANSLATE(A3643, ""en"", ""te"")"),"సేంద్రీయ బియ్యం పిండి")</f>
        <v>సేంద్రీయ బియ్యం పిండి</v>
      </c>
      <c r="C3643" s="4" t="str">
        <f>IFERROR(__xludf.DUMMYFUNCTION("GOOGLETRANSLATE(A3643, ""en"", ""hi"")"),"जैविक चावल का आटा")</f>
        <v>जैविक चावल का आटा</v>
      </c>
      <c r="D3643" s="2" t="s">
        <v>36</v>
      </c>
      <c r="E3643" s="2" t="s">
        <v>2649</v>
      </c>
      <c r="F3643" s="1">
        <v>8.0</v>
      </c>
      <c r="G3643" s="3" t="s">
        <v>4469</v>
      </c>
    </row>
    <row r="3644">
      <c r="A3644" s="3" t="s">
        <v>9261</v>
      </c>
      <c r="B3644" s="4" t="str">
        <f>IFERROR(__xludf.DUMMYFUNCTION("GOOGLETRANSLATE(A3644, ""en"", ""te"")"),"దైవి పిండి")</f>
        <v>దైవి పిండి</v>
      </c>
      <c r="C3644" s="4" t="str">
        <f>IFERROR(__xludf.DUMMYFUNCTION("GOOGLETRANSLATE(A3644, ""en"", ""hi"")"),"दैवी आटा")</f>
        <v>दैवी आटा</v>
      </c>
      <c r="D3644" s="2" t="s">
        <v>7182</v>
      </c>
      <c r="E3644" s="2" t="s">
        <v>67</v>
      </c>
      <c r="F3644" s="1">
        <v>8.0</v>
      </c>
      <c r="G3644" s="3" t="s">
        <v>4469</v>
      </c>
    </row>
    <row r="3645">
      <c r="A3645" s="3" t="s">
        <v>9262</v>
      </c>
      <c r="B3645" s="4" t="str">
        <f>IFERROR(__xludf.DUMMYFUNCTION("GOOGLETRANSLATE(A3645, ""en"", ""te"")"),"రాఘవ్ ఉరద్ పిండి")</f>
        <v>రాఘవ్ ఉరద్ పిండి</v>
      </c>
      <c r="C3645" s="4" t="str">
        <f>IFERROR(__xludf.DUMMYFUNCTION("GOOGLETRANSLATE(A3645, ""en"", ""hi"")"),"राघव उड़द का आटा")</f>
        <v>राघव उड़द का आटा</v>
      </c>
      <c r="D3645" s="2" t="s">
        <v>9255</v>
      </c>
      <c r="E3645" s="2" t="s">
        <v>1038</v>
      </c>
      <c r="F3645" s="1">
        <v>8.0</v>
      </c>
      <c r="G3645" s="3" t="s">
        <v>4469</v>
      </c>
    </row>
    <row r="3646">
      <c r="A3646" s="3" t="s">
        <v>9263</v>
      </c>
      <c r="B3646" s="4" t="str">
        <f>IFERROR(__xludf.DUMMYFUNCTION("GOOGLETRANSLATE(A3646, ""en"", ""te"")"),"సుజీ బ్రౌన్‌టాప్ మిల్లెట్ పిండి")</f>
        <v>సుజీ బ్రౌన్‌టాప్ మిల్లెట్ పిండి</v>
      </c>
      <c r="C3646" s="4" t="str">
        <f>IFERROR(__xludf.DUMMYFUNCTION("GOOGLETRANSLATE(A3646, ""en"", ""hi"")"),"सूजी ब्राउनटॉप बाजरा का आटा")</f>
        <v>सूजी ब्राउनटॉप बाजरा का आटा</v>
      </c>
      <c r="D3646" s="2" t="s">
        <v>9190</v>
      </c>
      <c r="E3646" s="2" t="s">
        <v>2649</v>
      </c>
      <c r="F3646" s="1">
        <v>8.0</v>
      </c>
      <c r="G3646" s="3" t="s">
        <v>4469</v>
      </c>
    </row>
    <row r="3647">
      <c r="A3647" s="3" t="s">
        <v>9264</v>
      </c>
      <c r="B3647" s="4" t="str">
        <f>IFERROR(__xludf.DUMMYFUNCTION("GOOGLETRANSLATE(A3647, ""en"", ""te"")"),"సేంద్రీయ పచ్చి వేరుశెనగ")</f>
        <v>సేంద్రీయ పచ్చి వేరుశెనగ</v>
      </c>
      <c r="C3647" s="4" t="str">
        <f>IFERROR(__xludf.DUMMYFUNCTION("GOOGLETRANSLATE(A3647, ""en"", ""hi"")"),"जैविक कच्ची मूंगफली")</f>
        <v>जैविक कच्ची मूंगफली</v>
      </c>
      <c r="D3647" s="2" t="s">
        <v>945</v>
      </c>
      <c r="E3647" s="2" t="s">
        <v>1038</v>
      </c>
      <c r="F3647" s="1">
        <v>8.0</v>
      </c>
      <c r="G3647" s="3" t="s">
        <v>4469</v>
      </c>
    </row>
    <row r="3648">
      <c r="A3648" s="3" t="s">
        <v>9080</v>
      </c>
      <c r="B3648" s="4" t="str">
        <f>IFERROR(__xludf.DUMMYFUNCTION("GOOGLETRANSLATE(A3648, ""en"", ""te"")"),"లక్ష్మి ఇడ్లీ రవ్వ")</f>
        <v>లక్ష్మి ఇడ్లీ రవ్వ</v>
      </c>
      <c r="C3648" s="4" t="str">
        <f>IFERROR(__xludf.DUMMYFUNCTION("GOOGLETRANSLATE(A3648, ""en"", ""hi"")"),"लक्ष्मी इडली रवा")</f>
        <v>लक्ष्मी इडली रवा</v>
      </c>
      <c r="D3648" s="2" t="s">
        <v>1356</v>
      </c>
      <c r="E3648" s="2" t="s">
        <v>2649</v>
      </c>
      <c r="F3648" s="1">
        <v>8.0</v>
      </c>
      <c r="G3648" s="3" t="s">
        <v>71</v>
      </c>
    </row>
    <row r="3649">
      <c r="A3649" s="3" t="s">
        <v>9096</v>
      </c>
      <c r="B3649" s="4" t="str">
        <f>IFERROR(__xludf.DUMMYFUNCTION("GOOGLETRANSLATE(A3649, ""en"", ""te"")"),"షేర్ కాలా చనా ఫ్లోర్")</f>
        <v>షేర్ కాలా చనా ఫ్లోర్</v>
      </c>
      <c r="C3649" s="4" t="str">
        <f>IFERROR(__xludf.DUMMYFUNCTION("GOOGLETRANSLATE(A3649, ""en"", ""hi"")"),"शेर काला चना आटा")</f>
        <v>शेर काला चना आटा</v>
      </c>
      <c r="D3649" s="2" t="s">
        <v>9097</v>
      </c>
      <c r="E3649" s="2" t="s">
        <v>1038</v>
      </c>
      <c r="F3649" s="1">
        <v>8.0</v>
      </c>
      <c r="G3649" s="3" t="s">
        <v>76</v>
      </c>
    </row>
    <row r="3650">
      <c r="A3650" s="3" t="s">
        <v>9265</v>
      </c>
      <c r="B3650" s="4" t="str">
        <f>IFERROR(__xludf.DUMMYFUNCTION("GOOGLETRANSLATE(A3650, ""en"", ""te"")"),"దల్వి బేసన్")</f>
        <v>దల్వి బేసన్</v>
      </c>
      <c r="C3650" s="4" t="str">
        <f>IFERROR(__xludf.DUMMYFUNCTION("GOOGLETRANSLATE(A3650, ""en"", ""hi"")"),"दलवी बेसन")</f>
        <v>दलवी बेसन</v>
      </c>
      <c r="D3650" s="2" t="s">
        <v>7052</v>
      </c>
      <c r="E3650" s="2" t="s">
        <v>67</v>
      </c>
      <c r="F3650" s="1">
        <v>8.0</v>
      </c>
      <c r="G3650" s="3" t="s">
        <v>76</v>
      </c>
    </row>
    <row r="3651">
      <c r="A3651" s="3" t="s">
        <v>9082</v>
      </c>
      <c r="B3651" s="4" t="str">
        <f>IFERROR(__xludf.DUMMYFUNCTION("GOOGLETRANSLATE(A3651, ""en"", ""te"")"),"షేర్ బేసన్")</f>
        <v>షేర్ బేసన్</v>
      </c>
      <c r="C3651" s="4" t="str">
        <f>IFERROR(__xludf.DUMMYFUNCTION("GOOGLETRANSLATE(A3651, ""en"", ""hi"")"),"शेर बेसन")</f>
        <v>शेर बेसन</v>
      </c>
      <c r="D3651" s="2" t="s">
        <v>7052</v>
      </c>
      <c r="E3651" s="2" t="s">
        <v>1038</v>
      </c>
      <c r="F3651" s="1">
        <v>8.0</v>
      </c>
      <c r="G3651" s="3" t="s">
        <v>76</v>
      </c>
    </row>
    <row r="3652">
      <c r="A3652" s="3" t="s">
        <v>2333</v>
      </c>
      <c r="B3652" s="4" t="str">
        <f>IFERROR(__xludf.DUMMYFUNCTION("GOOGLETRANSLATE(A3652, ""en"", ""te"")"),"దీప్ బేసన్")</f>
        <v>దీప్ బేసన్</v>
      </c>
      <c r="C3652" s="4" t="str">
        <f>IFERROR(__xludf.DUMMYFUNCTION("GOOGLETRANSLATE(A3652, ""en"", ""hi"")"),"दीप बेसन")</f>
        <v>दीप बेसन</v>
      </c>
      <c r="D3652" s="2" t="s">
        <v>7052</v>
      </c>
      <c r="E3652" s="2" t="s">
        <v>1038</v>
      </c>
      <c r="F3652" s="1">
        <v>8.0</v>
      </c>
      <c r="G3652" s="3" t="s">
        <v>76</v>
      </c>
    </row>
    <row r="3653">
      <c r="A3653" s="3" t="s">
        <v>9266</v>
      </c>
      <c r="B3653" s="4" t="str">
        <f>IFERROR(__xludf.DUMMYFUNCTION("GOOGLETRANSLATE(A3653, ""en"", ""te"")"),"సేంద్రీయ రాగి పిండి")</f>
        <v>సేంద్రీయ రాగి పిండి</v>
      </c>
      <c r="C3653" s="4" t="str">
        <f>IFERROR(__xludf.DUMMYFUNCTION("GOOGLETRANSLATE(A3653, ""en"", ""hi"")"),"ऑर्गेनिक रागी का आटा")</f>
        <v>ऑर्गेनिक रागी का आटा</v>
      </c>
      <c r="D3653" s="2" t="s">
        <v>2314</v>
      </c>
      <c r="E3653" s="2" t="s">
        <v>2649</v>
      </c>
      <c r="F3653" s="1">
        <v>8.0</v>
      </c>
      <c r="G3653" s="3" t="s">
        <v>85</v>
      </c>
    </row>
    <row r="3654">
      <c r="A3654" s="3" t="s">
        <v>9064</v>
      </c>
      <c r="B3654" s="4" t="str">
        <f>IFERROR(__xludf.DUMMYFUNCTION("GOOGLETRANSLATE(A3654, ""en"", ""te"")"),"సేంద్రీయ బియ్యం పిండి")</f>
        <v>సేంద్రీయ బియ్యం పిండి</v>
      </c>
      <c r="C3654" s="4" t="str">
        <f>IFERROR(__xludf.DUMMYFUNCTION("GOOGLETRANSLATE(A3654, ""en"", ""hi"")"),"जैविक चावल का आटा")</f>
        <v>जैविक चावल का आटा</v>
      </c>
      <c r="D3654" s="2" t="s">
        <v>36</v>
      </c>
      <c r="E3654" s="2" t="s">
        <v>2649</v>
      </c>
      <c r="F3654" s="1">
        <v>8.0</v>
      </c>
      <c r="G3654" s="3" t="s">
        <v>85</v>
      </c>
    </row>
    <row r="3655">
      <c r="A3655" s="3" t="s">
        <v>9267</v>
      </c>
      <c r="B3655" s="4" t="str">
        <f>IFERROR(__xludf.DUMMYFUNCTION("GOOGLETRANSLATE(A3655, ""en"", ""te"")"),"దాల్వి బియ్యం పిండి")</f>
        <v>దాల్వి బియ్యం పిండి</v>
      </c>
      <c r="C3655" s="4" t="str">
        <f>IFERROR(__xludf.DUMMYFUNCTION("GOOGLETRANSLATE(A3655, ""en"", ""hi"")"),"दालवी चावल का आटा")</f>
        <v>दालवी चावल का आटा</v>
      </c>
      <c r="D3655" s="2" t="s">
        <v>7182</v>
      </c>
      <c r="E3655" s="2" t="s">
        <v>2649</v>
      </c>
      <c r="F3655" s="1">
        <v>8.0</v>
      </c>
      <c r="G3655" s="3" t="s">
        <v>85</v>
      </c>
    </row>
    <row r="3656">
      <c r="A3656" s="3" t="s">
        <v>9086</v>
      </c>
      <c r="B3656" s="4" t="str">
        <f>IFERROR(__xludf.DUMMYFUNCTION("GOOGLETRANSLATE(A3656, ""en"", ""te"")"),"లోతైన బియ్యం పిండి")</f>
        <v>లోతైన బియ్యం పిండి</v>
      </c>
      <c r="C3656" s="4" t="str">
        <f>IFERROR(__xludf.DUMMYFUNCTION("GOOGLETRANSLATE(A3656, ""en"", ""hi"")"),"डीप राइस फ्लोर")</f>
        <v>डीप राइस फ्लोर</v>
      </c>
      <c r="D3656" s="2" t="s">
        <v>36</v>
      </c>
      <c r="E3656" s="2" t="s">
        <v>9</v>
      </c>
      <c r="F3656" s="1">
        <v>8.0</v>
      </c>
      <c r="G3656" s="3" t="s">
        <v>85</v>
      </c>
    </row>
    <row r="3657">
      <c r="A3657" s="3" t="s">
        <v>9268</v>
      </c>
      <c r="B3657" s="4" t="str">
        <f>IFERROR(__xludf.DUMMYFUNCTION("GOOGLETRANSLATE(A3657, ""en"", ""te"")"),"బ్రాహ్మణ చెంబ పుట్టు")</f>
        <v>బ్రాహ్మణ చెంబ పుట్టు</v>
      </c>
      <c r="C3657" s="4" t="str">
        <f>IFERROR(__xludf.DUMMYFUNCTION("GOOGLETRANSLATE(A3657, ""en"", ""hi"")"),"ब्राह्मण चेम्बा पुट्टू")</f>
        <v>ब्राह्मण चेम्बा पुट्टू</v>
      </c>
      <c r="D3657" s="2" t="s">
        <v>9269</v>
      </c>
      <c r="E3657" s="2" t="s">
        <v>442</v>
      </c>
      <c r="F3657" s="1">
        <v>8.0</v>
      </c>
      <c r="G3657" s="3" t="s">
        <v>114</v>
      </c>
    </row>
    <row r="3658">
      <c r="A3658" s="3" t="s">
        <v>9267</v>
      </c>
      <c r="B3658" s="4" t="str">
        <f>IFERROR(__xludf.DUMMYFUNCTION("GOOGLETRANSLATE(A3658, ""en"", ""te"")"),"దాల్వి బియ్యం పిండి")</f>
        <v>దాల్వి బియ్యం పిండి</v>
      </c>
      <c r="C3658" s="4" t="str">
        <f>IFERROR(__xludf.DUMMYFUNCTION("GOOGLETRANSLATE(A3658, ""en"", ""hi"")"),"दालवी चावल का आटा")</f>
        <v>दालवी चावल का आटा</v>
      </c>
      <c r="D3658" s="2" t="s">
        <v>7182</v>
      </c>
      <c r="E3658" s="2" t="s">
        <v>2649</v>
      </c>
      <c r="F3658" s="1">
        <v>8.0</v>
      </c>
      <c r="G3658" s="3" t="s">
        <v>114</v>
      </c>
    </row>
    <row r="3659">
      <c r="A3659" s="3" t="s">
        <v>9262</v>
      </c>
      <c r="B3659" s="4" t="str">
        <f>IFERROR(__xludf.DUMMYFUNCTION("GOOGLETRANSLATE(A3659, ""en"", ""te"")"),"రాఘవ్ ఉరద్ పిండి")</f>
        <v>రాఘవ్ ఉరద్ పిండి</v>
      </c>
      <c r="C3659" s="4" t="str">
        <f>IFERROR(__xludf.DUMMYFUNCTION("GOOGLETRANSLATE(A3659, ""en"", ""hi"")"),"राघव उड़द का आटा")</f>
        <v>राघव उड़द का आटा</v>
      </c>
      <c r="D3659" s="2" t="s">
        <v>9255</v>
      </c>
      <c r="E3659" s="2" t="s">
        <v>1038</v>
      </c>
      <c r="F3659" s="1">
        <v>8.0</v>
      </c>
      <c r="G3659" s="3" t="s">
        <v>114</v>
      </c>
    </row>
    <row r="3660">
      <c r="A3660" s="3" t="s">
        <v>9270</v>
      </c>
      <c r="B3660" s="4" t="str">
        <f>IFERROR(__xludf.DUMMYFUNCTION("GOOGLETRANSLATE(A3660, ""en"", ""te"")"),"బ్రౌన్‌టాప్ మిల్లెట్ పిండి")</f>
        <v>బ్రౌన్‌టాప్ మిల్లెట్ పిండి</v>
      </c>
      <c r="C3660" s="4" t="str">
        <f>IFERROR(__xludf.DUMMYFUNCTION("GOOGLETRANSLATE(A3660, ""en"", ""hi"")"),"ब्राउनटॉप बाजरा का आटा")</f>
        <v>ब्राउनटॉप बाजरा का आटा</v>
      </c>
      <c r="D3660" s="2" t="s">
        <v>7182</v>
      </c>
      <c r="E3660" s="2" t="s">
        <v>2649</v>
      </c>
      <c r="F3660" s="1">
        <v>8.0</v>
      </c>
      <c r="G3660" s="3" t="s">
        <v>114</v>
      </c>
    </row>
    <row r="3661">
      <c r="A3661" s="3" t="s">
        <v>9271</v>
      </c>
      <c r="B3661" s="4" t="str">
        <f>IFERROR(__xludf.DUMMYFUNCTION("GOOGLETRANSLATE(A3661, ""en"", ""te"")"),"పచ్చి వేరుశెనగ")</f>
        <v>పచ్చి వేరుశెనగ</v>
      </c>
      <c r="C3661" s="4" t="str">
        <f>IFERROR(__xludf.DUMMYFUNCTION("GOOGLETRANSLATE(A3661, ""en"", ""hi"")"),"कच्ची मूंगफली")</f>
        <v>कच्ची मूंगफली</v>
      </c>
      <c r="D3661" s="2" t="s">
        <v>945</v>
      </c>
      <c r="E3661" s="2" t="s">
        <v>2700</v>
      </c>
      <c r="F3661" s="1">
        <v>8.0</v>
      </c>
      <c r="G3661" s="3" t="s">
        <v>114</v>
      </c>
    </row>
    <row r="3662">
      <c r="A3662" s="3" t="s">
        <v>9272</v>
      </c>
      <c r="B3662" s="4" t="str">
        <f>IFERROR(__xludf.DUMMYFUNCTION("GOOGLETRANSLATE(A3662, ""en"", ""te"")"),"శనగపిండి (ఎరుపు/తెలుపు ప్యాకేజింగ్)")</f>
        <v>శనగపిండి (ఎరుపు/తెలుపు ప్యాకేజింగ్)</v>
      </c>
      <c r="C3662" s="4" t="str">
        <f>IFERROR(__xludf.DUMMYFUNCTION("GOOGLETRANSLATE(A3662, ""en"", ""hi"")"),"बेसन (लाल/सफेद पैकेजिंग)")</f>
        <v>बेसन (लाल/सफेद पैकेजिंग)</v>
      </c>
      <c r="D3662" s="2" t="s">
        <v>7052</v>
      </c>
      <c r="E3662" s="2" t="s">
        <v>1038</v>
      </c>
      <c r="F3662" s="1">
        <v>8.0</v>
      </c>
      <c r="G3662" s="3" t="s">
        <v>76</v>
      </c>
    </row>
    <row r="3663">
      <c r="A3663" s="3" t="s">
        <v>9273</v>
      </c>
      <c r="B3663" s="4" t="str">
        <f>IFERROR(__xludf.DUMMYFUNCTION("GOOGLETRANSLATE(A3663, ""en"", ""te"")"),"స్వాద్ శనగ పిండి (బేసన్)")</f>
        <v>స్వాద్ శనగ పిండి (బేసన్)</v>
      </c>
      <c r="C3663" s="4" t="str">
        <f>IFERROR(__xludf.DUMMYFUNCTION("GOOGLETRANSLATE(A3663, ""en"", ""hi"")"),"स्वाद ग्राम आटा (बेसन)")</f>
        <v>स्वाद ग्राम आटा (बेसन)</v>
      </c>
      <c r="D3663" s="2" t="s">
        <v>9274</v>
      </c>
      <c r="E3663" s="2" t="s">
        <v>1038</v>
      </c>
      <c r="F3663" s="1">
        <v>8.0</v>
      </c>
      <c r="G3663" s="3" t="s">
        <v>76</v>
      </c>
    </row>
    <row r="3664">
      <c r="A3664" s="3" t="s">
        <v>9093</v>
      </c>
      <c r="B3664" s="4" t="str">
        <f>IFERROR(__xludf.DUMMYFUNCTION("GOOGLETRANSLATE(A3664, ""en"", ""te"")"),"తెలుగు బియ్యం పిండి")</f>
        <v>తెలుగు బియ్యం పిండి</v>
      </c>
      <c r="C3664" s="4" t="str">
        <f>IFERROR(__xludf.DUMMYFUNCTION("GOOGLETRANSLATE(A3664, ""en"", ""hi"")"),"तेलुगु चावल का आटा")</f>
        <v>तेलुगु चावल का आटा</v>
      </c>
      <c r="D3664" s="2" t="s">
        <v>38</v>
      </c>
      <c r="E3664" s="2" t="s">
        <v>2649</v>
      </c>
      <c r="F3664" s="1">
        <v>8.0</v>
      </c>
      <c r="G3664" s="3" t="s">
        <v>85</v>
      </c>
    </row>
    <row r="3665">
      <c r="A3665" s="3" t="s">
        <v>9084</v>
      </c>
      <c r="B3665" s="4" t="str">
        <f>IFERROR(__xludf.DUMMYFUNCTION("GOOGLETRANSLATE(A3665, ""en"", ""te"")"),"డైవి బియ్యం పిండి")</f>
        <v>డైవి బియ్యం పిండి</v>
      </c>
      <c r="C3665" s="4" t="str">
        <f>IFERROR(__xludf.DUMMYFUNCTION("GOOGLETRANSLATE(A3665, ""en"", ""hi"")"),"दैवी चावल का आटा")</f>
        <v>दैवी चावल का आटा</v>
      </c>
      <c r="D3665" s="2" t="s">
        <v>36</v>
      </c>
      <c r="E3665" s="2" t="s">
        <v>9</v>
      </c>
      <c r="F3665" s="1">
        <v>8.0</v>
      </c>
      <c r="G3665" s="3" t="s">
        <v>85</v>
      </c>
    </row>
    <row r="3666">
      <c r="A3666" s="3" t="s">
        <v>9071</v>
      </c>
      <c r="B3666" s="4" t="str">
        <f>IFERROR(__xludf.DUMMYFUNCTION("GOOGLETRANSLATE(A3666, ""en"", ""te"")"),"లక్ష్మి పీనట్స్")</f>
        <v>లక్ష్మి పీనట్స్</v>
      </c>
      <c r="C3666" s="4" t="str">
        <f>IFERROR(__xludf.DUMMYFUNCTION("GOOGLETRANSLATE(A3666, ""en"", ""hi"")"),"लक्ष्मी मूंगफली")</f>
        <v>लक्ष्मी मूंगफली</v>
      </c>
      <c r="D3666" s="2" t="s">
        <v>945</v>
      </c>
      <c r="E3666" s="2" t="s">
        <v>2700</v>
      </c>
      <c r="F3666" s="1">
        <v>8.0</v>
      </c>
      <c r="G3666" s="3" t="s">
        <v>114</v>
      </c>
    </row>
    <row r="3667">
      <c r="A3667" s="3" t="s">
        <v>9275</v>
      </c>
      <c r="B3667" s="4" t="str">
        <f>IFERROR(__xludf.DUMMYFUNCTION("GOOGLETRANSLATE(A3667, ""en"", ""te"")"),"బ్రౌన్ టాప్ మిల్లెట్ పిండి")</f>
        <v>బ్రౌన్ టాప్ మిల్లెట్ పిండి</v>
      </c>
      <c r="C3667" s="4" t="str">
        <f>IFERROR(__xludf.DUMMYFUNCTION("GOOGLETRANSLATE(A3667, ""en"", ""hi"")"),"ब्राउन टॉप बाजरे का आटा")</f>
        <v>ब्राउन टॉप बाजरे का आटा</v>
      </c>
      <c r="D3667" s="2" t="s">
        <v>2314</v>
      </c>
      <c r="E3667" s="2" t="s">
        <v>67</v>
      </c>
      <c r="F3667" s="1">
        <v>8.0</v>
      </c>
      <c r="G3667" s="3" t="s">
        <v>114</v>
      </c>
    </row>
    <row r="3668">
      <c r="A3668" s="3" t="s">
        <v>9276</v>
      </c>
      <c r="B3668" s="4" t="str">
        <f>IFERROR(__xludf.DUMMYFUNCTION("GOOGLETRANSLATE(A3668, ""en"", ""te"")"),"మినప పిండి")</f>
        <v>మినప పిండి</v>
      </c>
      <c r="C3668" s="4" t="str">
        <f>IFERROR(__xludf.DUMMYFUNCTION("GOOGLETRANSLATE(A3668, ""en"", ""hi"")"),"उड़द का आटा")</f>
        <v>उड़द का आटा</v>
      </c>
      <c r="D3668" s="2" t="s">
        <v>2314</v>
      </c>
      <c r="E3668" s="2" t="s">
        <v>67</v>
      </c>
      <c r="F3668" s="1">
        <v>8.0</v>
      </c>
      <c r="G3668" s="3" t="s">
        <v>114</v>
      </c>
    </row>
    <row r="3669">
      <c r="A3669" s="3" t="s">
        <v>9057</v>
      </c>
      <c r="B3669" s="4" t="str">
        <f>IFERROR(__xludf.DUMMYFUNCTION("GOOGLETRANSLATE(A3669, ""en"", ""te"")"),"స్వాద్ ఇడ్లీ రవా")</f>
        <v>స్వాద్ ఇడ్లీ రవా</v>
      </c>
      <c r="C3669" s="4" t="str">
        <f>IFERROR(__xludf.DUMMYFUNCTION("GOOGLETRANSLATE(A3669, ""en"", ""hi"")"),"स्वाद इडली रवा")</f>
        <v>स्वाद इडली रवा</v>
      </c>
      <c r="D3669" s="2" t="s">
        <v>1356</v>
      </c>
      <c r="E3669" s="2" t="s">
        <v>2649</v>
      </c>
      <c r="F3669" s="1">
        <v>8.0</v>
      </c>
      <c r="G3669" s="3" t="s">
        <v>71</v>
      </c>
    </row>
    <row r="3670">
      <c r="A3670" s="3" t="s">
        <v>4158</v>
      </c>
      <c r="B3670" s="4" t="str">
        <f>IFERROR(__xludf.DUMMYFUNCTION("GOOGLETRANSLATE(A3670, ""en"", ""te"")"),"లక్ష్మి బేసన్")</f>
        <v>లక్ష్మి బేసన్</v>
      </c>
      <c r="C3670" s="4" t="str">
        <f>IFERROR(__xludf.DUMMYFUNCTION("GOOGLETRANSLATE(A3670, ""en"", ""hi"")"),"लक्ष्मी बेसन")</f>
        <v>लक्ष्मी बेसन</v>
      </c>
      <c r="D3670" s="2" t="s">
        <v>7052</v>
      </c>
      <c r="E3670" s="2" t="s">
        <v>67</v>
      </c>
      <c r="F3670" s="1">
        <v>8.0</v>
      </c>
      <c r="G3670" s="3" t="s">
        <v>76</v>
      </c>
    </row>
    <row r="3671">
      <c r="A3671" s="3" t="s">
        <v>9277</v>
      </c>
      <c r="B3671" s="4" t="str">
        <f>IFERROR(__xludf.DUMMYFUNCTION("GOOGLETRANSLATE(A3671, ""en"", ""te"")"),"తెలియని బియ్యం పిండి")</f>
        <v>తెలియని బియ్యం పిండి</v>
      </c>
      <c r="C3671" s="4" t="str">
        <f>IFERROR(__xludf.DUMMYFUNCTION("GOOGLETRANSLATE(A3671, ""en"", ""hi"")"),"अज्ञात चावल का आटा")</f>
        <v>अज्ञात चावल का आटा</v>
      </c>
      <c r="D3671" s="5"/>
      <c r="E3671" s="2" t="s">
        <v>9</v>
      </c>
      <c r="F3671" s="1">
        <v>8.0</v>
      </c>
      <c r="G3671" s="3" t="s">
        <v>85</v>
      </c>
    </row>
    <row r="3672">
      <c r="A3672" s="3" t="s">
        <v>9278</v>
      </c>
      <c r="B3672" s="4" t="str">
        <f>IFERROR(__xludf.DUMMYFUNCTION("GOOGLETRANSLATE(A3672, ""en"", ""te"")"),"బ్రహ్మ స్వీట్ కార్న్ ఫ్లోర్")</f>
        <v>బ్రహ్మ స్వీట్ కార్న్ ఫ్లోర్</v>
      </c>
      <c r="C3672" s="4" t="str">
        <f>IFERROR(__xludf.DUMMYFUNCTION("GOOGLETRANSLATE(A3672, ""en"", ""hi"")"),"ब्रह्मा स्वीट कॉर्न आटा")</f>
        <v>ब्रह्मा स्वीट कॉर्न आटा</v>
      </c>
      <c r="D3672" s="2" t="s">
        <v>2314</v>
      </c>
      <c r="E3672" s="2" t="s">
        <v>67</v>
      </c>
      <c r="F3672" s="1">
        <v>8.0</v>
      </c>
      <c r="G3672" s="3" t="s">
        <v>85</v>
      </c>
    </row>
    <row r="3673">
      <c r="A3673" s="3" t="s">
        <v>9279</v>
      </c>
      <c r="B3673" s="4" t="str">
        <f>IFERROR(__xludf.DUMMYFUNCTION("GOOGLETRANSLATE(A3673, ""en"", ""te"")"),"స్వాద్ ఆర్గానిక్ ఇడ్లీ రవ్వ")</f>
        <v>స్వాద్ ఆర్గానిక్ ఇడ్లీ రవ్వ</v>
      </c>
      <c r="C3673" s="4" t="str">
        <f>IFERROR(__xludf.DUMMYFUNCTION("GOOGLETRANSLATE(A3673, ""en"", ""hi"")"),"स्वाद ऑर्गेनिक इडली रवा")</f>
        <v>स्वाद ऑर्गेनिक इडली रवा</v>
      </c>
      <c r="D3673" s="2" t="s">
        <v>1356</v>
      </c>
      <c r="E3673" s="2" t="s">
        <v>2649</v>
      </c>
      <c r="F3673" s="1">
        <v>8.0</v>
      </c>
      <c r="G3673" s="3" t="s">
        <v>71</v>
      </c>
    </row>
    <row r="3674">
      <c r="A3674" s="3" t="s">
        <v>9280</v>
      </c>
      <c r="B3674" s="4" t="str">
        <f>IFERROR(__xludf.DUMMYFUNCTION("GOOGLETRANSLATE(A3674, ""en"", ""te"")"),"తెలుగు ఇడ్లీ రవ్వ")</f>
        <v>తెలుగు ఇడ్లీ రవ్వ</v>
      </c>
      <c r="C3674" s="4" t="str">
        <f>IFERROR(__xludf.DUMMYFUNCTION("GOOGLETRANSLATE(A3674, ""en"", ""hi"")"),"तेलुगु इडली रवा")</f>
        <v>तेलुगु इडली रवा</v>
      </c>
      <c r="D3674" s="2" t="s">
        <v>1356</v>
      </c>
      <c r="E3674" s="2" t="s">
        <v>2649</v>
      </c>
      <c r="F3674" s="1">
        <v>8.0</v>
      </c>
      <c r="G3674" s="3" t="s">
        <v>71</v>
      </c>
    </row>
    <row r="3675">
      <c r="A3675" s="3" t="s">
        <v>9281</v>
      </c>
      <c r="B3675" s="4" t="str">
        <f>IFERROR(__xludf.DUMMYFUNCTION("GOOGLETRANSLATE(A3675, ""en"", ""te"")"),"బేసన్")</f>
        <v>బేసన్</v>
      </c>
      <c r="C3675" s="4" t="str">
        <f>IFERROR(__xludf.DUMMYFUNCTION("GOOGLETRANSLATE(A3675, ""en"", ""hi"")"),"बेसन")</f>
        <v>बेसन</v>
      </c>
      <c r="D3675" s="2" t="s">
        <v>7052</v>
      </c>
      <c r="E3675" s="2" t="s">
        <v>67</v>
      </c>
      <c r="F3675" s="1">
        <v>8.0</v>
      </c>
      <c r="G3675" s="3" t="s">
        <v>76</v>
      </c>
    </row>
    <row r="3676">
      <c r="A3676" s="3" t="s">
        <v>9282</v>
      </c>
      <c r="B3676" s="4" t="str">
        <f>IFERROR(__xludf.DUMMYFUNCTION("GOOGLETRANSLATE(A3676, ""en"", ""te"")"),"ఆరా బేసన్")</f>
        <v>ఆరా బేసన్</v>
      </c>
      <c r="C3676" s="4" t="str">
        <f>IFERROR(__xludf.DUMMYFUNCTION("GOOGLETRANSLATE(A3676, ""en"", ""hi"")"),"आरा बेसन")</f>
        <v>आरा बेसन</v>
      </c>
      <c r="D3676" s="2" t="s">
        <v>7052</v>
      </c>
      <c r="E3676" s="2" t="s">
        <v>67</v>
      </c>
      <c r="F3676" s="1">
        <v>8.0</v>
      </c>
      <c r="G3676" s="3" t="s">
        <v>76</v>
      </c>
    </row>
    <row r="3677">
      <c r="A3677" s="3" t="s">
        <v>9077</v>
      </c>
      <c r="B3677" s="4" t="str">
        <f>IFERROR(__xludf.DUMMYFUNCTION("GOOGLETRANSLATE(A3677, ""en"", ""te"")"),"స్వాద్ బియ్యం పిండి")</f>
        <v>స్వాద్ బియ్యం పిండి</v>
      </c>
      <c r="C3677" s="4" t="str">
        <f>IFERROR(__xludf.DUMMYFUNCTION("GOOGLETRANSLATE(A3677, ""en"", ""hi"")"),"स्वाद चावल का आटा")</f>
        <v>स्वाद चावल का आटा</v>
      </c>
      <c r="D3677" s="2" t="s">
        <v>8991</v>
      </c>
      <c r="E3677" s="2" t="s">
        <v>2649</v>
      </c>
      <c r="F3677" s="1">
        <v>8.0</v>
      </c>
      <c r="G3677" s="3" t="s">
        <v>85</v>
      </c>
    </row>
    <row r="3678">
      <c r="A3678" s="3" t="s">
        <v>9065</v>
      </c>
      <c r="B3678" s="4" t="str">
        <f>IFERROR(__xludf.DUMMYFUNCTION("GOOGLETRANSLATE(A3678, ""en"", ""te"")"),"బ్రార్ స్వీట్ కార్న్ ఫ్లోర్")</f>
        <v>బ్రార్ స్వీట్ కార్న్ ఫ్లోర్</v>
      </c>
      <c r="C3678" s="4" t="str">
        <f>IFERROR(__xludf.DUMMYFUNCTION("GOOGLETRANSLATE(A3678, ""en"", ""hi"")"),"ब्रार मीठा मक्का का आटा")</f>
        <v>ब्रार मीठा मक्का का आटा</v>
      </c>
      <c r="D3678" s="2" t="s">
        <v>7182</v>
      </c>
      <c r="E3678" s="2" t="s">
        <v>67</v>
      </c>
      <c r="F3678" s="1">
        <v>8.0</v>
      </c>
      <c r="G3678" s="3" t="s">
        <v>85</v>
      </c>
    </row>
    <row r="3679">
      <c r="A3679" s="3" t="s">
        <v>9283</v>
      </c>
      <c r="B3679" s="4" t="str">
        <f>IFERROR(__xludf.DUMMYFUNCTION("GOOGLETRANSLATE(A3679, ""en"", ""te"")"),"స్వాద్ మైదా ఆల్ పర్పస్ ఫ్లోర్")</f>
        <v>స్వాద్ మైదా ఆల్ పర్పస్ ఫ్లోర్</v>
      </c>
      <c r="C3679" s="4" t="str">
        <f>IFERROR(__xludf.DUMMYFUNCTION("GOOGLETRANSLATE(A3679, ""en"", ""hi"")"),"स्वाद मैदा ऑल पर्पस आटा")</f>
        <v>स्वाद मैदा ऑल पर्पस आटा</v>
      </c>
      <c r="D3679" s="5"/>
      <c r="E3679" s="2" t="s">
        <v>67</v>
      </c>
      <c r="F3679" s="1">
        <v>8.0</v>
      </c>
      <c r="G3679" s="3" t="s">
        <v>85</v>
      </c>
    </row>
    <row r="3680">
      <c r="A3680" s="3" t="s">
        <v>9067</v>
      </c>
      <c r="B3680" s="4" t="str">
        <f>IFERROR(__xludf.DUMMYFUNCTION("GOOGLETRANSLATE(A3680, ""en"", ""te"")"),"ఆర్గానిక్ ఇడ్లీ రవ్వ")</f>
        <v>ఆర్గానిక్ ఇడ్లీ రవ్వ</v>
      </c>
      <c r="C3680" s="4" t="str">
        <f>IFERROR(__xludf.DUMMYFUNCTION("GOOGLETRANSLATE(A3680, ""en"", ""hi"")"),"ऑर्गेनिक इडली रवा")</f>
        <v>ऑर्गेनिक इडली रवा</v>
      </c>
      <c r="D3680" s="2" t="s">
        <v>1356</v>
      </c>
      <c r="E3680" s="2" t="s">
        <v>2649</v>
      </c>
      <c r="F3680" s="1">
        <v>8.0</v>
      </c>
      <c r="G3680" s="3" t="s">
        <v>71</v>
      </c>
    </row>
    <row r="3681">
      <c r="A3681" s="3" t="s">
        <v>9058</v>
      </c>
      <c r="B3681" s="4" t="str">
        <f>IFERROR(__xludf.DUMMYFUNCTION("GOOGLETRANSLATE(A3681, ""en"", ""te"")"),"తెలుగు ఆహారాలు అన్నం రవ్వ")</f>
        <v>తెలుగు ఆహారాలు అన్నం రవ్వ</v>
      </c>
      <c r="C3681" s="4" t="str">
        <f>IFERROR(__xludf.DUMMYFUNCTION("GOOGLETRANSLATE(A3681, ""en"", ""hi"")"),"तेलुगु व्यंजन चावल रवा")</f>
        <v>तेलुगु व्यंजन चावल रवा</v>
      </c>
      <c r="D3681" s="2" t="s">
        <v>38</v>
      </c>
      <c r="E3681" s="2" t="s">
        <v>2649</v>
      </c>
      <c r="F3681" s="1">
        <v>8.0</v>
      </c>
      <c r="G3681" s="3" t="s">
        <v>71</v>
      </c>
    </row>
    <row r="3682">
      <c r="A3682" s="3" t="s">
        <v>9284</v>
      </c>
      <c r="B3682" s="4" t="str">
        <f>IFERROR(__xludf.DUMMYFUNCTION("GOOGLETRANSLATE(A3682, ""en"", ""te"")"),"మొక్కజొన్న పిండి")</f>
        <v>మొక్కజొన్న పిండి</v>
      </c>
      <c r="C3682" s="4" t="str">
        <f>IFERROR(__xludf.DUMMYFUNCTION("GOOGLETRANSLATE(A3682, ""en"", ""hi"")"),"मक्का का आटा")</f>
        <v>मक्का का आटा</v>
      </c>
      <c r="D3682" s="2" t="s">
        <v>9047</v>
      </c>
      <c r="E3682" s="2" t="s">
        <v>2649</v>
      </c>
      <c r="F3682" s="1">
        <v>8.0</v>
      </c>
      <c r="G3682" s="3" t="s">
        <v>71</v>
      </c>
    </row>
    <row r="3683">
      <c r="A3683" s="3" t="s">
        <v>9285</v>
      </c>
      <c r="B3683" s="4" t="str">
        <f>IFERROR(__xludf.DUMMYFUNCTION("GOOGLETRANSLATE(A3683, ""en"", ""te"")"),"లక్ష్మి బియ్యం పిండి")</f>
        <v>లక్ష్మి బియ్యం పిండి</v>
      </c>
      <c r="C3683" s="4" t="str">
        <f>IFERROR(__xludf.DUMMYFUNCTION("GOOGLETRANSLATE(A3683, ""en"", ""hi"")"),"लक्ष्मी चावल का आटा")</f>
        <v>लक्ष्मी चावल का आटा</v>
      </c>
      <c r="D3683" s="2" t="s">
        <v>2314</v>
      </c>
      <c r="E3683" s="2" t="s">
        <v>67</v>
      </c>
      <c r="F3683" s="1">
        <v>8.0</v>
      </c>
      <c r="G3683" s="3" t="s">
        <v>85</v>
      </c>
    </row>
    <row r="3684">
      <c r="A3684" s="3" t="s">
        <v>9066</v>
      </c>
      <c r="B3684" s="4" t="str">
        <f>IFERROR(__xludf.DUMMYFUNCTION("GOOGLETRANSLATE(A3684, ""en"", ""te"")"),"స్వద్ మైదా")</f>
        <v>స్వద్ మైదా</v>
      </c>
      <c r="C3684" s="4" t="str">
        <f>IFERROR(__xludf.DUMMYFUNCTION("GOOGLETRANSLATE(A3684, ""en"", ""hi"")"),"स्वाद मैदा")</f>
        <v>स्वाद मैदा</v>
      </c>
      <c r="D3684" s="2" t="s">
        <v>7123</v>
      </c>
      <c r="E3684" s="2" t="s">
        <v>4100</v>
      </c>
      <c r="F3684" s="1">
        <v>8.0</v>
      </c>
      <c r="G3684" s="3" t="s">
        <v>85</v>
      </c>
    </row>
    <row r="3685">
      <c r="A3685" s="3" t="s">
        <v>2575</v>
      </c>
      <c r="B3685" s="4" t="str">
        <f>IFERROR(__xludf.DUMMYFUNCTION("GOOGLETRANSLATE(A3685, ""en"", ""te"")"),"దీప్ మైదా")</f>
        <v>దీప్ మైదా</v>
      </c>
      <c r="C3685" s="4" t="str">
        <f>IFERROR(__xludf.DUMMYFUNCTION("GOOGLETRANSLATE(A3685, ""en"", ""hi"")"),"दीप मैदा")</f>
        <v>दीप मैदा</v>
      </c>
      <c r="D3685" s="2" t="s">
        <v>3484</v>
      </c>
      <c r="E3685" s="2" t="s">
        <v>4100</v>
      </c>
      <c r="F3685" s="1">
        <v>8.0</v>
      </c>
      <c r="G3685" s="3" t="s">
        <v>85</v>
      </c>
    </row>
    <row r="3686">
      <c r="A3686" s="3" t="s">
        <v>9286</v>
      </c>
      <c r="B3686" s="4" t="str">
        <f>IFERROR(__xludf.DUMMYFUNCTION("GOOGLETRANSLATE(A3686, ""en"", ""te"")"),"లక్ష్మి వేరుశెనగలు (తొక్క తీసినవి)")</f>
        <v>లక్ష్మి వేరుశెనగలు (తొక్క తీసినవి)</v>
      </c>
      <c r="C3686" s="4" t="str">
        <f>IFERROR(__xludf.DUMMYFUNCTION("GOOGLETRANSLATE(A3686, ""en"", ""hi"")"),"लक्ष्मी मूंगफली (बिना छिलके वाली)")</f>
        <v>लक्ष्मी मूंगफली (बिना छिलके वाली)</v>
      </c>
      <c r="D3686" s="2" t="s">
        <v>945</v>
      </c>
      <c r="E3686" s="2" t="s">
        <v>2700</v>
      </c>
      <c r="F3686" s="1">
        <v>8.0</v>
      </c>
      <c r="G3686" s="3" t="s">
        <v>114</v>
      </c>
    </row>
    <row r="3687">
      <c r="A3687" s="3" t="s">
        <v>3871</v>
      </c>
      <c r="B3687" s="4" t="str">
        <f>IFERROR(__xludf.DUMMYFUNCTION("GOOGLETRANSLATE(A3687, ""en"", ""te"")"),"జంబో పీనట్స్")</f>
        <v>జంబో పీనట్స్</v>
      </c>
      <c r="C3687" s="4" t="str">
        <f>IFERROR(__xludf.DUMMYFUNCTION("GOOGLETRANSLATE(A3687, ""en"", ""hi"")"),"जंबो मूंगफली")</f>
        <v>जंबो मूंगफली</v>
      </c>
      <c r="D3687" s="2" t="s">
        <v>945</v>
      </c>
      <c r="E3687" s="2" t="s">
        <v>2700</v>
      </c>
      <c r="F3687" s="1">
        <v>8.0</v>
      </c>
      <c r="G3687" s="3" t="s">
        <v>114</v>
      </c>
    </row>
    <row r="3688">
      <c r="A3688" s="3" t="s">
        <v>5294</v>
      </c>
      <c r="B3688" s="4" t="str">
        <f>IFERROR(__xludf.DUMMYFUNCTION("GOOGLETRANSLATE(A3688, ""en"", ""te"")"),"వేరుశెనగలు")</f>
        <v>వేరుశెనగలు</v>
      </c>
      <c r="C3688" s="4" t="str">
        <f>IFERROR(__xludf.DUMMYFUNCTION("GOOGLETRANSLATE(A3688, ""en"", ""hi"")"),"मूंगफली")</f>
        <v>मूंगफली</v>
      </c>
      <c r="D3688" s="2" t="s">
        <v>945</v>
      </c>
      <c r="E3688" s="2" t="s">
        <v>2700</v>
      </c>
      <c r="F3688" s="1">
        <v>8.0</v>
      </c>
      <c r="G3688" s="3" t="s">
        <v>114</v>
      </c>
    </row>
    <row r="3689">
      <c r="A3689" s="3" t="s">
        <v>9287</v>
      </c>
      <c r="B3689" s="4" t="str">
        <f>IFERROR(__xludf.DUMMYFUNCTION("GOOGLETRANSLATE(A3689, ""en"", ""te"")"),"తెలుగు బియ్యం రవ్వ")</f>
        <v>తెలుగు బియ్యం రవ్వ</v>
      </c>
      <c r="C3689" s="4" t="str">
        <f>IFERROR(__xludf.DUMMYFUNCTION("GOOGLETRANSLATE(A3689, ""en"", ""hi"")"),"तेलुगु चावल रवा")</f>
        <v>तेलुगु चावल रवा</v>
      </c>
      <c r="D3689" s="2" t="s">
        <v>38</v>
      </c>
      <c r="E3689" s="2" t="s">
        <v>2649</v>
      </c>
      <c r="F3689" s="1">
        <v>8.0</v>
      </c>
      <c r="G3689" s="3" t="s">
        <v>71</v>
      </c>
    </row>
    <row r="3690">
      <c r="A3690" s="3" t="s">
        <v>9236</v>
      </c>
      <c r="B3690" s="4" t="str">
        <f>IFERROR(__xludf.DUMMYFUNCTION("GOOGLETRANSLATE(A3690, ""en"", ""te"")"),"స్వాద్ మొక్కజొన్న పిండి")</f>
        <v>స్వాద్ మొక్కజొన్న పిండి</v>
      </c>
      <c r="C3690" s="4" t="str">
        <f>IFERROR(__xludf.DUMMYFUNCTION("GOOGLETRANSLATE(A3690, ""en"", ""hi"")"),"स्वाद कॉर्न फ्लोर")</f>
        <v>स्वाद कॉर्न फ्लोर</v>
      </c>
      <c r="D3690" s="2" t="s">
        <v>2314</v>
      </c>
      <c r="E3690" s="2" t="s">
        <v>2649</v>
      </c>
      <c r="F3690" s="1">
        <v>8.0</v>
      </c>
      <c r="G3690" s="3" t="s">
        <v>71</v>
      </c>
    </row>
    <row r="3691">
      <c r="A3691" s="3" t="s">
        <v>9062</v>
      </c>
      <c r="B3691" s="4" t="str">
        <f>IFERROR(__xludf.DUMMYFUNCTION("GOOGLETRANSLATE(A3691, ""en"", ""te"")"),"ఆటా బేసన్")</f>
        <v>ఆటా బేసన్</v>
      </c>
      <c r="C3691" s="4" t="str">
        <f>IFERROR(__xludf.DUMMYFUNCTION("GOOGLETRANSLATE(A3691, ""en"", ""hi"")"),"आटा बेसन")</f>
        <v>आटा बेसन</v>
      </c>
      <c r="D3691" s="2" t="s">
        <v>9063</v>
      </c>
      <c r="E3691" s="2" t="s">
        <v>67</v>
      </c>
      <c r="F3691" s="1">
        <v>8.0</v>
      </c>
      <c r="G3691" s="3" t="s">
        <v>76</v>
      </c>
    </row>
    <row r="3692">
      <c r="A3692" s="3" t="s">
        <v>9066</v>
      </c>
      <c r="B3692" s="4" t="str">
        <f>IFERROR(__xludf.DUMMYFUNCTION("GOOGLETRANSLATE(A3692, ""en"", ""te"")"),"స్వద్ మైదా")</f>
        <v>స్వద్ మైదా</v>
      </c>
      <c r="C3692" s="4" t="str">
        <f>IFERROR(__xludf.DUMMYFUNCTION("GOOGLETRANSLATE(A3692, ""en"", ""hi"")"),"स्वाद मैदा")</f>
        <v>स्वाद मैदा</v>
      </c>
      <c r="D3692" s="2" t="s">
        <v>7123</v>
      </c>
      <c r="E3692" s="2" t="s">
        <v>4100</v>
      </c>
      <c r="F3692" s="1">
        <v>8.0</v>
      </c>
      <c r="G3692" s="3" t="s">
        <v>76</v>
      </c>
    </row>
    <row r="3693">
      <c r="A3693" s="3" t="s">
        <v>9288</v>
      </c>
      <c r="B3693" s="4" t="str">
        <f>IFERROR(__xludf.DUMMYFUNCTION("GOOGLETRANSLATE(A3693, ""en"", ""te"")"),"బ్రార్ మొక్కజొన్న పిండి")</f>
        <v>బ్రార్ మొక్కజొన్న పిండి</v>
      </c>
      <c r="C3693" s="4" t="str">
        <f>IFERROR(__xludf.DUMMYFUNCTION("GOOGLETRANSLATE(A3693, ""en"", ""hi"")"),"ब्रार कॉर्न फ्लोर")</f>
        <v>ब्रार कॉर्न फ्लोर</v>
      </c>
      <c r="D3693" s="2" t="s">
        <v>9076</v>
      </c>
      <c r="E3693" s="2" t="s">
        <v>67</v>
      </c>
      <c r="F3693" s="1">
        <v>8.0</v>
      </c>
      <c r="G3693" s="3" t="s">
        <v>85</v>
      </c>
    </row>
    <row r="3694">
      <c r="A3694" s="3" t="s">
        <v>9289</v>
      </c>
      <c r="B3694" s="4" t="str">
        <f>IFERROR(__xludf.DUMMYFUNCTION("GOOGLETRANSLATE(A3694, ""en"", ""te"")"),"ముదురు బెల్లం పొడి")</f>
        <v>ముదురు బెల్లం పొడి</v>
      </c>
      <c r="C3694" s="4" t="str">
        <f>IFERROR(__xludf.DUMMYFUNCTION("GOOGLETRANSLATE(A3694, ""en"", ""hi"")"),"डीप गुड़ पाउडर")</f>
        <v>डीप गुड़ पाउडर</v>
      </c>
      <c r="D3694" s="2" t="s">
        <v>7147</v>
      </c>
      <c r="E3694" s="2" t="s">
        <v>4407</v>
      </c>
      <c r="F3694" s="1">
        <v>8.0</v>
      </c>
      <c r="G3694" s="3" t="s">
        <v>6910</v>
      </c>
    </row>
    <row r="3695">
      <c r="A3695" s="3" t="s">
        <v>9290</v>
      </c>
      <c r="B3695" s="4" t="str">
        <f>IFERROR(__xludf.DUMMYFUNCTION("GOOGLETRANSLATE(A3695, ""en"", ""te"")"),"అసలైన దక్షిణ భారత బెల్లం పొడి")</f>
        <v>అసలైన దక్షిణ భారత బెల్లం పొడి</v>
      </c>
      <c r="C3695" s="4" t="str">
        <f>IFERROR(__xludf.DUMMYFUNCTION("GOOGLETRANSLATE(A3695, ""en"", ""hi"")"),"दक्षिण भारत का असली गुड़ पाउडर")</f>
        <v>दक्षिण भारत का असली गुड़ पाउडर</v>
      </c>
      <c r="D3695" s="2" t="s">
        <v>6349</v>
      </c>
      <c r="E3695" s="2" t="s">
        <v>4407</v>
      </c>
      <c r="F3695" s="1">
        <v>8.0</v>
      </c>
      <c r="G3695" s="3" t="s">
        <v>6910</v>
      </c>
    </row>
    <row r="3696">
      <c r="A3696" s="3" t="s">
        <v>9291</v>
      </c>
      <c r="B3696" s="4" t="str">
        <f>IFERROR(__xludf.DUMMYFUNCTION("GOOGLETRANSLATE(A3696, ""en"", ""te"")"),"లక్ష్మి బెల్లం")</f>
        <v>లక్ష్మి బెల్లం</v>
      </c>
      <c r="C3696" s="4" t="str">
        <f>IFERROR(__xludf.DUMMYFUNCTION("GOOGLETRANSLATE(A3696, ""en"", ""hi"")"),"लक्ष्मी गुड़")</f>
        <v>लक्ष्मी गुड़</v>
      </c>
      <c r="D3696" s="2" t="s">
        <v>7147</v>
      </c>
      <c r="E3696" s="2" t="s">
        <v>4407</v>
      </c>
      <c r="F3696" s="1">
        <v>8.0</v>
      </c>
      <c r="G3696" s="3" t="s">
        <v>6920</v>
      </c>
    </row>
    <row r="3697">
      <c r="A3697" s="3" t="s">
        <v>9292</v>
      </c>
      <c r="B3697" s="4" t="str">
        <f>IFERROR(__xludf.DUMMYFUNCTION("GOOGLETRANSLATE(A3697, ""en"", ""te"")"),"లక్ష్మి బెల్లం పొడి")</f>
        <v>లక్ష్మి బెల్లం పొడి</v>
      </c>
      <c r="C3697" s="4" t="str">
        <f>IFERROR(__xludf.DUMMYFUNCTION("GOOGLETRANSLATE(A3697, ""en"", ""hi"")"),"लक्ष्मी गुड़ पाउडर")</f>
        <v>लक्ष्मी गुड़ पाउडर</v>
      </c>
      <c r="D3697" s="2" t="s">
        <v>7147</v>
      </c>
      <c r="E3697" s="2" t="s">
        <v>4407</v>
      </c>
      <c r="F3697" s="1">
        <v>8.0</v>
      </c>
      <c r="G3697" s="3" t="s">
        <v>6920</v>
      </c>
    </row>
    <row r="3698">
      <c r="A3698" s="3" t="s">
        <v>9293</v>
      </c>
      <c r="B3698" s="4" t="str">
        <f>IFERROR(__xludf.DUMMYFUNCTION("GOOGLETRANSLATE(A3698, ""en"", ""te"")"),"లక్ష్మి పంజాబీ మసాలా గుడ్")</f>
        <v>లక్ష్మి పంజాబీ మసాలా గుడ్</v>
      </c>
      <c r="C3698" s="4" t="str">
        <f>IFERROR(__xludf.DUMMYFUNCTION("GOOGLETRANSLATE(A3698, ""en"", ""hi"")"),"लक्ष्मी पंजाबी मसाला गुड़")</f>
        <v>लक्ष्मी पंजाबी मसाला गुड़</v>
      </c>
      <c r="D3698" s="5"/>
      <c r="E3698" s="2" t="s">
        <v>442</v>
      </c>
      <c r="F3698" s="1">
        <v>8.0</v>
      </c>
      <c r="G3698" s="3" t="s">
        <v>6920</v>
      </c>
    </row>
    <row r="3699">
      <c r="A3699" s="3" t="s">
        <v>9294</v>
      </c>
      <c r="B3699" s="4" t="str">
        <f>IFERROR(__xludf.DUMMYFUNCTION("GOOGLETRANSLATE(A3699, ""en"", ""te"")"),"లక్ష్మి దేశీ బెల్లం")</f>
        <v>లక్ష్మి దేశీ బెల్లం</v>
      </c>
      <c r="C3699" s="4" t="str">
        <f>IFERROR(__xludf.DUMMYFUNCTION("GOOGLETRANSLATE(A3699, ""en"", ""hi"")"),"लक्ष्मी देसी गुड़")</f>
        <v>लक्ष्मी देसी गुड़</v>
      </c>
      <c r="D3699" s="2" t="s">
        <v>7147</v>
      </c>
      <c r="E3699" s="2" t="s">
        <v>4407</v>
      </c>
      <c r="F3699" s="1">
        <v>8.0</v>
      </c>
      <c r="G3699" s="3" t="s">
        <v>6932</v>
      </c>
    </row>
    <row r="3700">
      <c r="A3700" s="3" t="s">
        <v>9295</v>
      </c>
      <c r="B3700" s="4" t="str">
        <f>IFERROR(__xludf.DUMMYFUNCTION("GOOGLETRANSLATE(A3700, ""en"", ""te"")"),"లక్ష్మి పంజాబీ గుడ్")</f>
        <v>లక్ష్మి పంజాబీ గుడ్</v>
      </c>
      <c r="C3700" s="4" t="str">
        <f>IFERROR(__xludf.DUMMYFUNCTION("GOOGLETRANSLATE(A3700, ""en"", ""hi"")"),"लक्ष्मी पंजाबी गुड़")</f>
        <v>लक्ष्मी पंजाबी गुड़</v>
      </c>
      <c r="D3700" s="5"/>
      <c r="E3700" s="2" t="s">
        <v>4407</v>
      </c>
      <c r="F3700" s="1">
        <v>8.0</v>
      </c>
      <c r="G3700" s="3" t="s">
        <v>6932</v>
      </c>
    </row>
    <row r="3701">
      <c r="A3701" s="3" t="s">
        <v>9296</v>
      </c>
      <c r="B3701" s="4" t="str">
        <f>IFERROR(__xludf.DUMMYFUNCTION("GOOGLETRANSLATE(A3701, ""en"", ""te"")"),"స్వాద్ బెల్లం పొడి")</f>
        <v>స్వాద్ బెల్లం పొడి</v>
      </c>
      <c r="C3701" s="4" t="str">
        <f>IFERROR(__xludf.DUMMYFUNCTION("GOOGLETRANSLATE(A3701, ""en"", ""hi"")"),"स्वाद गुड़ पाउडर")</f>
        <v>स्वाद गुड़ पाउडर</v>
      </c>
      <c r="D3701" s="2" t="s">
        <v>7147</v>
      </c>
      <c r="E3701" s="2" t="s">
        <v>4407</v>
      </c>
      <c r="F3701" s="1">
        <v>8.0</v>
      </c>
      <c r="G3701" s="3" t="s">
        <v>6932</v>
      </c>
    </row>
    <row r="3702">
      <c r="A3702" s="3" t="s">
        <v>9297</v>
      </c>
      <c r="B3702" s="4" t="str">
        <f>IFERROR(__xludf.DUMMYFUNCTION("GOOGLETRANSLATE(A3702, ""en"", ""te"")"),"డీప్ బెల్లం")</f>
        <v>డీప్ బెల్లం</v>
      </c>
      <c r="C3702" s="4" t="str">
        <f>IFERROR(__xludf.DUMMYFUNCTION("GOOGLETRANSLATE(A3702, ""en"", ""hi"")"),"गहरा गुड़")</f>
        <v>गहरा गुड़</v>
      </c>
      <c r="D3702" s="2" t="s">
        <v>7147</v>
      </c>
      <c r="E3702" s="2" t="s">
        <v>4407</v>
      </c>
      <c r="F3702" s="1">
        <v>8.0</v>
      </c>
      <c r="G3702" s="3" t="s">
        <v>9298</v>
      </c>
    </row>
    <row r="3703">
      <c r="A3703" s="3" t="s">
        <v>9299</v>
      </c>
      <c r="B3703" s="4" t="str">
        <f>IFERROR(__xludf.DUMMYFUNCTION("GOOGLETRANSLATE(A3703, ""en"", ""te"")"),"లక్ష్మి బెల్లం క్యూబ్స్")</f>
        <v>లక్ష్మి బెల్లం క్యూబ్స్</v>
      </c>
      <c r="C3703" s="4" t="str">
        <f>IFERROR(__xludf.DUMMYFUNCTION("GOOGLETRANSLATE(A3703, ""en"", ""hi"")"),"लक्ष्मी गुड़ के टुकड़े")</f>
        <v>लक्ष्मी गुड़ के टुकड़े</v>
      </c>
      <c r="D3703" s="2" t="s">
        <v>7147</v>
      </c>
      <c r="E3703" s="2" t="s">
        <v>4407</v>
      </c>
      <c r="F3703" s="1">
        <v>8.0</v>
      </c>
      <c r="G3703" s="3" t="s">
        <v>9298</v>
      </c>
    </row>
    <row r="3704">
      <c r="A3704" s="3" t="s">
        <v>9300</v>
      </c>
      <c r="B3704" s="4" t="str">
        <f>IFERROR(__xludf.DUMMYFUNCTION("GOOGLETRANSLATE(A3704, ""en"", ""te"")"),"బెల్లం ముక్కలు")</f>
        <v>బెల్లం ముక్కలు</v>
      </c>
      <c r="C3704" s="4" t="str">
        <f>IFERROR(__xludf.DUMMYFUNCTION("GOOGLETRANSLATE(A3704, ""en"", ""hi"")"),"गुड़ के टुकड़े")</f>
        <v>गुड़ के टुकड़े</v>
      </c>
      <c r="D3704" s="2" t="s">
        <v>7147</v>
      </c>
      <c r="E3704" s="2" t="s">
        <v>4407</v>
      </c>
      <c r="F3704" s="1">
        <v>8.0</v>
      </c>
      <c r="G3704" s="3" t="s">
        <v>9298</v>
      </c>
    </row>
    <row r="3705">
      <c r="A3705" s="3" t="s">
        <v>9301</v>
      </c>
      <c r="B3705" s="4" t="str">
        <f>IFERROR(__xludf.DUMMYFUNCTION("GOOGLETRANSLATE(A3705, ""en"", ""te"")"),"స్వాద్ బెల్లం ముక్కలు (లైట్)")</f>
        <v>స్వాద్ బెల్లం ముక్కలు (లైట్)</v>
      </c>
      <c r="C3705" s="4" t="str">
        <f>IFERROR(__xludf.DUMMYFUNCTION("GOOGLETRANSLATE(A3705, ""en"", ""hi"")"),"स्वाद गुड़ के क्यूब्स (हल्के)")</f>
        <v>स्वाद गुड़ के क्यूब्स (हल्के)</v>
      </c>
      <c r="D3705" s="2" t="s">
        <v>7147</v>
      </c>
      <c r="E3705" s="2" t="s">
        <v>4407</v>
      </c>
      <c r="F3705" s="1">
        <v>8.0</v>
      </c>
      <c r="G3705" s="3" t="s">
        <v>9298</v>
      </c>
    </row>
    <row r="3706">
      <c r="A3706" s="3" t="s">
        <v>3808</v>
      </c>
      <c r="B3706" s="4" t="str">
        <f>IFERROR(__xludf.DUMMYFUNCTION("GOOGLETRANSLATE(A3706, ""en"", ""te"")"),"బెల్లం")</f>
        <v>బెల్లం</v>
      </c>
      <c r="C3706" s="4" t="str">
        <f>IFERROR(__xludf.DUMMYFUNCTION("GOOGLETRANSLATE(A3706, ""en"", ""hi"")"),"गुड़")</f>
        <v>गुड़</v>
      </c>
      <c r="D3706" s="2" t="s">
        <v>7147</v>
      </c>
      <c r="E3706" s="2" t="s">
        <v>4407</v>
      </c>
      <c r="F3706" s="1">
        <v>8.0</v>
      </c>
      <c r="G3706" s="3" t="s">
        <v>6945</v>
      </c>
    </row>
    <row r="3707">
      <c r="A3707" s="3" t="s">
        <v>9302</v>
      </c>
      <c r="B3707" s="4" t="str">
        <f>IFERROR(__xludf.DUMMYFUNCTION("GOOGLETRANSLATE(A3707, ""en"", ""te"")"),"కొల్హాపురి బెల్లం")</f>
        <v>కొల్హాపురి బెల్లం</v>
      </c>
      <c r="C3707" s="4" t="str">
        <f>IFERROR(__xludf.DUMMYFUNCTION("GOOGLETRANSLATE(A3707, ""en"", ""hi"")"),"कोल्हापुरी गुड़")</f>
        <v>कोल्हापुरी गुड़</v>
      </c>
      <c r="D3707" s="2" t="s">
        <v>7147</v>
      </c>
      <c r="E3707" s="2" t="s">
        <v>4407</v>
      </c>
      <c r="F3707" s="1">
        <v>8.0</v>
      </c>
      <c r="G3707" s="3" t="s">
        <v>6945</v>
      </c>
    </row>
    <row r="3708">
      <c r="A3708" s="3" t="s">
        <v>9303</v>
      </c>
      <c r="B3708" s="4" t="str">
        <f>IFERROR(__xludf.DUMMYFUNCTION("GOOGLETRANSLATE(A3708, ""en"", ""te"")"),"లక్ష్మి లిమా బీన్స్")</f>
        <v>లక్ష్మి లిమా బీన్స్</v>
      </c>
      <c r="C3708" s="4" t="str">
        <f>IFERROR(__xludf.DUMMYFUNCTION("GOOGLETRANSLATE(A3708, ""en"", ""hi"")"),"लक्ष्मी लीमा बीन्स")</f>
        <v>लक्ष्मी लीमा बीन्स</v>
      </c>
      <c r="D3708" s="2" t="s">
        <v>8524</v>
      </c>
      <c r="E3708" s="2" t="s">
        <v>1038</v>
      </c>
      <c r="F3708" s="1">
        <v>8.0</v>
      </c>
      <c r="G3708" s="3" t="s">
        <v>6894</v>
      </c>
    </row>
    <row r="3709">
      <c r="A3709" s="3" t="s">
        <v>9304</v>
      </c>
      <c r="B3709" s="4" t="str">
        <f>IFERROR(__xludf.DUMMYFUNCTION("GOOGLETRANSLATE(A3709, ""en"", ""te"")"),"బొబ్బర్లు")</f>
        <v>బొబ్బర్లు</v>
      </c>
      <c r="C3709" s="4" t="str">
        <f>IFERROR(__xludf.DUMMYFUNCTION("GOOGLETRANSLATE(A3709, ""en"", ""hi"")"),"ब्लैकआई मटर")</f>
        <v>ब्लैकआई मटर</v>
      </c>
      <c r="D3709" s="2" t="s">
        <v>9305</v>
      </c>
      <c r="E3709" s="2" t="s">
        <v>1038</v>
      </c>
      <c r="F3709" s="1">
        <v>8.0</v>
      </c>
      <c r="G3709" s="3" t="s">
        <v>6894</v>
      </c>
    </row>
    <row r="3710">
      <c r="A3710" s="3" t="s">
        <v>6396</v>
      </c>
      <c r="B3710" s="4" t="str">
        <f>IFERROR(__xludf.DUMMYFUNCTION("GOOGLETRANSLATE(A3710, ""en"", ""te"")"),"స్వాద్ తూర్ దాల్")</f>
        <v>స్వాద్ తూర్ దాల్</v>
      </c>
      <c r="C3710" s="4" t="str">
        <f>IFERROR(__xludf.DUMMYFUNCTION("GOOGLETRANSLATE(A3710, ""en"", ""hi"")"),"स्वाद तूर दाल")</f>
        <v>स्वाद तूर दाल</v>
      </c>
      <c r="D3710" s="2" t="s">
        <v>8110</v>
      </c>
      <c r="E3710" s="2" t="s">
        <v>1038</v>
      </c>
      <c r="F3710" s="1">
        <v>8.0</v>
      </c>
      <c r="G3710" s="3" t="s">
        <v>8409</v>
      </c>
    </row>
    <row r="3711">
      <c r="A3711" s="3" t="s">
        <v>9306</v>
      </c>
      <c r="B3711" s="4" t="str">
        <f>IFERROR(__xludf.DUMMYFUNCTION("GOOGLETRANSLATE(A3711, ""en"", ""te"")"),"కందిపప్పు (వాసద్ మధి)")</f>
        <v>కందిపప్పు (వాసద్ మధి)</v>
      </c>
      <c r="C3711" s="4" t="str">
        <f>IFERROR(__xludf.DUMMYFUNCTION("GOOGLETRANSLATE(A3711, ""en"", ""hi"")"),"तूर दाल (वसद मढ़ी)")</f>
        <v>तूर दाल (वसद मढ़ी)</v>
      </c>
      <c r="D3711" s="2" t="s">
        <v>3435</v>
      </c>
      <c r="E3711" s="2" t="s">
        <v>1038</v>
      </c>
      <c r="F3711" s="1">
        <v>8.0</v>
      </c>
      <c r="G3711" s="3" t="s">
        <v>8409</v>
      </c>
    </row>
    <row r="3712">
      <c r="A3712" s="3" t="s">
        <v>9307</v>
      </c>
      <c r="B3712" s="4" t="str">
        <f>IFERROR(__xludf.DUMMYFUNCTION("GOOGLETRANSLATE(A3712, ""en"", ""te"")"),"లక్ష్మి కంది పప్పు (వాసద్ మధి)")</f>
        <v>లక్ష్మి కంది పప్పు (వాసద్ మధి)</v>
      </c>
      <c r="C3712" s="4" t="str">
        <f>IFERROR(__xludf.DUMMYFUNCTION("GOOGLETRANSLATE(A3712, ""en"", ""hi"")"),"लक्ष्मी तूर दाल (वसद मढ़ी)")</f>
        <v>लक्ष्मी तूर दाल (वसद मढ़ी)</v>
      </c>
      <c r="D3712" s="2" t="s">
        <v>3435</v>
      </c>
      <c r="E3712" s="2" t="s">
        <v>1038</v>
      </c>
      <c r="F3712" s="1">
        <v>8.0</v>
      </c>
      <c r="G3712" s="3" t="s">
        <v>8409</v>
      </c>
    </row>
    <row r="3713">
      <c r="A3713" s="3" t="s">
        <v>9308</v>
      </c>
      <c r="B3713" s="4" t="str">
        <f>IFERROR(__xludf.DUMMYFUNCTION("GOOGLETRANSLATE(A3713, ""en"", ""te"")"),"స్వాద్ ఉరాద్ స్ప్లిట్")</f>
        <v>స్వాద్ ఉరాద్ స్ప్లిట్</v>
      </c>
      <c r="C3713" s="4" t="str">
        <f>IFERROR(__xludf.DUMMYFUNCTION("GOOGLETRANSLATE(A3713, ""en"", ""hi"")"),"स्वाद उरद स्प्लिट")</f>
        <v>स्वाद उरद स्प्लिट</v>
      </c>
      <c r="D3713" s="2" t="s">
        <v>9309</v>
      </c>
      <c r="E3713" s="2" t="s">
        <v>1038</v>
      </c>
      <c r="F3713" s="1">
        <v>8.0</v>
      </c>
      <c r="G3713" s="3" t="s">
        <v>8413</v>
      </c>
    </row>
    <row r="3714">
      <c r="A3714" s="3" t="s">
        <v>9310</v>
      </c>
      <c r="B3714" s="4" t="str">
        <f>IFERROR(__xludf.DUMMYFUNCTION("GOOGLETRANSLATE(A3714, ""en"", ""te"")"),"సేంద్రీయ ఉరద్ బ్లాక్ స్ప్లిట్")</f>
        <v>సేంద్రీయ ఉరద్ బ్లాక్ స్ప్లిట్</v>
      </c>
      <c r="C3714" s="4" t="str">
        <f>IFERROR(__xludf.DUMMYFUNCTION("GOOGLETRANSLATE(A3714, ""en"", ""hi"")"),"ऑर्गेनिक उरद ब्लैक स्प्लिट")</f>
        <v>ऑर्गेनिक उरद ब्लैक स्प्लिट</v>
      </c>
      <c r="D3714" s="2" t="s">
        <v>9311</v>
      </c>
      <c r="E3714" s="2" t="s">
        <v>1038</v>
      </c>
      <c r="F3714" s="1">
        <v>8.0</v>
      </c>
      <c r="G3714" s="3" t="s">
        <v>8413</v>
      </c>
    </row>
    <row r="3715">
      <c r="A3715" s="3" t="s">
        <v>9312</v>
      </c>
      <c r="B3715" s="4" t="str">
        <f>IFERROR(__xludf.DUMMYFUNCTION("GOOGLETRANSLATE(A3715, ""en"", ""te"")"),"దైవి ఉరద్ దాల్ చిల్కా")</f>
        <v>దైవి ఉరద్ దాల్ చిల్కా</v>
      </c>
      <c r="C3715" s="4" t="str">
        <f>IFERROR(__xludf.DUMMYFUNCTION("GOOGLETRANSLATE(A3715, ""en"", ""hi"")"),"दैवी उड़द दाल छिलका")</f>
        <v>दैवी उड़द दाल छिलका</v>
      </c>
      <c r="D3715" s="2" t="s">
        <v>3379</v>
      </c>
      <c r="E3715" s="2" t="s">
        <v>1038</v>
      </c>
      <c r="F3715" s="1">
        <v>8.0</v>
      </c>
      <c r="G3715" s="3" t="s">
        <v>8413</v>
      </c>
    </row>
    <row r="3716">
      <c r="A3716" s="3" t="s">
        <v>9313</v>
      </c>
      <c r="B3716" s="4" t="str">
        <f>IFERROR(__xludf.DUMMYFUNCTION("GOOGLETRANSLATE(A3716, ""en"", ""te"")"),"జస్ట్ ఆర్గానిక్ ఆర్గానిక్ ఉరద్ హోల్")</f>
        <v>జస్ట్ ఆర్గానిక్ ఆర్గానిక్ ఉరద్ హోల్</v>
      </c>
      <c r="C3716" s="4" t="str">
        <f>IFERROR(__xludf.DUMMYFUNCTION("GOOGLETRANSLATE(A3716, ""en"", ""hi"")"),"जस्ट ऑर्गेनिक ऑर्गेनिक उड़द साबुत")</f>
        <v>जस्ट ऑर्गेनिक ऑर्गेनिक उड़द साबुत</v>
      </c>
      <c r="D3716" s="2" t="s">
        <v>9309</v>
      </c>
      <c r="E3716" s="2" t="s">
        <v>1038</v>
      </c>
      <c r="F3716" s="1">
        <v>8.0</v>
      </c>
      <c r="G3716" s="3" t="s">
        <v>8413</v>
      </c>
    </row>
    <row r="3717">
      <c r="A3717" s="3" t="s">
        <v>9314</v>
      </c>
      <c r="B3717" s="4" t="str">
        <f>IFERROR(__xludf.DUMMYFUNCTION("GOOGLETRANSLATE(A3717, ""en"", ""te"")"),"స్వాద్ ఉరద్ హోల్")</f>
        <v>స్వాద్ ఉరద్ హోల్</v>
      </c>
      <c r="C3717" s="4" t="str">
        <f>IFERROR(__xludf.DUMMYFUNCTION("GOOGLETRANSLATE(A3717, ""en"", ""hi"")"),"स्वाद उड़द होल")</f>
        <v>स्वाद उड़द होल</v>
      </c>
      <c r="D3717" s="2" t="s">
        <v>9309</v>
      </c>
      <c r="E3717" s="2" t="s">
        <v>1038</v>
      </c>
      <c r="F3717" s="1">
        <v>8.0</v>
      </c>
      <c r="G3717" s="3" t="s">
        <v>8413</v>
      </c>
    </row>
    <row r="3718">
      <c r="A3718" s="3" t="s">
        <v>9315</v>
      </c>
      <c r="B3718" s="4" t="str">
        <f>IFERROR(__xludf.DUMMYFUNCTION("GOOGLETRANSLATE(A3718, ""en"", ""te"")"),"ఆరా తూర్ హోల్")</f>
        <v>ఆరా తూర్ హోల్</v>
      </c>
      <c r="C3718" s="4" t="str">
        <f>IFERROR(__xludf.DUMMYFUNCTION("GOOGLETRANSLATE(A3718, ""en"", ""hi"")"),"आरा तूर होल")</f>
        <v>आरा तूर होल</v>
      </c>
      <c r="D3718" s="5"/>
      <c r="E3718" s="2" t="s">
        <v>1038</v>
      </c>
      <c r="F3718" s="1">
        <v>8.0</v>
      </c>
      <c r="G3718" s="3" t="s">
        <v>6897</v>
      </c>
    </row>
    <row r="3719">
      <c r="A3719" s="3" t="s">
        <v>9316</v>
      </c>
      <c r="B3719" s="4" t="str">
        <f>IFERROR(__xludf.DUMMYFUNCTION("GOOGLETRANSLATE(A3719, ""en"", ""te"")"),"స్వాద్ తూర్ హోల్")</f>
        <v>స్వాద్ తూర్ హోల్</v>
      </c>
      <c r="C3719" s="4" t="str">
        <f>IFERROR(__xludf.DUMMYFUNCTION("GOOGLETRANSLATE(A3719, ""en"", ""hi"")"),"स्वाद तूर होल")</f>
        <v>स्वाद तूर होल</v>
      </c>
      <c r="D3719" s="5"/>
      <c r="E3719" s="2" t="s">
        <v>1038</v>
      </c>
      <c r="F3719" s="1">
        <v>8.0</v>
      </c>
      <c r="G3719" s="3" t="s">
        <v>6897</v>
      </c>
    </row>
    <row r="3720">
      <c r="A3720" s="3" t="s">
        <v>9317</v>
      </c>
      <c r="B3720" s="4" t="str">
        <f>IFERROR(__xludf.DUMMYFUNCTION("GOOGLETRANSLATE(A3720, ""en"", ""te"")"),"స్వాద్ లిమా బీన్స్ పెద్దవి")</f>
        <v>స్వాద్ లిమా బీన్స్ పెద్దవి</v>
      </c>
      <c r="C3720" s="4" t="str">
        <f>IFERROR(__xludf.DUMMYFUNCTION("GOOGLETRANSLATE(A3720, ""en"", ""hi"")"),"स्वाद लीमा बीन्स (बड़ी)")</f>
        <v>स्वाद लीमा बीन्स (बड़ी)</v>
      </c>
      <c r="D3720" s="5"/>
      <c r="E3720" s="2" t="s">
        <v>1038</v>
      </c>
      <c r="F3720" s="1">
        <v>8.0</v>
      </c>
      <c r="G3720" s="3" t="s">
        <v>6897</v>
      </c>
    </row>
    <row r="3721">
      <c r="A3721" s="3" t="s">
        <v>9318</v>
      </c>
      <c r="B3721" s="4" t="str">
        <f>IFERROR(__xludf.DUMMYFUNCTION("GOOGLETRANSLATE(A3721, ""en"", ""te"")"),"స్వాద్ వల్ దల్")</f>
        <v>స్వాద్ వల్ దల్</v>
      </c>
      <c r="C3721" s="4" t="str">
        <f>IFERROR(__xludf.DUMMYFUNCTION("GOOGLETRANSLATE(A3721, ""en"", ""hi"")"),"स्वाद वल दाल")</f>
        <v>स्वाद वल दाल</v>
      </c>
      <c r="D3721" s="5"/>
      <c r="E3721" s="2" t="s">
        <v>1038</v>
      </c>
      <c r="F3721" s="1">
        <v>8.0</v>
      </c>
      <c r="G3721" s="3" t="s">
        <v>6897</v>
      </c>
    </row>
    <row r="3722">
      <c r="A3722" s="3" t="s">
        <v>9319</v>
      </c>
      <c r="B3722" s="4" t="str">
        <f>IFERROR(__xludf.DUMMYFUNCTION("GOOGLETRANSLATE(A3722, ""en"", ""te"")"),"దైవి కచాడి మిక్స్")</f>
        <v>దైవి కచాడి మిక్స్</v>
      </c>
      <c r="C3722" s="4" t="str">
        <f>IFERROR(__xludf.DUMMYFUNCTION("GOOGLETRANSLATE(A3722, ""en"", ""hi"")"),"दैवी कचड़ी मिक्स")</f>
        <v>दैवी कचड़ी मिक्स</v>
      </c>
      <c r="D3722" s="5"/>
      <c r="E3722" s="2" t="s">
        <v>1294</v>
      </c>
      <c r="F3722" s="1">
        <v>8.0</v>
      </c>
      <c r="G3722" s="3" t="s">
        <v>6897</v>
      </c>
    </row>
    <row r="3723">
      <c r="A3723" s="3" t="s">
        <v>9320</v>
      </c>
      <c r="B3723" s="4" t="str">
        <f>IFERROR(__xludf.DUMMYFUNCTION("GOOGLETRANSLATE(A3723, ""en"", ""te"")"),"లక్ష్మి తూర్ దాల్ (వాసద్ మధి) 8 పౌండ్లు")</f>
        <v>లక్ష్మి తూర్ దాల్ (వాసద్ మధి) 8 పౌండ్లు</v>
      </c>
      <c r="C3723" s="4" t="str">
        <f>IFERROR(__xludf.DUMMYFUNCTION("GOOGLETRANSLATE(A3723, ""en"", ""hi"")"),"लक्ष्मी तूर दाल (वसद मढ़ी) 8 पाउंड")</f>
        <v>लक्ष्मी तूर दाल (वसद मढ़ी) 8 पाउंड</v>
      </c>
      <c r="D3723" s="2" t="s">
        <v>3435</v>
      </c>
      <c r="E3723" s="2" t="s">
        <v>1038</v>
      </c>
      <c r="F3723" s="1">
        <v>8.0</v>
      </c>
      <c r="G3723" s="3" t="s">
        <v>8409</v>
      </c>
    </row>
    <row r="3724">
      <c r="A3724" s="3" t="s">
        <v>9321</v>
      </c>
      <c r="B3724" s="4" t="str">
        <f>IFERROR(__xludf.DUMMYFUNCTION("GOOGLETRANSLATE(A3724, ""en"", ""te"")"),"లక్ష్మి తూర్ దాల్ (వాసద్ మధి) 4 పౌండ్లు")</f>
        <v>లక్ష్మి తూర్ దాల్ (వాసద్ మధి) 4 పౌండ్లు</v>
      </c>
      <c r="C3724" s="4" t="str">
        <f>IFERROR(__xludf.DUMMYFUNCTION("GOOGLETRANSLATE(A3724, ""en"", ""hi"")"),"लक्ष्मी तूर दाल (वसद मढ़ी) 4 पौंड")</f>
        <v>लक्ष्मी तूर दाल (वसद मढ़ी) 4 पौंड</v>
      </c>
      <c r="D3724" s="2" t="s">
        <v>3435</v>
      </c>
      <c r="E3724" s="2" t="s">
        <v>1038</v>
      </c>
      <c r="F3724" s="1">
        <v>8.0</v>
      </c>
      <c r="G3724" s="3" t="s">
        <v>8409</v>
      </c>
    </row>
    <row r="3725">
      <c r="A3725" s="3" t="s">
        <v>9322</v>
      </c>
      <c r="B3725" s="4" t="str">
        <f>IFERROR(__xludf.DUMMYFUNCTION("GOOGLETRANSLATE(A3725, ""en"", ""te"")"),"లక్ష్మి తూర్ దాల్ (వాసద్ మధి) 2 పౌండ్లు")</f>
        <v>లక్ష్మి తూర్ దాల్ (వాసద్ మధి) 2 పౌండ్లు</v>
      </c>
      <c r="C3725" s="4" t="str">
        <f>IFERROR(__xludf.DUMMYFUNCTION("GOOGLETRANSLATE(A3725, ""en"", ""hi"")"),"लक्ष्मी तूर दाल (वसद मढ़ी) 2 पौंड")</f>
        <v>लक्ष्मी तूर दाल (वसद मढ़ी) 2 पौंड</v>
      </c>
      <c r="D3725" s="2" t="s">
        <v>3435</v>
      </c>
      <c r="E3725" s="2" t="s">
        <v>1038</v>
      </c>
      <c r="F3725" s="1">
        <v>8.0</v>
      </c>
      <c r="G3725" s="3" t="s">
        <v>8409</v>
      </c>
    </row>
    <row r="3726">
      <c r="A3726" s="3" t="s">
        <v>9315</v>
      </c>
      <c r="B3726" s="4" t="str">
        <f>IFERROR(__xludf.DUMMYFUNCTION("GOOGLETRANSLATE(A3726, ""en"", ""te"")"),"ఆరా తూర్ హోల్")</f>
        <v>ఆరా తూర్ హోల్</v>
      </c>
      <c r="C3726" s="4" t="str">
        <f>IFERROR(__xludf.DUMMYFUNCTION("GOOGLETRANSLATE(A3726, ""en"", ""hi"")"),"आरा तूर होल")</f>
        <v>आरा तूर होल</v>
      </c>
      <c r="D3726" s="5"/>
      <c r="E3726" s="2" t="s">
        <v>1038</v>
      </c>
      <c r="F3726" s="1">
        <v>8.0</v>
      </c>
      <c r="G3726" s="3" t="s">
        <v>8413</v>
      </c>
    </row>
    <row r="3727">
      <c r="A3727" s="3" t="s">
        <v>9316</v>
      </c>
      <c r="B3727" s="4" t="str">
        <f>IFERROR(__xludf.DUMMYFUNCTION("GOOGLETRANSLATE(A3727, ""en"", ""te"")"),"స్వాద్ తూర్ హోల్")</f>
        <v>స్వాద్ తూర్ హోల్</v>
      </c>
      <c r="C3727" s="4" t="str">
        <f>IFERROR(__xludf.DUMMYFUNCTION("GOOGLETRANSLATE(A3727, ""en"", ""hi"")"),"स्वाद तूर होल")</f>
        <v>स्वाद तूर होल</v>
      </c>
      <c r="D3727" s="5"/>
      <c r="E3727" s="2" t="s">
        <v>1038</v>
      </c>
      <c r="F3727" s="1">
        <v>8.0</v>
      </c>
      <c r="G3727" s="3" t="s">
        <v>8413</v>
      </c>
    </row>
    <row r="3728">
      <c r="A3728" s="3" t="s">
        <v>9323</v>
      </c>
      <c r="B3728" s="4" t="str">
        <f>IFERROR(__xludf.DUMMYFUNCTION("GOOGLETRANSLATE(A3728, ""en"", ""te"")"),"లిమా బీన్స్ పెద్దవి")</f>
        <v>లిమా బీన్స్ పెద్దవి</v>
      </c>
      <c r="C3728" s="4" t="str">
        <f>IFERROR(__xludf.DUMMYFUNCTION("GOOGLETRANSLATE(A3728, ""en"", ""hi"")"),"बड़े आकार की लीमा बीन्स")</f>
        <v>बड़े आकार की लीमा बीन्स</v>
      </c>
      <c r="D3728" s="5"/>
      <c r="E3728" s="2" t="s">
        <v>1038</v>
      </c>
      <c r="F3728" s="1">
        <v>8.0</v>
      </c>
      <c r="G3728" s="3" t="s">
        <v>8413</v>
      </c>
    </row>
    <row r="3729">
      <c r="A3729" s="3" t="s">
        <v>9318</v>
      </c>
      <c r="B3729" s="4" t="str">
        <f>IFERROR(__xludf.DUMMYFUNCTION("GOOGLETRANSLATE(A3729, ""en"", ""te"")"),"స్వాద్ వల్ దల్")</f>
        <v>స్వాద్ వల్ దల్</v>
      </c>
      <c r="C3729" s="4" t="str">
        <f>IFERROR(__xludf.DUMMYFUNCTION("GOOGLETRANSLATE(A3729, ""en"", ""hi"")"),"स्वाद वल दाल")</f>
        <v>स्वाद वल दाल</v>
      </c>
      <c r="D3729" s="5"/>
      <c r="E3729" s="2" t="s">
        <v>1038</v>
      </c>
      <c r="F3729" s="1">
        <v>8.0</v>
      </c>
      <c r="G3729" s="3" t="s">
        <v>8413</v>
      </c>
    </row>
    <row r="3730">
      <c r="A3730" s="3" t="s">
        <v>9324</v>
      </c>
      <c r="B3730" s="4" t="str">
        <f>IFERROR(__xludf.DUMMYFUNCTION("GOOGLETRANSLATE(A3730, ""en"", ""te"")"),"దైవి ఖిచ్డీ మిక్స్")</f>
        <v>దైవి ఖిచ్డీ మిక్స్</v>
      </c>
      <c r="C3730" s="4" t="str">
        <f>IFERROR(__xludf.DUMMYFUNCTION("GOOGLETRANSLATE(A3730, ""en"", ""hi"")"),"दैवी खिचड़ी मिक्स")</f>
        <v>दैवी खिचड़ी मिक्स</v>
      </c>
      <c r="D3730" s="5"/>
      <c r="E3730" s="2" t="s">
        <v>940</v>
      </c>
      <c r="F3730" s="1">
        <v>8.0</v>
      </c>
      <c r="G3730" s="3" t="s">
        <v>8413</v>
      </c>
    </row>
    <row r="3731">
      <c r="A3731" s="3" t="s">
        <v>6537</v>
      </c>
      <c r="B3731" s="4" t="str">
        <f>IFERROR(__xludf.DUMMYFUNCTION("GOOGLETRANSLATE(A3731, ""en"", ""te"")"),"కంది పప్పు")</f>
        <v>కంది పప్పు</v>
      </c>
      <c r="C3731" s="4" t="str">
        <f>IFERROR(__xludf.DUMMYFUNCTION("GOOGLETRANSLATE(A3731, ""en"", ""hi"")"),"तूर दाल")</f>
        <v>तूर दाल</v>
      </c>
      <c r="D3731" s="5"/>
      <c r="E3731" s="2" t="s">
        <v>1038</v>
      </c>
      <c r="F3731" s="1">
        <v>8.0</v>
      </c>
      <c r="G3731" s="3" t="s">
        <v>71</v>
      </c>
    </row>
    <row r="3732">
      <c r="A3732" s="3" t="s">
        <v>9307</v>
      </c>
      <c r="B3732" s="4" t="str">
        <f>IFERROR(__xludf.DUMMYFUNCTION("GOOGLETRANSLATE(A3732, ""en"", ""te"")"),"లక్ష్మి కంది పప్పు (వాసద్ మధి)")</f>
        <v>లక్ష్మి కంది పప్పు (వాసద్ మధి)</v>
      </c>
      <c r="C3732" s="4" t="str">
        <f>IFERROR(__xludf.DUMMYFUNCTION("GOOGLETRANSLATE(A3732, ""en"", ""hi"")"),"लक्ष्मी तूर दाल (वसद मढ़ी)")</f>
        <v>लक्ष्मी तूर दाल (वसद मढ़ी)</v>
      </c>
      <c r="D3732" s="2" t="s">
        <v>3435</v>
      </c>
      <c r="E3732" s="2" t="s">
        <v>1038</v>
      </c>
      <c r="F3732" s="1">
        <v>8.0</v>
      </c>
      <c r="G3732" s="3" t="s">
        <v>76</v>
      </c>
    </row>
    <row r="3733">
      <c r="A3733" s="3" t="s">
        <v>9325</v>
      </c>
      <c r="B3733" s="4" t="str">
        <f>IFERROR(__xludf.DUMMYFUNCTION("GOOGLETRANSLATE(A3733, ""en"", ""te"")"),"డీప్ తూర్‌ దాల్ డ్రై")</f>
        <v>డీప్ తూర్‌ దాల్ డ్రై</v>
      </c>
      <c r="C3733" s="4" t="str">
        <f>IFERROR(__xludf.DUMMYFUNCTION("GOOGLETRANSLATE(A3733, ""en"", ""hi"")"),"डीप तूर दाल ड्राई")</f>
        <v>डीप तूर दाल ड्राई</v>
      </c>
      <c r="D3733" s="2" t="s">
        <v>3435</v>
      </c>
      <c r="E3733" s="2" t="s">
        <v>1038</v>
      </c>
      <c r="F3733" s="1">
        <v>8.0</v>
      </c>
      <c r="G3733" s="3" t="s">
        <v>76</v>
      </c>
    </row>
    <row r="3734">
      <c r="A3734" s="3" t="s">
        <v>6537</v>
      </c>
      <c r="B3734" s="4" t="str">
        <f>IFERROR(__xludf.DUMMYFUNCTION("GOOGLETRANSLATE(A3734, ""en"", ""te"")"),"కంది పప్పు")</f>
        <v>కంది పప్పు</v>
      </c>
      <c r="C3734" s="4" t="str">
        <f>IFERROR(__xludf.DUMMYFUNCTION("GOOGLETRANSLATE(A3734, ""en"", ""hi"")"),"तूर दाल")</f>
        <v>तूर दाल</v>
      </c>
      <c r="D3734" s="5"/>
      <c r="E3734" s="2" t="s">
        <v>1038</v>
      </c>
      <c r="F3734" s="1">
        <v>8.0</v>
      </c>
      <c r="G3734" s="3" t="s">
        <v>76</v>
      </c>
    </row>
    <row r="3735">
      <c r="A3735" s="3" t="s">
        <v>9326</v>
      </c>
      <c r="B3735" s="4" t="str">
        <f>IFERROR(__xludf.DUMMYFUNCTION("GOOGLETRANSLATE(A3735, ""en"", ""te"")"),"డైవి తూర్‌ దాల్‌ డ్రై")</f>
        <v>డైవి తూర్‌ దాల్‌ డ్రై</v>
      </c>
      <c r="C3735" s="4" t="str">
        <f>IFERROR(__xludf.DUMMYFUNCTION("GOOGLETRANSLATE(A3735, ""en"", ""hi"")"),"दैवी तूर दाल सूखी")</f>
        <v>दैवी तूर दाल सूखी</v>
      </c>
      <c r="D3735" s="2" t="s">
        <v>3435</v>
      </c>
      <c r="E3735" s="2" t="s">
        <v>1038</v>
      </c>
      <c r="F3735" s="1">
        <v>8.0</v>
      </c>
      <c r="G3735" s="3" t="s">
        <v>76</v>
      </c>
    </row>
    <row r="3736">
      <c r="A3736" s="3" t="s">
        <v>9313</v>
      </c>
      <c r="B3736" s="4" t="str">
        <f>IFERROR(__xludf.DUMMYFUNCTION("GOOGLETRANSLATE(A3736, ""en"", ""te"")"),"జస్ట్ ఆర్గానిక్ ఆర్గానిక్ ఉరద్ హోల్")</f>
        <v>జస్ట్ ఆర్గానిక్ ఆర్గానిక్ ఉరద్ హోల్</v>
      </c>
      <c r="C3736" s="4" t="str">
        <f>IFERROR(__xludf.DUMMYFUNCTION("GOOGLETRANSLATE(A3736, ""en"", ""hi"")"),"जस्ट ऑर्गेनिक ऑर्गेनिक उड़द साबुत")</f>
        <v>जस्ट ऑर्गेनिक ऑर्गेनिक उड़द साबुत</v>
      </c>
      <c r="D3736" s="2" t="s">
        <v>9309</v>
      </c>
      <c r="E3736" s="2" t="s">
        <v>1038</v>
      </c>
      <c r="F3736" s="1">
        <v>8.0</v>
      </c>
      <c r="G3736" s="3" t="s">
        <v>85</v>
      </c>
    </row>
    <row r="3737">
      <c r="A3737" s="3" t="s">
        <v>9314</v>
      </c>
      <c r="B3737" s="4" t="str">
        <f>IFERROR(__xludf.DUMMYFUNCTION("GOOGLETRANSLATE(A3737, ""en"", ""te"")"),"స్వాద్ ఉరద్ హోల్")</f>
        <v>స్వాద్ ఉరద్ హోల్</v>
      </c>
      <c r="C3737" s="4" t="str">
        <f>IFERROR(__xludf.DUMMYFUNCTION("GOOGLETRANSLATE(A3737, ""en"", ""hi"")"),"स्वाद उड़द होल")</f>
        <v>स्वाद उड़द होल</v>
      </c>
      <c r="D3737" s="2" t="s">
        <v>9309</v>
      </c>
      <c r="E3737" s="2" t="s">
        <v>1038</v>
      </c>
      <c r="F3737" s="1">
        <v>8.0</v>
      </c>
      <c r="G3737" s="3" t="s">
        <v>85</v>
      </c>
    </row>
    <row r="3738">
      <c r="A3738" s="3" t="s">
        <v>9327</v>
      </c>
      <c r="B3738" s="4" t="str">
        <f>IFERROR(__xludf.DUMMYFUNCTION("GOOGLETRANSLATE(A3738, ""en"", ""te"")"),"మొత్తం ఉడకబెట్టిన గింజలు")</f>
        <v>మొత్తం ఉడకబెట్టిన గింజలు</v>
      </c>
      <c r="C3738" s="4" t="str">
        <f>IFERROR(__xludf.DUMMYFUNCTION("GOOGLETRANSLATE(A3738, ""en"", ""hi"")"),"पूरी उड़द")</f>
        <v>पूरी उड़द</v>
      </c>
      <c r="D3738" s="2" t="s">
        <v>9309</v>
      </c>
      <c r="E3738" s="2" t="s">
        <v>1038</v>
      </c>
      <c r="F3738" s="1">
        <v>8.0</v>
      </c>
      <c r="G3738" s="3" t="s">
        <v>85</v>
      </c>
    </row>
    <row r="3739">
      <c r="A3739" s="3" t="s">
        <v>9328</v>
      </c>
      <c r="B3739" s="4" t="str">
        <f>IFERROR(__xludf.DUMMYFUNCTION("GOOGLETRANSLATE(A3739, ""en"", ""te"")"),"లక్ష్మి హోల్ ఉరద్")</f>
        <v>లక్ష్మి హోల్ ఉరద్</v>
      </c>
      <c r="C3739" s="4" t="str">
        <f>IFERROR(__xludf.DUMMYFUNCTION("GOOGLETRANSLATE(A3739, ""en"", ""hi"")"),"लक्ष्मी होल उड़द")</f>
        <v>लक्ष्मी होल उड़द</v>
      </c>
      <c r="D3739" s="2" t="s">
        <v>9309</v>
      </c>
      <c r="E3739" s="2" t="s">
        <v>1038</v>
      </c>
      <c r="F3739" s="1">
        <v>8.0</v>
      </c>
      <c r="G3739" s="3" t="s">
        <v>85</v>
      </c>
    </row>
    <row r="3740">
      <c r="A3740" s="3" t="s">
        <v>9329</v>
      </c>
      <c r="B3740" s="4" t="str">
        <f>IFERROR(__xludf.DUMMYFUNCTION("GOOGLETRANSLATE(A3740, ""en"", ""te"")"),"స్వాద్ ఖిచ్డీ మిక్స్")</f>
        <v>స్వాద్ ఖిచ్డీ మిక్స్</v>
      </c>
      <c r="C3740" s="4" t="str">
        <f>IFERROR(__xludf.DUMMYFUNCTION("GOOGLETRANSLATE(A3740, ""en"", ""hi"")"),"स्वाद खिचड़ी मिक्स")</f>
        <v>स्वाद खिचड़ी मिक्स</v>
      </c>
      <c r="D3740" s="5"/>
      <c r="E3740" s="2" t="s">
        <v>940</v>
      </c>
      <c r="F3740" s="1">
        <v>8.0</v>
      </c>
      <c r="G3740" s="3" t="s">
        <v>114</v>
      </c>
    </row>
    <row r="3741">
      <c r="A3741" s="3" t="s">
        <v>9324</v>
      </c>
      <c r="B3741" s="4" t="str">
        <f>IFERROR(__xludf.DUMMYFUNCTION("GOOGLETRANSLATE(A3741, ""en"", ""te"")"),"దైవి ఖిచ్డీ మిక్స్")</f>
        <v>దైవి ఖిచ్డీ మిక్స్</v>
      </c>
      <c r="C3741" s="4" t="str">
        <f>IFERROR(__xludf.DUMMYFUNCTION("GOOGLETRANSLATE(A3741, ""en"", ""hi"")"),"दैवी खिचड़ी मिक्स")</f>
        <v>दैवी खिचड़ी मिक्स</v>
      </c>
      <c r="D3741" s="5"/>
      <c r="E3741" s="2" t="s">
        <v>940</v>
      </c>
      <c r="F3741" s="1">
        <v>8.0</v>
      </c>
      <c r="G3741" s="3" t="s">
        <v>114</v>
      </c>
    </row>
    <row r="3742">
      <c r="A3742" s="3" t="s">
        <v>9330</v>
      </c>
      <c r="B3742" s="4" t="str">
        <f>IFERROR(__xludf.DUMMYFUNCTION("GOOGLETRANSLATE(A3742, ""en"", ""te"")"),"ఆరా ఖిచడి మిక్స్")</f>
        <v>ఆరా ఖిచడి మిక్స్</v>
      </c>
      <c r="C3742" s="4" t="str">
        <f>IFERROR(__xludf.DUMMYFUNCTION("GOOGLETRANSLATE(A3742, ""en"", ""hi"")"),"आरा खिचड़ी मिक्स")</f>
        <v>आरा खिचड़ी मिक्स</v>
      </c>
      <c r="D3742" s="2" t="s">
        <v>6469</v>
      </c>
      <c r="E3742" s="2" t="s">
        <v>940</v>
      </c>
      <c r="F3742" s="1">
        <v>8.0</v>
      </c>
      <c r="G3742" s="3" t="s">
        <v>114</v>
      </c>
    </row>
    <row r="3743">
      <c r="A3743" s="3" t="s">
        <v>9331</v>
      </c>
      <c r="B3743" s="4" t="str">
        <f>IFERROR(__xludf.DUMMYFUNCTION("GOOGLETRANSLATE(A3743, ""en"", ""te"")"),"మంత్ర ఆర్గానిక్ తుర్ దాల్")</f>
        <v>మంత్ర ఆర్గానిక్ తుర్ దాల్</v>
      </c>
      <c r="C3743" s="4" t="str">
        <f>IFERROR(__xludf.DUMMYFUNCTION("GOOGLETRANSLATE(A3743, ""en"", ""hi"")"),"मंत्रा ऑर्गेनिक तुअर दाल")</f>
        <v>मंत्रा ऑर्गेनिक तुअर दाल</v>
      </c>
      <c r="D3743" s="2" t="s">
        <v>3435</v>
      </c>
      <c r="E3743" s="2" t="s">
        <v>1038</v>
      </c>
      <c r="F3743" s="1">
        <v>8.0</v>
      </c>
      <c r="G3743" s="3" t="s">
        <v>114</v>
      </c>
    </row>
    <row r="3744">
      <c r="A3744" s="3" t="s">
        <v>9332</v>
      </c>
      <c r="B3744" s="4" t="str">
        <f>IFERROR(__xludf.DUMMYFUNCTION("GOOGLETRANSLATE(A3744, ""en"", ""te"")"),"దైవీ నేచురల్ ఫుడ్ టూర్ దాల్ డ్రై")</f>
        <v>దైవీ నేచురల్ ఫుడ్ టూర్ దాల్ డ్రై</v>
      </c>
      <c r="C3744" s="4" t="str">
        <f>IFERROR(__xludf.DUMMYFUNCTION("GOOGLETRANSLATE(A3744, ""en"", ""hi"")"),"दैवी नेचुरल फ़ूड तूर दाल सूखी")</f>
        <v>दैवी नेचुरल फ़ूड तूर दाल सूखी</v>
      </c>
      <c r="D3744" s="5"/>
      <c r="E3744" s="2" t="s">
        <v>1038</v>
      </c>
      <c r="F3744" s="1">
        <v>8.0</v>
      </c>
      <c r="G3744" s="3" t="s">
        <v>7436</v>
      </c>
    </row>
    <row r="3745">
      <c r="A3745" s="3" t="s">
        <v>9333</v>
      </c>
      <c r="B3745" s="4" t="str">
        <f>IFERROR(__xludf.DUMMYFUNCTION("GOOGLETRANSLATE(A3745, ""en"", ""te"")"),"ఆరా తూర్ దాల్")</f>
        <v>ఆరా తూర్ దాల్</v>
      </c>
      <c r="C3745" s="4" t="str">
        <f>IFERROR(__xludf.DUMMYFUNCTION("GOOGLETRANSLATE(A3745, ""en"", ""hi"")"),"आरा तूर दाल")</f>
        <v>आरा तूर दाल</v>
      </c>
      <c r="D3745" s="2" t="s">
        <v>9334</v>
      </c>
      <c r="E3745" s="2" t="s">
        <v>1038</v>
      </c>
      <c r="F3745" s="1">
        <v>8.0</v>
      </c>
      <c r="G3745" s="3" t="s">
        <v>7436</v>
      </c>
    </row>
    <row r="3746">
      <c r="A3746" s="3" t="s">
        <v>9335</v>
      </c>
      <c r="B3746" s="4" t="str">
        <f>IFERROR(__xludf.DUMMYFUNCTION("GOOGLETRANSLATE(A3746, ""en"", ""te"")"),"ఆరా చనా దాల్")</f>
        <v>ఆరా చనా దాల్</v>
      </c>
      <c r="C3746" s="4" t="str">
        <f>IFERROR(__xludf.DUMMYFUNCTION("GOOGLETRANSLATE(A3746, ""en"", ""hi"")"),"आरा चना दाल")</f>
        <v>आरा चना दाल</v>
      </c>
      <c r="D3746" s="2" t="s">
        <v>3861</v>
      </c>
      <c r="E3746" s="2" t="s">
        <v>1038</v>
      </c>
      <c r="F3746" s="1">
        <v>8.0</v>
      </c>
      <c r="G3746" s="3" t="s">
        <v>7436</v>
      </c>
    </row>
    <row r="3747">
      <c r="A3747" s="3" t="s">
        <v>9336</v>
      </c>
      <c r="B3747" s="4" t="str">
        <f>IFERROR(__xludf.DUMMYFUNCTION("GOOGLETRANSLATE(A3747, ""en"", ""te"")"),"లక్ష్మి హోల్ ఉరద్ బ్లాక్ మాట్పే బీన్స్")</f>
        <v>లక్ష్మి హోల్ ఉరద్ బ్లాక్ మాట్పే బీన్స్</v>
      </c>
      <c r="C3747" s="4" t="str">
        <f>IFERROR(__xludf.DUMMYFUNCTION("GOOGLETRANSLATE(A3747, ""en"", ""hi"")"),"लक्ष्मी होल उड़द ब्लैक मैटपे बीन्स")</f>
        <v>लक्ष्मी होल उड़द ब्लैक मैटपे बीन्स</v>
      </c>
      <c r="D3747" s="2" t="s">
        <v>9337</v>
      </c>
      <c r="E3747" s="2" t="s">
        <v>1038</v>
      </c>
      <c r="F3747" s="1">
        <v>8.0</v>
      </c>
      <c r="G3747" s="3" t="s">
        <v>6856</v>
      </c>
    </row>
    <row r="3748">
      <c r="A3748" s="3" t="s">
        <v>9338</v>
      </c>
      <c r="B3748" s="4" t="str">
        <f>IFERROR(__xludf.DUMMYFUNCTION("GOOGLETRANSLATE(A3748, ""en"", ""te"")"),"దైవీ ఉరద్ హోల్ బ్లాక్ మట్పే బీన్స్")</f>
        <v>దైవీ ఉరద్ హోల్ బ్లాక్ మట్పే బీన్స్</v>
      </c>
      <c r="C3748" s="4" t="str">
        <f>IFERROR(__xludf.DUMMYFUNCTION("GOOGLETRANSLATE(A3748, ""en"", ""hi"")"),"दैवी उड़द साबुत काली मटपे बीन्स")</f>
        <v>दैवी उड़द साबुत काली मटपे बीन्स</v>
      </c>
      <c r="D3748" s="2" t="s">
        <v>9337</v>
      </c>
      <c r="E3748" s="2" t="s">
        <v>1038</v>
      </c>
      <c r="F3748" s="1">
        <v>8.0</v>
      </c>
      <c r="G3748" s="3" t="s">
        <v>6856</v>
      </c>
    </row>
    <row r="3749">
      <c r="A3749" s="3" t="s">
        <v>9339</v>
      </c>
      <c r="B3749" s="4" t="str">
        <f>IFERROR(__xludf.DUMMYFUNCTION("GOOGLETRANSLATE(A3749, ""en"", ""te"")"),"స్వాద్ హిచ్డీ మిక్స్")</f>
        <v>స్వాద్ హిచ్డీ మిక్స్</v>
      </c>
      <c r="C3749" s="4" t="str">
        <f>IFERROR(__xludf.DUMMYFUNCTION("GOOGLETRANSLATE(A3749, ""en"", ""hi"")"),"स्वाद हिचड़ी मिक्स")</f>
        <v>स्वाद हिचड़ी मिक्स</v>
      </c>
      <c r="D3749" s="2" t="s">
        <v>2520</v>
      </c>
      <c r="E3749" s="2" t="s">
        <v>940</v>
      </c>
      <c r="F3749" s="1">
        <v>8.0</v>
      </c>
      <c r="G3749" s="3" t="s">
        <v>6856</v>
      </c>
    </row>
    <row r="3750">
      <c r="A3750" s="3" t="s">
        <v>9330</v>
      </c>
      <c r="B3750" s="4" t="str">
        <f>IFERROR(__xludf.DUMMYFUNCTION("GOOGLETRANSLATE(A3750, ""en"", ""te"")"),"ఆరా ఖిచడి మిక్స్")</f>
        <v>ఆరా ఖిచడి మిక్స్</v>
      </c>
      <c r="C3750" s="4" t="str">
        <f>IFERROR(__xludf.DUMMYFUNCTION("GOOGLETRANSLATE(A3750, ""en"", ""hi"")"),"आरा खिचड़ी मिक्स")</f>
        <v>आरा खिचड़ी मिक्स</v>
      </c>
      <c r="D3750" s="2" t="s">
        <v>6469</v>
      </c>
      <c r="E3750" s="2" t="s">
        <v>940</v>
      </c>
      <c r="F3750" s="1">
        <v>8.0</v>
      </c>
      <c r="G3750" s="3" t="s">
        <v>6856</v>
      </c>
    </row>
    <row r="3751">
      <c r="A3751" s="3" t="s">
        <v>9340</v>
      </c>
      <c r="B3751" s="4" t="str">
        <f>IFERROR(__xludf.DUMMYFUNCTION("GOOGLETRANSLATE(A3751, ""en"", ""te"")"),"24 మంత్ర ఆర్గానిక్ టర్ దాల్")</f>
        <v>24 మంత్ర ఆర్గానిక్ టర్ దాల్</v>
      </c>
      <c r="C3751" s="4" t="str">
        <f>IFERROR(__xludf.DUMMYFUNCTION("GOOGLETRANSLATE(A3751, ""en"", ""hi"")"),"24 मंत्रा ऑर्गेनिक तुअर दाल")</f>
        <v>24 मंत्रा ऑर्गेनिक तुअर दाल</v>
      </c>
      <c r="D3751" s="2" t="s">
        <v>3435</v>
      </c>
      <c r="E3751" s="2" t="s">
        <v>1038</v>
      </c>
      <c r="F3751" s="1">
        <v>8.0</v>
      </c>
      <c r="G3751" s="3" t="s">
        <v>6856</v>
      </c>
    </row>
    <row r="3752">
      <c r="A3752" s="3" t="s">
        <v>9341</v>
      </c>
      <c r="B3752" s="4" t="str">
        <f>IFERROR(__xludf.DUMMYFUNCTION("GOOGLETRANSLATE(A3752, ""en"", ""te"")"),"24 మంత్ర ఆర్గానిక్ మసూర్ పప్పు")</f>
        <v>24 మంత్ర ఆర్గానిక్ మసూర్ పప్పు</v>
      </c>
      <c r="C3752" s="4" t="str">
        <f>IFERROR(__xludf.DUMMYFUNCTION("GOOGLETRANSLATE(A3752, ""en"", ""hi"")"),"24 मंत्रा ऑर्गेनिक मसूर दाल")</f>
        <v>24 मंत्रा ऑर्गेनिक मसूर दाल</v>
      </c>
      <c r="D3752" s="5"/>
      <c r="E3752" s="2" t="s">
        <v>1038</v>
      </c>
      <c r="F3752" s="1">
        <v>8.0</v>
      </c>
      <c r="G3752" s="3" t="s">
        <v>6856</v>
      </c>
    </row>
    <row r="3753">
      <c r="A3753" s="3" t="s">
        <v>9342</v>
      </c>
      <c r="B3753" s="4" t="str">
        <f>IFERROR(__xludf.DUMMYFUNCTION("GOOGLETRANSLATE(A3753, ""en"", ""te"")"),"24 మంత్ర ఆర్గానిక్")</f>
        <v>24 మంత్ర ఆర్గానిక్</v>
      </c>
      <c r="C3753" s="4" t="str">
        <f>IFERROR(__xludf.DUMMYFUNCTION("GOOGLETRANSLATE(A3753, ""en"", ""hi"")"),"24 मंत्रा ऑर्गेनिक")</f>
        <v>24 मंत्रा ऑर्गेनिक</v>
      </c>
      <c r="D3753" s="5"/>
      <c r="E3753" s="2" t="s">
        <v>67</v>
      </c>
      <c r="F3753" s="1">
        <v>8.0</v>
      </c>
      <c r="G3753" s="3" t="s">
        <v>6856</v>
      </c>
    </row>
    <row r="3754">
      <c r="A3754" s="3" t="s">
        <v>9335</v>
      </c>
      <c r="B3754" s="4" t="str">
        <f>IFERROR(__xludf.DUMMYFUNCTION("GOOGLETRANSLATE(A3754, ""en"", ""te"")"),"ఆరా చనా దాల్")</f>
        <v>ఆరా చనా దాల్</v>
      </c>
      <c r="C3754" s="4" t="str">
        <f>IFERROR(__xludf.DUMMYFUNCTION("GOOGLETRANSLATE(A3754, ""en"", ""hi"")"),"आरा चना दाल")</f>
        <v>आरा चना दाल</v>
      </c>
      <c r="D3754" s="2" t="s">
        <v>3861</v>
      </c>
      <c r="E3754" s="2" t="s">
        <v>1038</v>
      </c>
      <c r="F3754" s="1">
        <v>8.0</v>
      </c>
      <c r="G3754" s="3" t="s">
        <v>76</v>
      </c>
    </row>
    <row r="3755">
      <c r="A3755" s="3" t="s">
        <v>4168</v>
      </c>
      <c r="B3755" s="4" t="str">
        <f>IFERROR(__xludf.DUMMYFUNCTION("GOOGLETRANSLATE(A3755, ""en"", ""te"")"),"లక్ష్మి శనగ పప్పు")</f>
        <v>లక్ష్మి శనగ పప్పు</v>
      </c>
      <c r="C3755" s="4" t="str">
        <f>IFERROR(__xludf.DUMMYFUNCTION("GOOGLETRANSLATE(A3755, ""en"", ""hi"")"),"लक्ष्मी चना दाल")</f>
        <v>लक्ष्मी चना दाल</v>
      </c>
      <c r="D3755" s="2" t="s">
        <v>7891</v>
      </c>
      <c r="E3755" s="2" t="s">
        <v>1038</v>
      </c>
      <c r="F3755" s="1">
        <v>8.0</v>
      </c>
      <c r="G3755" s="3" t="s">
        <v>76</v>
      </c>
    </row>
    <row r="3756">
      <c r="A3756" s="3" t="s">
        <v>6268</v>
      </c>
      <c r="B3756" s="4" t="str">
        <f>IFERROR(__xludf.DUMMYFUNCTION("GOOGLETRANSLATE(A3756, ""en"", ""te"")"),"స్వద్ చనా దాల్")</f>
        <v>స్వద్ చనా దాల్</v>
      </c>
      <c r="C3756" s="4" t="str">
        <f>IFERROR(__xludf.DUMMYFUNCTION("GOOGLETRANSLATE(A3756, ""en"", ""hi"")"),"स्वाद चना दाल")</f>
        <v>स्वाद चना दाल</v>
      </c>
      <c r="D3756" s="2" t="s">
        <v>3861</v>
      </c>
      <c r="E3756" s="2" t="s">
        <v>1038</v>
      </c>
      <c r="F3756" s="1">
        <v>8.0</v>
      </c>
      <c r="G3756" s="3" t="s">
        <v>76</v>
      </c>
    </row>
    <row r="3757">
      <c r="A3757" s="3" t="s">
        <v>9343</v>
      </c>
      <c r="B3757" s="4" t="str">
        <f>IFERROR(__xludf.DUMMYFUNCTION("GOOGLETRANSLATE(A3757, ""en"", ""te"")"),"దైవి ఉరద్ గోటా")</f>
        <v>దైవి ఉరద్ గోటా</v>
      </c>
      <c r="C3757" s="4" t="str">
        <f>IFERROR(__xludf.DUMMYFUNCTION("GOOGLETRANSLATE(A3757, ""en"", ""hi"")"),"दैवी उरद गोटा")</f>
        <v>दैवी उरद गोटा</v>
      </c>
      <c r="D3757" s="2" t="s">
        <v>9255</v>
      </c>
      <c r="E3757" s="2" t="s">
        <v>1038</v>
      </c>
      <c r="F3757" s="1">
        <v>8.0</v>
      </c>
      <c r="G3757" s="3" t="s">
        <v>85</v>
      </c>
    </row>
    <row r="3758">
      <c r="A3758" s="3" t="s">
        <v>9344</v>
      </c>
      <c r="B3758" s="4" t="str">
        <f>IFERROR(__xludf.DUMMYFUNCTION("GOOGLETRANSLATE(A3758, ""en"", ""te"")"),"స్వాద్ ఉరద్ గోటా")</f>
        <v>స్వాద్ ఉరద్ గోటా</v>
      </c>
      <c r="C3758" s="4" t="str">
        <f>IFERROR(__xludf.DUMMYFUNCTION("GOOGLETRANSLATE(A3758, ""en"", ""hi"")"),"स्वाद उड़द गोटा")</f>
        <v>स्वाद उड़द गोटा</v>
      </c>
      <c r="D3758" s="2" t="s">
        <v>9255</v>
      </c>
      <c r="E3758" s="2" t="s">
        <v>1038</v>
      </c>
      <c r="F3758" s="1">
        <v>8.0</v>
      </c>
      <c r="G3758" s="3" t="s">
        <v>85</v>
      </c>
    </row>
    <row r="3759">
      <c r="A3759" s="3" t="s">
        <v>9345</v>
      </c>
      <c r="B3759" s="4" t="str">
        <f>IFERROR(__xludf.DUMMYFUNCTION("GOOGLETRANSLATE(A3759, ""en"", ""te"")"),"లక్ష్మి ఉరద్ గోటా")</f>
        <v>లక్ష్మి ఉరద్ గోటా</v>
      </c>
      <c r="C3759" s="4" t="str">
        <f>IFERROR(__xludf.DUMMYFUNCTION("GOOGLETRANSLATE(A3759, ""en"", ""hi"")"),"लक्ष्मी उड़द गोटा")</f>
        <v>लक्ष्मी उड़द गोटा</v>
      </c>
      <c r="D3759" s="2" t="s">
        <v>9255</v>
      </c>
      <c r="E3759" s="2" t="s">
        <v>1038</v>
      </c>
      <c r="F3759" s="1">
        <v>8.0</v>
      </c>
      <c r="G3759" s="3" t="s">
        <v>85</v>
      </c>
    </row>
    <row r="3760">
      <c r="A3760" s="3" t="s">
        <v>5143</v>
      </c>
      <c r="B3760" s="4" t="str">
        <f>IFERROR(__xludf.DUMMYFUNCTION("GOOGLETRANSLATE(A3760, ""en"", ""te"")"),"సేంద్రీయ మసూర్ పప్పు")</f>
        <v>సేంద్రీయ మసూర్ పప్పు</v>
      </c>
      <c r="C3760" s="4" t="str">
        <f>IFERROR(__xludf.DUMMYFUNCTION("GOOGLETRANSLATE(A3760, ""en"", ""hi"")"),"ऑर्गेनिक मसूर दाल")</f>
        <v>ऑर्गेनिक मसूर दाल</v>
      </c>
      <c r="D3760" s="5"/>
      <c r="E3760" s="2" t="s">
        <v>1038</v>
      </c>
      <c r="F3760" s="1">
        <v>8.0</v>
      </c>
      <c r="G3760" s="3" t="s">
        <v>114</v>
      </c>
    </row>
    <row r="3761">
      <c r="A3761" s="3" t="s">
        <v>9346</v>
      </c>
      <c r="B3761" s="4" t="str">
        <f>IFERROR(__xludf.DUMMYFUNCTION("GOOGLETRANSLATE(A3761, ""en"", ""te"")"),"సేంద్రీయ పంచరతన్ పప్పు")</f>
        <v>సేంద్రీయ పంచరతన్ పప్పు</v>
      </c>
      <c r="C3761" s="4" t="str">
        <f>IFERROR(__xludf.DUMMYFUNCTION("GOOGLETRANSLATE(A3761, ""en"", ""hi"")"),"ऑर्गेनिक पंचरतन दाल")</f>
        <v>ऑर्गेनिक पंचरतन दाल</v>
      </c>
      <c r="D3761" s="2" t="s">
        <v>3379</v>
      </c>
      <c r="E3761" s="2" t="s">
        <v>1038</v>
      </c>
      <c r="F3761" s="1">
        <v>8.0</v>
      </c>
      <c r="G3761" s="3" t="s">
        <v>114</v>
      </c>
    </row>
    <row r="3762">
      <c r="A3762" s="3" t="s">
        <v>9347</v>
      </c>
      <c r="B3762" s="4" t="str">
        <f>IFERROR(__xludf.DUMMYFUNCTION("GOOGLETRANSLATE(A3762, ""en"", ""te"")"),"సేంద్రీయ మినప తెల్లని మొత్తం")</f>
        <v>సేంద్రీయ మినప తెల్లని మొత్తం</v>
      </c>
      <c r="C3762" s="4" t="str">
        <f>IFERROR(__xludf.DUMMYFUNCTION("GOOGLETRANSLATE(A3762, ""en"", ""hi"")"),"ऑर्गेनिक उड़द सफेद साबुत")</f>
        <v>ऑर्गेनिक उड़द सफेद साबुत</v>
      </c>
      <c r="D3762" s="2" t="s">
        <v>9309</v>
      </c>
      <c r="E3762" s="2" t="s">
        <v>1038</v>
      </c>
      <c r="F3762" s="1">
        <v>8.0</v>
      </c>
      <c r="G3762" s="3" t="s">
        <v>114</v>
      </c>
    </row>
    <row r="3763">
      <c r="A3763" s="3" t="s">
        <v>9348</v>
      </c>
      <c r="B3763" s="4" t="str">
        <f>IFERROR(__xludf.DUMMYFUNCTION("GOOGLETRANSLATE(A3763, ""en"", ""te"")"),"సేంద్రీయ ఉరద్ వైట్ స్ప్లిట్")</f>
        <v>సేంద్రీయ ఉరద్ వైట్ స్ప్లిట్</v>
      </c>
      <c r="C3763" s="4" t="str">
        <f>IFERROR(__xludf.DUMMYFUNCTION("GOOGLETRANSLATE(A3763, ""en"", ""hi"")"),"ऑर्गेनिक उड़द सफेद स्प्लिट")</f>
        <v>ऑर्गेनिक उड़द सफेद स्प्लिट</v>
      </c>
      <c r="D3763" s="2" t="s">
        <v>9309</v>
      </c>
      <c r="E3763" s="2" t="s">
        <v>1038</v>
      </c>
      <c r="F3763" s="1">
        <v>8.0</v>
      </c>
      <c r="G3763" s="3" t="s">
        <v>114</v>
      </c>
    </row>
    <row r="3764">
      <c r="A3764" s="3" t="s">
        <v>6620</v>
      </c>
      <c r="B3764" s="4" t="str">
        <f>IFERROR(__xludf.DUMMYFUNCTION("GOOGLETRANSLATE(A3764, ""en"", ""te"")"),"మినప పప్పు")</f>
        <v>మినప పప్పు</v>
      </c>
      <c r="C3764" s="4" t="str">
        <f>IFERROR(__xludf.DUMMYFUNCTION("GOOGLETRANSLATE(A3764, ""en"", ""hi"")"),"उड़द की दाल")</f>
        <v>उड़द की दाल</v>
      </c>
      <c r="D3764" s="2" t="s">
        <v>9349</v>
      </c>
      <c r="E3764" s="2" t="s">
        <v>1038</v>
      </c>
      <c r="F3764" s="1">
        <v>8.0</v>
      </c>
      <c r="G3764" s="3" t="s">
        <v>8394</v>
      </c>
    </row>
    <row r="3765">
      <c r="A3765" s="3" t="s">
        <v>4722</v>
      </c>
      <c r="B3765" s="4" t="str">
        <f>IFERROR(__xludf.DUMMYFUNCTION("GOOGLETRANSLATE(A3765, ""en"", ""te"")"),"పెసరపప్పు")</f>
        <v>పెసరపప్పు</v>
      </c>
      <c r="C3765" s="4" t="str">
        <f>IFERROR(__xludf.DUMMYFUNCTION("GOOGLETRANSLATE(A3765, ""en"", ""hi"")"),"मूंग की दाल")</f>
        <v>मूंग की दाल</v>
      </c>
      <c r="D3765" s="2" t="s">
        <v>7523</v>
      </c>
      <c r="E3765" s="2" t="s">
        <v>1038</v>
      </c>
      <c r="F3765" s="1">
        <v>8.0</v>
      </c>
      <c r="G3765" s="3" t="s">
        <v>8394</v>
      </c>
    </row>
    <row r="3766">
      <c r="A3766" s="3" t="s">
        <v>6268</v>
      </c>
      <c r="B3766" s="4" t="str">
        <f>IFERROR(__xludf.DUMMYFUNCTION("GOOGLETRANSLATE(A3766, ""en"", ""te"")"),"స్వద్ చనా దాల్")</f>
        <v>స్వద్ చనా దాల్</v>
      </c>
      <c r="C3766" s="4" t="str">
        <f>IFERROR(__xludf.DUMMYFUNCTION("GOOGLETRANSLATE(A3766, ""en"", ""hi"")"),"स्वाद चना दाल")</f>
        <v>स्वाद चना दाल</v>
      </c>
      <c r="D3766" s="2" t="s">
        <v>3861</v>
      </c>
      <c r="E3766" s="2" t="s">
        <v>1038</v>
      </c>
      <c r="F3766" s="1">
        <v>8.0</v>
      </c>
      <c r="G3766" s="3" t="s">
        <v>6452</v>
      </c>
    </row>
    <row r="3767">
      <c r="A3767" s="3" t="s">
        <v>9350</v>
      </c>
      <c r="B3767" s="4" t="str">
        <f>IFERROR(__xludf.DUMMYFUNCTION("GOOGLETRANSLATE(A3767, ""en"", ""te"")"),"దీప్ చనా దాల్")</f>
        <v>దీప్ చనా దాల్</v>
      </c>
      <c r="C3767" s="4" t="str">
        <f>IFERROR(__xludf.DUMMYFUNCTION("GOOGLETRANSLATE(A3767, ""en"", ""hi"")"),"दीप चना दाल")</f>
        <v>दीप चना दाल</v>
      </c>
      <c r="D3767" s="2" t="s">
        <v>9351</v>
      </c>
      <c r="E3767" s="2" t="s">
        <v>1038</v>
      </c>
      <c r="F3767" s="1">
        <v>8.0</v>
      </c>
      <c r="G3767" s="3" t="s">
        <v>6452</v>
      </c>
    </row>
    <row r="3768">
      <c r="A3768" s="3" t="s">
        <v>9352</v>
      </c>
      <c r="B3768" s="4" t="str">
        <f>IFERROR(__xludf.DUMMYFUNCTION("GOOGLETRANSLATE(A3768, ""en"", ""te"")"),"దైవీ చనా దాల్")</f>
        <v>దైవీ చనా దాల్</v>
      </c>
      <c r="C3768" s="4" t="str">
        <f>IFERROR(__xludf.DUMMYFUNCTION("GOOGLETRANSLATE(A3768, ""en"", ""hi"")"),"दैवी चना दाल")</f>
        <v>दैवी चना दाल</v>
      </c>
      <c r="D3768" s="2" t="s">
        <v>7891</v>
      </c>
      <c r="E3768" s="2" t="s">
        <v>1038</v>
      </c>
      <c r="F3768" s="1">
        <v>8.0</v>
      </c>
      <c r="G3768" s="3" t="s">
        <v>6452</v>
      </c>
    </row>
    <row r="3769">
      <c r="A3769" s="3" t="s">
        <v>9344</v>
      </c>
      <c r="B3769" s="4" t="str">
        <f>IFERROR(__xludf.DUMMYFUNCTION("GOOGLETRANSLATE(A3769, ""en"", ""te"")"),"స్వాద్ ఉరద్ గోటా")</f>
        <v>స్వాద్ ఉరద్ గోటా</v>
      </c>
      <c r="C3769" s="4" t="str">
        <f>IFERROR(__xludf.DUMMYFUNCTION("GOOGLETRANSLATE(A3769, ""en"", ""hi"")"),"स्वाद उड़द गोटा")</f>
        <v>स्वाद उड़द गोटा</v>
      </c>
      <c r="D3769" s="2" t="s">
        <v>9255</v>
      </c>
      <c r="E3769" s="2" t="s">
        <v>1038</v>
      </c>
      <c r="F3769" s="1">
        <v>8.0</v>
      </c>
      <c r="G3769" s="3" t="s">
        <v>6556</v>
      </c>
    </row>
    <row r="3770">
      <c r="A3770" s="3" t="s">
        <v>9345</v>
      </c>
      <c r="B3770" s="4" t="str">
        <f>IFERROR(__xludf.DUMMYFUNCTION("GOOGLETRANSLATE(A3770, ""en"", ""te"")"),"లక్ష్మి ఉరద్ గోటా")</f>
        <v>లక్ష్మి ఉరద్ గోటా</v>
      </c>
      <c r="C3770" s="4" t="str">
        <f>IFERROR(__xludf.DUMMYFUNCTION("GOOGLETRANSLATE(A3770, ""en"", ""hi"")"),"लक्ष्मी उड़द गोटा")</f>
        <v>लक्ष्मी उड़द गोटा</v>
      </c>
      <c r="D3770" s="2" t="s">
        <v>9255</v>
      </c>
      <c r="E3770" s="2" t="s">
        <v>1038</v>
      </c>
      <c r="F3770" s="1">
        <v>8.0</v>
      </c>
      <c r="G3770" s="3" t="s">
        <v>6556</v>
      </c>
    </row>
    <row r="3771">
      <c r="A3771" s="3" t="s">
        <v>9353</v>
      </c>
      <c r="B3771" s="4" t="str">
        <f>IFERROR(__xludf.DUMMYFUNCTION("GOOGLETRANSLATE(A3771, ""en"", ""te"")"),"దైవి ఉరద్ దాల్")</f>
        <v>దైవి ఉరద్ దాల్</v>
      </c>
      <c r="C3771" s="4" t="str">
        <f>IFERROR(__xludf.DUMMYFUNCTION("GOOGLETRANSLATE(A3771, ""en"", ""hi"")"),"दैवी उरद दल")</f>
        <v>दैवी उरद दल</v>
      </c>
      <c r="D3771" s="2" t="s">
        <v>9349</v>
      </c>
      <c r="E3771" s="2" t="s">
        <v>1038</v>
      </c>
      <c r="F3771" s="1">
        <v>8.0</v>
      </c>
      <c r="G3771" s="3" t="s">
        <v>6556</v>
      </c>
    </row>
    <row r="3772">
      <c r="A3772" s="3" t="s">
        <v>4249</v>
      </c>
      <c r="B3772" s="4" t="str">
        <f>IFERROR(__xludf.DUMMYFUNCTION("GOOGLETRANSLATE(A3772, ""en"", ""te"")"),"లక్ష్మి ఉరద్ దాల్")</f>
        <v>లక్ష్మి ఉరద్ దాల్</v>
      </c>
      <c r="C3772" s="4" t="str">
        <f>IFERROR(__xludf.DUMMYFUNCTION("GOOGLETRANSLATE(A3772, ""en"", ""hi"")"),"लक्ष्मी उड़द दाल")</f>
        <v>लक्ष्मी उड़द दाल</v>
      </c>
      <c r="D3772" s="2" t="s">
        <v>9349</v>
      </c>
      <c r="E3772" s="2" t="s">
        <v>1038</v>
      </c>
      <c r="F3772" s="1">
        <v>8.0</v>
      </c>
      <c r="G3772" s="3" t="s">
        <v>6556</v>
      </c>
    </row>
    <row r="3773">
      <c r="A3773" s="3" t="s">
        <v>9354</v>
      </c>
      <c r="B3773" s="4" t="str">
        <f>IFERROR(__xludf.DUMMYFUNCTION("GOOGLETRANSLATE(A3773, ""en"", ""te"")"),"మంత్ర ఆర్గానిక్ ఉరద్ వైట్ హోల్")</f>
        <v>మంత్ర ఆర్గానిక్ ఉరద్ వైట్ హోల్</v>
      </c>
      <c r="C3773" s="4" t="str">
        <f>IFERROR(__xludf.DUMMYFUNCTION("GOOGLETRANSLATE(A3773, ""en"", ""hi"")"),"मंत्रा ऑर्गेनिक उड़द सफेद साबुत")</f>
        <v>मंत्रा ऑर्गेनिक उड़द सफेद साबुत</v>
      </c>
      <c r="D3773" s="2" t="s">
        <v>9309</v>
      </c>
      <c r="E3773" s="2" t="s">
        <v>1038</v>
      </c>
      <c r="F3773" s="1">
        <v>8.0</v>
      </c>
      <c r="G3773" s="3" t="s">
        <v>6605</v>
      </c>
    </row>
    <row r="3774">
      <c r="A3774" s="3" t="s">
        <v>9355</v>
      </c>
      <c r="B3774" s="4" t="str">
        <f>IFERROR(__xludf.DUMMYFUNCTION("GOOGLETRANSLATE(A3774, ""en"", ""te"")"),"మంత్ర ఆర్గానిక్ ఉరద్ వైట్ స్ప్లిట్")</f>
        <v>మంత్ర ఆర్గానిక్ ఉరద్ వైట్ స్ప్లిట్</v>
      </c>
      <c r="C3774" s="4" t="str">
        <f>IFERROR(__xludf.DUMMYFUNCTION("GOOGLETRANSLATE(A3774, ""en"", ""hi"")"),"मंत्रा ऑर्गेनिक उड़द सफेद विभाजित")</f>
        <v>मंत्रा ऑर्गेनिक उड़द सफेद विभाजित</v>
      </c>
      <c r="D3774" s="5"/>
      <c r="E3774" s="2" t="s">
        <v>1038</v>
      </c>
      <c r="F3774" s="1">
        <v>8.0</v>
      </c>
      <c r="G3774" s="3" t="s">
        <v>6605</v>
      </c>
    </row>
    <row r="3775">
      <c r="A3775" s="3" t="s">
        <v>9356</v>
      </c>
      <c r="B3775" s="4" t="str">
        <f>IFERROR(__xludf.DUMMYFUNCTION("GOOGLETRANSLATE(A3775, ""en"", ""te"")"),"జస్ట్ ఆర్గానిక్ ఉరద్ వైట్ స్ప్లిట్")</f>
        <v>జస్ట్ ఆర్గానిక్ ఉరద్ వైట్ స్ప్లిట్</v>
      </c>
      <c r="C3775" s="4" t="str">
        <f>IFERROR(__xludf.DUMMYFUNCTION("GOOGLETRANSLATE(A3775, ""en"", ""hi"")"),"जस्ट ऑर्गेनिक उरद व्हाइट स्प्लिट")</f>
        <v>जस्ट ऑर्गेनिक उरद व्हाइट स्प्लिट</v>
      </c>
      <c r="D3775" s="2" t="s">
        <v>9309</v>
      </c>
      <c r="E3775" s="2" t="s">
        <v>1038</v>
      </c>
      <c r="F3775" s="1">
        <v>8.0</v>
      </c>
      <c r="G3775" s="3" t="s">
        <v>6605</v>
      </c>
    </row>
    <row r="3776">
      <c r="A3776" s="3" t="s">
        <v>9357</v>
      </c>
      <c r="B3776" s="4" t="str">
        <f>IFERROR(__xludf.DUMMYFUNCTION("GOOGLETRANSLATE(A3776, ""en"", ""te"")"),"జె. ముల్లు మురుక్కు")</f>
        <v>జె. ముల్లు మురుక్కు</v>
      </c>
      <c r="C3776" s="4" t="str">
        <f>IFERROR(__xludf.DUMMYFUNCTION("GOOGLETRANSLATE(A3776, ""en"", ""hi"")"),"जे. मुल्लू मुरुक्कू")</f>
        <v>जे. मुल्लू मुरुक्कू</v>
      </c>
      <c r="D3776" s="2" t="s">
        <v>4054</v>
      </c>
      <c r="E3776" s="2" t="s">
        <v>1294</v>
      </c>
      <c r="F3776" s="1">
        <v>8.0</v>
      </c>
      <c r="G3776" s="3" t="s">
        <v>6605</v>
      </c>
    </row>
    <row r="3777">
      <c r="A3777" s="3" t="s">
        <v>9358</v>
      </c>
      <c r="B3777" s="4" t="str">
        <f>IFERROR(__xludf.DUMMYFUNCTION("GOOGLETRANSLATE(A3777, ""en"", ""te"")"),"దీప్ చన్నా దాల్")</f>
        <v>దీప్ చన్నా దాల్</v>
      </c>
      <c r="C3777" s="4" t="str">
        <f>IFERROR(__xludf.DUMMYFUNCTION("GOOGLETRANSLATE(A3777, ""en"", ""hi"")"),"दीप चना दाल")</f>
        <v>दीप चना दाल</v>
      </c>
      <c r="D3777" s="2" t="s">
        <v>3379</v>
      </c>
      <c r="E3777" s="2" t="s">
        <v>1038</v>
      </c>
      <c r="F3777" s="1">
        <v>8.0</v>
      </c>
      <c r="G3777" s="3" t="s">
        <v>6452</v>
      </c>
    </row>
    <row r="3778">
      <c r="A3778" s="3" t="s">
        <v>9359</v>
      </c>
      <c r="B3778" s="4" t="str">
        <f>IFERROR(__xludf.DUMMYFUNCTION("GOOGLETRANSLATE(A3778, ""en"", ""te"")"),"దైవీ చన్నా దాల్ - దేశీ")</f>
        <v>దైవీ చన్నా దాల్ - దేశీ</v>
      </c>
      <c r="C3778" s="4" t="str">
        <f>IFERROR(__xludf.DUMMYFUNCTION("GOOGLETRANSLATE(A3778, ""en"", ""hi"")"),"दैवी चना दाल - देसी")</f>
        <v>दैवी चना दाल - देसी</v>
      </c>
      <c r="D3778" s="2" t="s">
        <v>3379</v>
      </c>
      <c r="E3778" s="2" t="s">
        <v>1038</v>
      </c>
      <c r="F3778" s="1">
        <v>8.0</v>
      </c>
      <c r="G3778" s="3" t="s">
        <v>6452</v>
      </c>
    </row>
    <row r="3779">
      <c r="A3779" s="3" t="s">
        <v>9360</v>
      </c>
      <c r="B3779" s="4" t="str">
        <f>IFERROR(__xludf.DUMMYFUNCTION("GOOGLETRANSLATE(A3779, ""en"", ""te"")"),"దైవి మూంగ్ దాల్")</f>
        <v>దైవి మూంగ్ దాల్</v>
      </c>
      <c r="C3779" s="4" t="str">
        <f>IFERROR(__xludf.DUMMYFUNCTION("GOOGLETRANSLATE(A3779, ""en"", ""hi"")"),"दैवी मूंग दाल")</f>
        <v>दैवी मूंग दाल</v>
      </c>
      <c r="D3779" s="2" t="s">
        <v>3379</v>
      </c>
      <c r="E3779" s="2" t="s">
        <v>1038</v>
      </c>
      <c r="F3779" s="1">
        <v>8.0</v>
      </c>
      <c r="G3779" s="3" t="s">
        <v>6452</v>
      </c>
    </row>
    <row r="3780">
      <c r="A3780" s="3" t="s">
        <v>6400</v>
      </c>
      <c r="B3780" s="4" t="str">
        <f>IFERROR(__xludf.DUMMYFUNCTION("GOOGLETRANSLATE(A3780, ""en"", ""te"")"),"స్వాద్ ఉరద్ దాల్")</f>
        <v>స్వాద్ ఉరద్ దాల్</v>
      </c>
      <c r="C3780" s="4" t="str">
        <f>IFERROR(__xludf.DUMMYFUNCTION("GOOGLETRANSLATE(A3780, ""en"", ""hi"")"),"स्वाद उड़द दाल")</f>
        <v>स्वाद उड़द दाल</v>
      </c>
      <c r="D3780" s="2" t="s">
        <v>9051</v>
      </c>
      <c r="E3780" s="2" t="s">
        <v>1038</v>
      </c>
      <c r="F3780" s="1">
        <v>8.0</v>
      </c>
      <c r="G3780" s="3" t="s">
        <v>6556</v>
      </c>
    </row>
    <row r="3781">
      <c r="A3781" s="3" t="s">
        <v>9361</v>
      </c>
      <c r="B3781" s="4" t="str">
        <f>IFERROR(__xludf.DUMMYFUNCTION("GOOGLETRANSLATE(A3781, ""en"", ""te"")"),"జస్ట్ ఆర్గానిక్ ఆర్గానిక్ ఉరద్ వైట్ హోల్")</f>
        <v>జస్ట్ ఆర్గానిక్ ఆర్గానిక్ ఉరద్ వైట్ హోల్</v>
      </c>
      <c r="C3781" s="4" t="str">
        <f>IFERROR(__xludf.DUMMYFUNCTION("GOOGLETRANSLATE(A3781, ""en"", ""hi"")"),"जस्ट ऑर्गेनिक ऑर्गेनिक उड़द सफेद साबुत")</f>
        <v>जस्ट ऑर्गेनिक ऑर्गेनिक उड़द सफेद साबुत</v>
      </c>
      <c r="D3781" s="2" t="s">
        <v>9309</v>
      </c>
      <c r="E3781" s="2" t="s">
        <v>1038</v>
      </c>
      <c r="F3781" s="1">
        <v>8.0</v>
      </c>
      <c r="G3781" s="3" t="s">
        <v>6605</v>
      </c>
    </row>
    <row r="3782">
      <c r="A3782" s="3" t="s">
        <v>9362</v>
      </c>
      <c r="B3782" s="4" t="str">
        <f>IFERROR(__xludf.DUMMYFUNCTION("GOOGLETRANSLATE(A3782, ""en"", ""te"")"),"జస్ట్ ఆర్గానిక్ ఆర్గానిక్ ఉరద్ వైట్ స్ప్లిట్")</f>
        <v>జస్ట్ ఆర్గానిక్ ఆర్గానిక్ ఉరద్ వైట్ స్ప్లిట్</v>
      </c>
      <c r="C3782" s="4" t="str">
        <f>IFERROR(__xludf.DUMMYFUNCTION("GOOGLETRANSLATE(A3782, ""en"", ""hi"")"),"जस्ट ऑर्गेनिक ऑर्गेनिक उड़द सफेद विभाजित")</f>
        <v>जस्ट ऑर्गेनिक ऑर्गेनिक उड़द सफेद विभाजित</v>
      </c>
      <c r="D3782" s="5"/>
      <c r="E3782" s="2" t="s">
        <v>1038</v>
      </c>
      <c r="F3782" s="1">
        <v>8.0</v>
      </c>
      <c r="G3782" s="3" t="s">
        <v>6605</v>
      </c>
    </row>
    <row r="3783">
      <c r="A3783" s="3" t="s">
        <v>9363</v>
      </c>
      <c r="B3783" s="4" t="str">
        <f>IFERROR(__xludf.DUMMYFUNCTION("GOOGLETRANSLATE(A3783, ""en"", ""te"")"),"జస్ట్ ఆర్గానిక్ ఆర్గానిక్ ఉరద్ బ్లాక్ స్ప్లిట్")</f>
        <v>జస్ట్ ఆర్గానిక్ ఆర్గానిక్ ఉరద్ బ్లాక్ స్ప్లిట్</v>
      </c>
      <c r="C3783" s="4" t="str">
        <f>IFERROR(__xludf.DUMMYFUNCTION("GOOGLETRANSLATE(A3783, ""en"", ""hi"")"),"जस्ट ऑर्गेनिक ऑर्गेनिक उड़द ब्लैक स्प्लिट")</f>
        <v>जस्ट ऑर्गेनिक ऑर्गेनिक उड़द ब्लैक स्प्लिट</v>
      </c>
      <c r="D3783" s="2" t="s">
        <v>9309</v>
      </c>
      <c r="E3783" s="2" t="s">
        <v>1038</v>
      </c>
      <c r="F3783" s="1">
        <v>8.0</v>
      </c>
      <c r="G3783" s="3" t="s">
        <v>6605</v>
      </c>
    </row>
    <row r="3784">
      <c r="A3784" s="3" t="s">
        <v>9360</v>
      </c>
      <c r="B3784" s="4" t="str">
        <f>IFERROR(__xludf.DUMMYFUNCTION("GOOGLETRANSLATE(A3784, ""en"", ""te"")"),"దైవి మూంగ్ దాల్")</f>
        <v>దైవి మూంగ్ దాల్</v>
      </c>
      <c r="C3784" s="4" t="str">
        <f>IFERROR(__xludf.DUMMYFUNCTION("GOOGLETRANSLATE(A3784, ""en"", ""hi"")"),"दैवी मूंग दाल")</f>
        <v>दैवी मूंग दाल</v>
      </c>
      <c r="D3784" s="2" t="s">
        <v>3379</v>
      </c>
      <c r="E3784" s="2" t="s">
        <v>1038</v>
      </c>
      <c r="F3784" s="1">
        <v>8.0</v>
      </c>
      <c r="G3784" s="3" t="s">
        <v>6087</v>
      </c>
    </row>
    <row r="3785">
      <c r="A3785" s="3" t="s">
        <v>9364</v>
      </c>
      <c r="B3785" s="4" t="str">
        <f>IFERROR(__xludf.DUMMYFUNCTION("GOOGLETRANSLATE(A3785, ""en"", ""te"")"),"దీపపు పెసరపప్పు")</f>
        <v>దీపపు పెసరపప్పు</v>
      </c>
      <c r="C3785" s="4" t="str">
        <f>IFERROR(__xludf.DUMMYFUNCTION("GOOGLETRANSLATE(A3785, ""en"", ""hi"")"),"दीप मूंग दाल")</f>
        <v>दीप मूंग दाल</v>
      </c>
      <c r="D3785" s="2" t="s">
        <v>3379</v>
      </c>
      <c r="E3785" s="2" t="s">
        <v>1038</v>
      </c>
      <c r="F3785" s="1">
        <v>8.0</v>
      </c>
      <c r="G3785" s="3" t="s">
        <v>6087</v>
      </c>
    </row>
    <row r="3786">
      <c r="A3786" s="3" t="s">
        <v>6400</v>
      </c>
      <c r="B3786" s="4" t="str">
        <f>IFERROR(__xludf.DUMMYFUNCTION("GOOGLETRANSLATE(A3786, ""en"", ""te"")"),"స్వాద్ ఉరద్ దాల్")</f>
        <v>స్వాద్ ఉరద్ దాల్</v>
      </c>
      <c r="C3786" s="4" t="str">
        <f>IFERROR(__xludf.DUMMYFUNCTION("GOOGLETRANSLATE(A3786, ""en"", ""hi"")"),"स्वाद उड़द दाल")</f>
        <v>स्वाद उड़द दाल</v>
      </c>
      <c r="D3786" s="2" t="s">
        <v>9051</v>
      </c>
      <c r="E3786" s="2" t="s">
        <v>1038</v>
      </c>
      <c r="F3786" s="1">
        <v>8.0</v>
      </c>
      <c r="G3786" s="3" t="s">
        <v>5854</v>
      </c>
    </row>
    <row r="3787">
      <c r="A3787" s="3" t="s">
        <v>9365</v>
      </c>
      <c r="B3787" s="4" t="str">
        <f>IFERROR(__xludf.DUMMYFUNCTION("GOOGLETRANSLATE(A3787, ""en"", ""te"")"),"ఆరా ఇడ్లీ దోస పప్పు")</f>
        <v>ఆరా ఇడ్లీ దోస పప్పు</v>
      </c>
      <c r="C3787" s="4" t="str">
        <f>IFERROR(__xludf.DUMMYFUNCTION("GOOGLETRANSLATE(A3787, ""en"", ""hi"")"),"आरा इडली डोसा दाल")</f>
        <v>आरा इडली डोसा दाल</v>
      </c>
      <c r="D3787" s="2" t="s">
        <v>9366</v>
      </c>
      <c r="E3787" s="2" t="s">
        <v>1038</v>
      </c>
      <c r="F3787" s="1">
        <v>8.0</v>
      </c>
      <c r="G3787" s="3" t="s">
        <v>5854</v>
      </c>
    </row>
    <row r="3788">
      <c r="A3788" s="3" t="s">
        <v>9367</v>
      </c>
      <c r="B3788" s="4" t="str">
        <f>IFERROR(__xludf.DUMMYFUNCTION("GOOGLETRANSLATE(A3788, ""en"", ""te"")"),"ఆరా ఉరద్ గోటా")</f>
        <v>ఆరా ఉరద్ గోటా</v>
      </c>
      <c r="C3788" s="4" t="str">
        <f>IFERROR(__xludf.DUMMYFUNCTION("GOOGLETRANSLATE(A3788, ""en"", ""hi"")"),"आरा उरद गोटा")</f>
        <v>आरा उरद गोटा</v>
      </c>
      <c r="D3788" s="2" t="s">
        <v>9255</v>
      </c>
      <c r="E3788" s="2" t="s">
        <v>1038</v>
      </c>
      <c r="F3788" s="1">
        <v>8.0</v>
      </c>
      <c r="G3788" s="3" t="s">
        <v>5854</v>
      </c>
    </row>
    <row r="3789">
      <c r="A3789" s="3" t="s">
        <v>6354</v>
      </c>
      <c r="B3789" s="4" t="str">
        <f>IFERROR(__xludf.DUMMYFUNCTION("GOOGLETRANSLATE(A3789, ""en"", ""te"")"),"స్వాద్ మల్టీ దాల్ మిక్స్")</f>
        <v>స్వాద్ మల్టీ దాల్ మిక్స్</v>
      </c>
      <c r="C3789" s="4" t="str">
        <f>IFERROR(__xludf.DUMMYFUNCTION("GOOGLETRANSLATE(A3789, ""en"", ""hi"")"),"स्वाद मल्टी दाल मिक्स")</f>
        <v>स्वाद मल्टी दाल मिक्स</v>
      </c>
      <c r="D3789" s="5"/>
      <c r="E3789" s="2" t="s">
        <v>1038</v>
      </c>
      <c r="F3789" s="1">
        <v>8.0</v>
      </c>
      <c r="G3789" s="3" t="s">
        <v>5854</v>
      </c>
    </row>
    <row r="3790">
      <c r="A3790" s="3" t="s">
        <v>9368</v>
      </c>
      <c r="B3790" s="4" t="str">
        <f>IFERROR(__xludf.DUMMYFUNCTION("GOOGLETRANSLATE(A3790, ""en"", ""te"")"),"24 మంత్ర ఆర్గానిక్ రాజ్మా")</f>
        <v>24 మంత్ర ఆర్గానిక్ రాజ్మా</v>
      </c>
      <c r="C3790" s="4" t="str">
        <f>IFERROR(__xludf.DUMMYFUNCTION("GOOGLETRANSLATE(A3790, ""en"", ""hi"")"),"24 मंत्रा ऑर्गेनिक राजमा")</f>
        <v>24 मंत्रा ऑर्गेनिक राजमा</v>
      </c>
      <c r="D3790" s="2" t="s">
        <v>8107</v>
      </c>
      <c r="E3790" s="2" t="s">
        <v>1038</v>
      </c>
      <c r="F3790" s="1">
        <v>8.0</v>
      </c>
      <c r="G3790" s="3" t="s">
        <v>7895</v>
      </c>
    </row>
    <row r="3791">
      <c r="A3791" s="3" t="s">
        <v>9364</v>
      </c>
      <c r="B3791" s="4" t="str">
        <f>IFERROR(__xludf.DUMMYFUNCTION("GOOGLETRANSLATE(A3791, ""en"", ""te"")"),"దీపపు పెసరపప్పు")</f>
        <v>దీపపు పెసరపప్పు</v>
      </c>
      <c r="C3791" s="4" t="str">
        <f>IFERROR(__xludf.DUMMYFUNCTION("GOOGLETRANSLATE(A3791, ""en"", ""hi"")"),"दीप मूंग दाल")</f>
        <v>दीप मूंग दाल</v>
      </c>
      <c r="D3791" s="2" t="s">
        <v>3379</v>
      </c>
      <c r="E3791" s="2" t="s">
        <v>1038</v>
      </c>
      <c r="F3791" s="1">
        <v>8.0</v>
      </c>
      <c r="G3791" s="3" t="s">
        <v>76</v>
      </c>
    </row>
    <row r="3792">
      <c r="A3792" s="3" t="s">
        <v>9369</v>
      </c>
      <c r="B3792" s="4" t="str">
        <f>IFERROR(__xludf.DUMMYFUNCTION("GOOGLETRANSLATE(A3792, ""en"", ""te"")"),"దైవీ మసూర్ దళ్")</f>
        <v>దైవీ మసూర్ దళ్</v>
      </c>
      <c r="C3792" s="4" t="str">
        <f>IFERROR(__xludf.DUMMYFUNCTION("GOOGLETRANSLATE(A3792, ""en"", ""hi"")"),"दैवी मसूर दाल")</f>
        <v>दैवी मसूर दाल</v>
      </c>
      <c r="D3792" s="2" t="s">
        <v>3379</v>
      </c>
      <c r="E3792" s="2" t="s">
        <v>1038</v>
      </c>
      <c r="F3792" s="1">
        <v>8.0</v>
      </c>
      <c r="G3792" s="3" t="s">
        <v>76</v>
      </c>
    </row>
    <row r="3793">
      <c r="A3793" s="3" t="s">
        <v>9367</v>
      </c>
      <c r="B3793" s="4" t="str">
        <f>IFERROR(__xludf.DUMMYFUNCTION("GOOGLETRANSLATE(A3793, ""en"", ""te"")"),"ఆరా ఉరద్ గోటా")</f>
        <v>ఆరా ఉరద్ గోటా</v>
      </c>
      <c r="C3793" s="4" t="str">
        <f>IFERROR(__xludf.DUMMYFUNCTION("GOOGLETRANSLATE(A3793, ""en"", ""hi"")"),"आरा उरद गोटा")</f>
        <v>आरा उरद गोटा</v>
      </c>
      <c r="D3793" s="2" t="s">
        <v>9255</v>
      </c>
      <c r="E3793" s="2" t="s">
        <v>1038</v>
      </c>
      <c r="F3793" s="1">
        <v>8.0</v>
      </c>
      <c r="G3793" s="3" t="s">
        <v>85</v>
      </c>
    </row>
    <row r="3794">
      <c r="A3794" s="3" t="s">
        <v>6354</v>
      </c>
      <c r="B3794" s="4" t="str">
        <f>IFERROR(__xludf.DUMMYFUNCTION("GOOGLETRANSLATE(A3794, ""en"", ""te"")"),"స్వాద్ మల్టీ దాల్ మిక్స్")</f>
        <v>స్వాద్ మల్టీ దాల్ మిక్స్</v>
      </c>
      <c r="C3794" s="4" t="str">
        <f>IFERROR(__xludf.DUMMYFUNCTION("GOOGLETRANSLATE(A3794, ""en"", ""hi"")"),"स्वाद मल्टी दाल मिक्स")</f>
        <v>स्वाद मल्टी दाल मिक्स</v>
      </c>
      <c r="D3794" s="5"/>
      <c r="E3794" s="2" t="s">
        <v>1038</v>
      </c>
      <c r="F3794" s="1">
        <v>8.0</v>
      </c>
      <c r="G3794" s="3" t="s">
        <v>85</v>
      </c>
    </row>
    <row r="3795">
      <c r="A3795" s="3" t="s">
        <v>4252</v>
      </c>
      <c r="B3795" s="4" t="str">
        <f>IFERROR(__xludf.DUMMYFUNCTION("GOOGLETRANSLATE(A3795, ""en"", ""te"")"),"లక్ష్మి మొత్తం మూంగ్")</f>
        <v>లక్ష్మి మొత్తం మూంగ్</v>
      </c>
      <c r="C3795" s="4" t="str">
        <f>IFERROR(__xludf.DUMMYFUNCTION("GOOGLETRANSLATE(A3795, ""en"", ""hi"")"),"लक्ष्मी साबुत मूंग")</f>
        <v>लक्ष्मी साबुत मूंग</v>
      </c>
      <c r="D3795" s="5"/>
      <c r="E3795" s="2" t="s">
        <v>1038</v>
      </c>
      <c r="F3795" s="1">
        <v>8.0</v>
      </c>
      <c r="G3795" s="3" t="s">
        <v>85</v>
      </c>
    </row>
    <row r="3796">
      <c r="A3796" s="3" t="s">
        <v>9370</v>
      </c>
      <c r="B3796" s="4" t="str">
        <f>IFERROR(__xludf.DUMMYFUNCTION("GOOGLETRANSLATE(A3796, ""en"", ""te"")"),"24 మంత్ర ఆర్గానిక్ చనా")</f>
        <v>24 మంత్ర ఆర్గానిక్ చనా</v>
      </c>
      <c r="C3796" s="4" t="str">
        <f>IFERROR(__xludf.DUMMYFUNCTION("GOOGLETRANSLATE(A3796, ""en"", ""hi"")"),"24 मंत्रा ऑर्गेनिक चना")</f>
        <v>24 मंत्रा ऑर्गेनिक चना</v>
      </c>
      <c r="D3796" s="2" t="s">
        <v>9371</v>
      </c>
      <c r="E3796" s="2" t="s">
        <v>1038</v>
      </c>
      <c r="F3796" s="1">
        <v>8.0</v>
      </c>
      <c r="G3796" s="3" t="s">
        <v>114</v>
      </c>
    </row>
    <row r="3797">
      <c r="A3797" s="3" t="s">
        <v>9372</v>
      </c>
      <c r="B3797" s="4" t="str">
        <f>IFERROR(__xludf.DUMMYFUNCTION("GOOGLETRANSLATE(A3797, ""en"", ""te"")"),"24 మంత్ర ఆర్గానిక్ బ్రౌన్ చనా")</f>
        <v>24 మంత్ర ఆర్గానిక్ బ్రౌన్ చనా</v>
      </c>
      <c r="C3797" s="4" t="str">
        <f>IFERROR(__xludf.DUMMYFUNCTION("GOOGLETRANSLATE(A3797, ""en"", ""hi"")"),"24 मंत्रा ऑर्गेनिक ब्राउन चना")</f>
        <v>24 मंत्रा ऑर्गेनिक ब्राउन चना</v>
      </c>
      <c r="D3797" s="2" t="s">
        <v>3861</v>
      </c>
      <c r="E3797" s="2" t="s">
        <v>1038</v>
      </c>
      <c r="F3797" s="1">
        <v>8.0</v>
      </c>
      <c r="G3797" s="3" t="s">
        <v>114</v>
      </c>
    </row>
    <row r="3798">
      <c r="A3798" s="3" t="s">
        <v>9369</v>
      </c>
      <c r="B3798" s="4" t="str">
        <f>IFERROR(__xludf.DUMMYFUNCTION("GOOGLETRANSLATE(A3798, ""en"", ""te"")"),"దైవీ మసూర్ దళ్")</f>
        <v>దైవీ మసూర్ దళ్</v>
      </c>
      <c r="C3798" s="4" t="str">
        <f>IFERROR(__xludf.DUMMYFUNCTION("GOOGLETRANSLATE(A3798, ""en"", ""hi"")"),"दैवी मसूर दाल")</f>
        <v>दैवी मसूर दाल</v>
      </c>
      <c r="D3798" s="2" t="s">
        <v>3379</v>
      </c>
      <c r="E3798" s="2" t="s">
        <v>1038</v>
      </c>
      <c r="F3798" s="1">
        <v>8.0</v>
      </c>
      <c r="G3798" s="3" t="s">
        <v>5756</v>
      </c>
    </row>
    <row r="3799">
      <c r="A3799" s="3" t="s">
        <v>9373</v>
      </c>
      <c r="B3799" s="4" t="str">
        <f>IFERROR(__xludf.DUMMYFUNCTION("GOOGLETRANSLATE(A3799, ""en"", ""te"")"),"లక్ష్మి మసూర్ దల్")</f>
        <v>లక్ష్మి మసూర్ దల్</v>
      </c>
      <c r="C3799" s="4" t="str">
        <f>IFERROR(__xludf.DUMMYFUNCTION("GOOGLETRANSLATE(A3799, ""en"", ""hi"")"),"लक्ष्मी मसूर दाल")</f>
        <v>लक्ष्मी मसूर दाल</v>
      </c>
      <c r="D3799" s="2" t="s">
        <v>3379</v>
      </c>
      <c r="E3799" s="2" t="s">
        <v>1038</v>
      </c>
      <c r="F3799" s="1">
        <v>8.0</v>
      </c>
      <c r="G3799" s="3" t="s">
        <v>5756</v>
      </c>
    </row>
    <row r="3800">
      <c r="A3800" s="3" t="s">
        <v>9374</v>
      </c>
      <c r="B3800" s="4" t="str">
        <f>IFERROR(__xludf.DUMMYFUNCTION("GOOGLETRANSLATE(A3800, ""en"", ""te"")"),"దీప్ మసూర్ దల్")</f>
        <v>దీప్ మసూర్ దల్</v>
      </c>
      <c r="C3800" s="4" t="str">
        <f>IFERROR(__xludf.DUMMYFUNCTION("GOOGLETRANSLATE(A3800, ""en"", ""hi"")"),"दीप मसूर दाल")</f>
        <v>दीप मसूर दाल</v>
      </c>
      <c r="D3800" s="2" t="s">
        <v>3379</v>
      </c>
      <c r="E3800" s="2" t="s">
        <v>1038</v>
      </c>
      <c r="F3800" s="1">
        <v>8.0</v>
      </c>
      <c r="G3800" s="3" t="s">
        <v>5756</v>
      </c>
    </row>
    <row r="3801">
      <c r="A3801" s="3" t="s">
        <v>6343</v>
      </c>
      <c r="B3801" s="4" t="str">
        <f>IFERROR(__xludf.DUMMYFUNCTION("GOOGLETRANSLATE(A3801, ""en"", ""te"")"),"స్వాద్ మసూర్ దల్")</f>
        <v>స్వాద్ మసూర్ దల్</v>
      </c>
      <c r="C3801" s="4" t="str">
        <f>IFERROR(__xludf.DUMMYFUNCTION("GOOGLETRANSLATE(A3801, ""en"", ""hi"")"),"स्वाद मसूर दाल")</f>
        <v>स्वाद मसूर दाल</v>
      </c>
      <c r="D3801" s="2" t="s">
        <v>3379</v>
      </c>
      <c r="E3801" s="2" t="s">
        <v>1038</v>
      </c>
      <c r="F3801" s="1">
        <v>8.0</v>
      </c>
      <c r="G3801" s="3" t="s">
        <v>5756</v>
      </c>
    </row>
    <row r="3802">
      <c r="A3802" s="3" t="s">
        <v>4252</v>
      </c>
      <c r="B3802" s="4" t="str">
        <f>IFERROR(__xludf.DUMMYFUNCTION("GOOGLETRANSLATE(A3802, ""en"", ""te"")"),"లక్ష్మి మొత్తం మూంగ్")</f>
        <v>లక్ష్మి మొత్తం మూంగ్</v>
      </c>
      <c r="C3802" s="4" t="str">
        <f>IFERROR(__xludf.DUMMYFUNCTION("GOOGLETRANSLATE(A3802, ""en"", ""hi"")"),"लक्ष्मी साबुत मूंग")</f>
        <v>लक्ष्मी साबुत मूंग</v>
      </c>
      <c r="D3802" s="5"/>
      <c r="E3802" s="2" t="s">
        <v>1038</v>
      </c>
      <c r="F3802" s="1">
        <v>8.0</v>
      </c>
      <c r="G3802" s="3" t="s">
        <v>5761</v>
      </c>
    </row>
    <row r="3803">
      <c r="A3803" s="3" t="s">
        <v>9375</v>
      </c>
      <c r="B3803" s="4" t="str">
        <f>IFERROR(__xludf.DUMMYFUNCTION("GOOGLETRANSLATE(A3803, ""en"", ""te"")"),"మూంగ్ హోల్")</f>
        <v>మూంగ్ హోల్</v>
      </c>
      <c r="C3803" s="4" t="str">
        <f>IFERROR(__xludf.DUMMYFUNCTION("GOOGLETRANSLATE(A3803, ""en"", ""hi"")"),"साबुत मूंग")</f>
        <v>साबुत मूंग</v>
      </c>
      <c r="D3803" s="5"/>
      <c r="E3803" s="2" t="s">
        <v>1038</v>
      </c>
      <c r="F3803" s="1">
        <v>8.0</v>
      </c>
      <c r="G3803" s="3" t="s">
        <v>5761</v>
      </c>
    </row>
    <row r="3804">
      <c r="A3804" s="3" t="s">
        <v>9376</v>
      </c>
      <c r="B3804" s="4" t="str">
        <f>IFERROR(__xludf.DUMMYFUNCTION("GOOGLETRANSLATE(A3804, ""en"", ""te"")"),"స్వాద్ మసూర్ హోల్")</f>
        <v>స్వాద్ మసూర్ హోల్</v>
      </c>
      <c r="C3804" s="4" t="str">
        <f>IFERROR(__xludf.DUMMYFUNCTION("GOOGLETRANSLATE(A3804, ""en"", ""hi"")"),"स्वाद मसूर होल")</f>
        <v>स्वाद मसूर होल</v>
      </c>
      <c r="D3804" s="5"/>
      <c r="E3804" s="2" t="s">
        <v>1038</v>
      </c>
      <c r="F3804" s="1">
        <v>8.0</v>
      </c>
      <c r="G3804" s="3" t="s">
        <v>5761</v>
      </c>
    </row>
    <row r="3805">
      <c r="A3805" s="3" t="s">
        <v>6346</v>
      </c>
      <c r="B3805" s="4" t="str">
        <f>IFERROR(__xludf.DUMMYFUNCTION("GOOGLETRANSLATE(A3805, ""en"", ""te"")"),"స్వాద్ మసూర్ మట్కి")</f>
        <v>స్వాద్ మసూర్ మట్కి</v>
      </c>
      <c r="C3805" s="4" t="str">
        <f>IFERROR(__xludf.DUMMYFUNCTION("GOOGLETRANSLATE(A3805, ""en"", ""hi"")"),"स्वाद मसूर मटकी")</f>
        <v>स्वाद मसूर मटकी</v>
      </c>
      <c r="D3805" s="5"/>
      <c r="E3805" s="2" t="s">
        <v>1038</v>
      </c>
      <c r="F3805" s="1">
        <v>8.0</v>
      </c>
      <c r="G3805" s="3" t="s">
        <v>5761</v>
      </c>
    </row>
    <row r="3806">
      <c r="A3806" s="3" t="s">
        <v>9372</v>
      </c>
      <c r="B3806" s="4" t="str">
        <f>IFERROR(__xludf.DUMMYFUNCTION("GOOGLETRANSLATE(A3806, ""en"", ""te"")"),"24 మంత్ర ఆర్గానిక్ బ్రౌన్ చనా")</f>
        <v>24 మంత్ర ఆర్గానిక్ బ్రౌన్ చనా</v>
      </c>
      <c r="C3806" s="4" t="str">
        <f>IFERROR(__xludf.DUMMYFUNCTION("GOOGLETRANSLATE(A3806, ""en"", ""hi"")"),"24 मंत्रा ऑर्गेनिक ब्राउन चना")</f>
        <v>24 मंत्रा ऑर्गेनिक ब्राउन चना</v>
      </c>
      <c r="D3806" s="2" t="s">
        <v>3861</v>
      </c>
      <c r="E3806" s="2" t="s">
        <v>1038</v>
      </c>
      <c r="F3806" s="1">
        <v>8.0</v>
      </c>
      <c r="G3806" s="3" t="s">
        <v>7462</v>
      </c>
    </row>
    <row r="3807">
      <c r="A3807" s="3" t="s">
        <v>6357</v>
      </c>
      <c r="B3807" s="4" t="str">
        <f>IFERROR(__xludf.DUMMYFUNCTION("GOOGLETRANSLATE(A3807, ""en"", ""te"")"),"స్వాద్ ముత్ హోల్")</f>
        <v>స్వాద్ ముత్ హోల్</v>
      </c>
      <c r="C3807" s="4" t="str">
        <f>IFERROR(__xludf.DUMMYFUNCTION("GOOGLETRANSLATE(A3807, ""en"", ""hi"")"),"स्वाद मुथ होल")</f>
        <v>स्वाद मुथ होल</v>
      </c>
      <c r="D3807" s="5"/>
      <c r="E3807" s="2" t="s">
        <v>1038</v>
      </c>
      <c r="F3807" s="1">
        <v>8.0</v>
      </c>
      <c r="G3807" s="3" t="s">
        <v>7462</v>
      </c>
    </row>
    <row r="3808">
      <c r="A3808" s="3" t="s">
        <v>9377</v>
      </c>
      <c r="B3808" s="4" t="str">
        <f>IFERROR(__xludf.DUMMYFUNCTION("GOOGLETRANSLATE(A3808, ""en"", ""te"")"),"ఆరా చిమ్మట మొత్తం")</f>
        <v>ఆరా చిమ్మట మొత్తం</v>
      </c>
      <c r="C3808" s="4" t="str">
        <f>IFERROR(__xludf.DUMMYFUNCTION("GOOGLETRANSLATE(A3808, ""en"", ""hi"")"),"आरा मोथ होल")</f>
        <v>आरा मोथ होल</v>
      </c>
      <c r="D3808" s="5"/>
      <c r="E3808" s="2" t="s">
        <v>1038</v>
      </c>
      <c r="F3808" s="1">
        <v>8.0</v>
      </c>
      <c r="G3808" s="3" t="s">
        <v>7462</v>
      </c>
    </row>
    <row r="3809">
      <c r="A3809" s="3" t="s">
        <v>9378</v>
      </c>
      <c r="B3809" s="4" t="str">
        <f>IFERROR(__xludf.DUMMYFUNCTION("GOOGLETRANSLATE(A3809, ""en"", ""te"")"),"స్వాద్ బ్లాక్‌ఐ పీస్")</f>
        <v>స్వాద్ బ్లాక్‌ఐ పీస్</v>
      </c>
      <c r="C3809" s="4" t="str">
        <f>IFERROR(__xludf.DUMMYFUNCTION("GOOGLETRANSLATE(A3809, ""en"", ""hi"")"),"स्वाद ब्लैकआई मटर")</f>
        <v>स्वाद ब्लैकआई मटर</v>
      </c>
      <c r="D3809" s="2" t="s">
        <v>9305</v>
      </c>
      <c r="E3809" s="2" t="s">
        <v>1038</v>
      </c>
      <c r="F3809" s="1">
        <v>8.0</v>
      </c>
      <c r="G3809" s="3" t="s">
        <v>7462</v>
      </c>
    </row>
    <row r="3810">
      <c r="A3810" s="3" t="s">
        <v>9379</v>
      </c>
      <c r="B3810" s="4" t="str">
        <f>IFERROR(__xludf.DUMMYFUNCTION("GOOGLETRANSLATE(A3810, ""en"", ""te"")"),"ఆరా మసూర్ దల్")</f>
        <v>ఆరా మసూర్ దల్</v>
      </c>
      <c r="C3810" s="4" t="str">
        <f>IFERROR(__xludf.DUMMYFUNCTION("GOOGLETRANSLATE(A3810, ""en"", ""hi"")"),"आरा मसूर दाल")</f>
        <v>आरा मसूर दाल</v>
      </c>
      <c r="D3810" s="5"/>
      <c r="E3810" s="2" t="s">
        <v>1038</v>
      </c>
      <c r="F3810" s="1">
        <v>8.0</v>
      </c>
      <c r="G3810" s="3" t="s">
        <v>5756</v>
      </c>
    </row>
    <row r="3811">
      <c r="A3811" s="3" t="s">
        <v>9380</v>
      </c>
      <c r="B3811" s="4" t="str">
        <f>IFERROR(__xludf.DUMMYFUNCTION("GOOGLETRANSLATE(A3811, ""en"", ""te"")"),"స్వాద్ మసూర్ మల్కా")</f>
        <v>స్వాద్ మసూర్ మల్కా</v>
      </c>
      <c r="C3811" s="4" t="str">
        <f>IFERROR(__xludf.DUMMYFUNCTION("GOOGLETRANSLATE(A3811, ""en"", ""hi"")"),"स्वाद मसूर मलका")</f>
        <v>स्वाद मसूर मलका</v>
      </c>
      <c r="D3811" s="5"/>
      <c r="E3811" s="2" t="s">
        <v>1038</v>
      </c>
      <c r="F3811" s="1">
        <v>8.0</v>
      </c>
      <c r="G3811" s="3" t="s">
        <v>5756</v>
      </c>
    </row>
    <row r="3812">
      <c r="A3812" s="3" t="s">
        <v>9381</v>
      </c>
      <c r="B3812" s="4" t="str">
        <f>IFERROR(__xludf.DUMMYFUNCTION("GOOGLETRANSLATE(A3812, ""en"", ""te"")"),"దైవత్ మసూర్ గోటా")</f>
        <v>దైవత్ మసూర్ గోటా</v>
      </c>
      <c r="C3812" s="4" t="str">
        <f>IFERROR(__xludf.DUMMYFUNCTION("GOOGLETRANSLATE(A3812, ""en"", ""hi"")"),"दैवत मसूर गोटा")</f>
        <v>दैवत मसूर गोटा</v>
      </c>
      <c r="D3812" s="5"/>
      <c r="E3812" s="2" t="s">
        <v>1038</v>
      </c>
      <c r="F3812" s="1">
        <v>8.0</v>
      </c>
      <c r="G3812" s="3" t="s">
        <v>5756</v>
      </c>
    </row>
    <row r="3813">
      <c r="A3813" s="3" t="s">
        <v>9382</v>
      </c>
      <c r="B3813" s="4" t="str">
        <f>IFERROR(__xludf.DUMMYFUNCTION("GOOGLETRANSLATE(A3813, ""en"", ""te"")"),"లక్ష్మి మూంగ్ స్ప్లిట్")</f>
        <v>లక్ష్మి మూంగ్ స్ప్లిట్</v>
      </c>
      <c r="C3813" s="4" t="str">
        <f>IFERROR(__xludf.DUMMYFUNCTION("GOOGLETRANSLATE(A3813, ""en"", ""hi"")"),"लक्ष्मी मूंग स्प्लिट")</f>
        <v>लक्ष्मी मूंग स्प्लिट</v>
      </c>
      <c r="D3813" s="5"/>
      <c r="E3813" s="2" t="s">
        <v>1038</v>
      </c>
      <c r="F3813" s="1">
        <v>8.0</v>
      </c>
      <c r="G3813" s="3" t="s">
        <v>5756</v>
      </c>
    </row>
    <row r="3814">
      <c r="A3814" s="3" t="s">
        <v>6325</v>
      </c>
      <c r="B3814" s="4" t="str">
        <f>IFERROR(__xludf.DUMMYFUNCTION("GOOGLETRANSLATE(A3814, ""en"", ""te"")"),"స్వాద్ హార్స్ గ్రామ్")</f>
        <v>స్వాద్ హార్స్ గ్రామ్</v>
      </c>
      <c r="C3814" s="4" t="str">
        <f>IFERROR(__xludf.DUMMYFUNCTION("GOOGLETRANSLATE(A3814, ""en"", ""hi"")"),"स्वाद हॉर्स ग्राम")</f>
        <v>स्वाद हॉर्स ग्राम</v>
      </c>
      <c r="D3814" s="5"/>
      <c r="E3814" s="2" t="s">
        <v>1038</v>
      </c>
      <c r="F3814" s="1">
        <v>8.0</v>
      </c>
      <c r="G3814" s="3" t="s">
        <v>5761</v>
      </c>
    </row>
    <row r="3815">
      <c r="A3815" s="3" t="s">
        <v>9383</v>
      </c>
      <c r="B3815" s="4" t="str">
        <f>IFERROR(__xludf.DUMMYFUNCTION("GOOGLETRANSLATE(A3815, ""en"", ""te"")"),"బాన్సీ పచ్చి కాయధాన్యాలు")</f>
        <v>బాన్సీ పచ్చి కాయధాన్యాలు</v>
      </c>
      <c r="C3815" s="4" t="str">
        <f>IFERROR(__xludf.DUMMYFUNCTION("GOOGLETRANSLATE(A3815, ""en"", ""hi"")"),"बंसी हरी मसूर")</f>
        <v>बंसी हरी मसूर</v>
      </c>
      <c r="D3815" s="5"/>
      <c r="E3815" s="2" t="s">
        <v>1038</v>
      </c>
      <c r="F3815" s="1">
        <v>8.0</v>
      </c>
      <c r="G3815" s="3" t="s">
        <v>5761</v>
      </c>
    </row>
    <row r="3816">
      <c r="A3816" s="3" t="s">
        <v>9384</v>
      </c>
      <c r="B3816" s="4" t="str">
        <f>IFERROR(__xludf.DUMMYFUNCTION("GOOGLETRANSLATE(A3816, ""en"", ""te"")"),"స్వాద్ కిడ్నీ బీన్స్")</f>
        <v>స్వాద్ కిడ్నీ బీన్స్</v>
      </c>
      <c r="C3816" s="4" t="str">
        <f>IFERROR(__xludf.DUMMYFUNCTION("GOOGLETRANSLATE(A3816, ""en"", ""hi"")"),"स्वाद राजमा")</f>
        <v>स्वाद राजमा</v>
      </c>
      <c r="D3816" s="2" t="s">
        <v>8524</v>
      </c>
      <c r="E3816" s="2" t="s">
        <v>1038</v>
      </c>
      <c r="F3816" s="1">
        <v>8.0</v>
      </c>
      <c r="G3816" s="3" t="s">
        <v>5761</v>
      </c>
    </row>
    <row r="3817">
      <c r="A3817" s="3" t="s">
        <v>9385</v>
      </c>
      <c r="B3817" s="4" t="str">
        <f>IFERROR(__xludf.DUMMYFUNCTION("GOOGLETRANSLATE(A3817, ""en"", ""te"")"),"లక్ష్మి బ్లాక్ ఐడ్ పీస్")</f>
        <v>లక్ష్మి బ్లాక్ ఐడ్ పీస్</v>
      </c>
      <c r="C3817" s="4" t="str">
        <f>IFERROR(__xludf.DUMMYFUNCTION("GOOGLETRANSLATE(A3817, ""en"", ""hi"")"),"लक्ष्मी ब्लैक आइड पीज़")</f>
        <v>लक्ष्मी ब्लैक आइड पीज़</v>
      </c>
      <c r="D3817" s="2" t="s">
        <v>8524</v>
      </c>
      <c r="E3817" s="2" t="s">
        <v>1038</v>
      </c>
      <c r="F3817" s="1">
        <v>8.0</v>
      </c>
      <c r="G3817" s="3" t="s">
        <v>7462</v>
      </c>
    </row>
    <row r="3818">
      <c r="A3818" s="3" t="s">
        <v>9386</v>
      </c>
      <c r="B3818" s="4" t="str">
        <f>IFERROR(__xludf.DUMMYFUNCTION("GOOGLETRANSLATE(A3818, ""en"", ""te"")"),"స్వాద్ రెడ్ బీన్స్")</f>
        <v>స్వాద్ రెడ్ బీన్స్</v>
      </c>
      <c r="C3818" s="4" t="str">
        <f>IFERROR(__xludf.DUMMYFUNCTION("GOOGLETRANSLATE(A3818, ""en"", ""hi"")"),"स्वाद लाल सेम")</f>
        <v>स्वाद लाल सेम</v>
      </c>
      <c r="D3818" s="2" t="s">
        <v>8524</v>
      </c>
      <c r="E3818" s="2" t="s">
        <v>1038</v>
      </c>
      <c r="F3818" s="1">
        <v>8.0</v>
      </c>
      <c r="G3818" s="3" t="s">
        <v>7462</v>
      </c>
    </row>
    <row r="3819">
      <c r="A3819" s="3" t="s">
        <v>9387</v>
      </c>
      <c r="B3819" s="4" t="str">
        <f>IFERROR(__xludf.DUMMYFUNCTION("GOOGLETRANSLATE(A3819, ""en"", ""te"")"),"స్వాద్ సబుదానా")</f>
        <v>స్వాద్ సబుదానా</v>
      </c>
      <c r="C3819" s="4" t="str">
        <f>IFERROR(__xludf.DUMMYFUNCTION("GOOGLETRANSLATE(A3819, ""en"", ""hi"")"),"स्वाद साबूदाना")</f>
        <v>स्वाद साबूदाना</v>
      </c>
      <c r="D3819" s="5"/>
      <c r="E3819" s="2" t="s">
        <v>2649</v>
      </c>
      <c r="F3819" s="1">
        <v>8.0</v>
      </c>
      <c r="G3819" s="3" t="s">
        <v>7462</v>
      </c>
    </row>
    <row r="3820">
      <c r="A3820" s="3" t="s">
        <v>9388</v>
      </c>
      <c r="B3820" s="4" t="str">
        <f>IFERROR(__xludf.DUMMYFUNCTION("GOOGLETRANSLATE(A3820, ""en"", ""te"")"),"మన్నా ఎత్నిక్ మిల్లెట్స్")</f>
        <v>మన్నా ఎత్నిక్ మిల్లెట్స్</v>
      </c>
      <c r="C3820" s="4" t="str">
        <f>IFERROR(__xludf.DUMMYFUNCTION("GOOGLETRANSLATE(A3820, ""en"", ""hi"")"),"मन्ना एथनिक बाजरा")</f>
        <v>मन्ना एथनिक बाजरा</v>
      </c>
      <c r="D3820" s="2" t="s">
        <v>6942</v>
      </c>
      <c r="E3820" s="2" t="s">
        <v>2649</v>
      </c>
      <c r="F3820" s="1">
        <v>8.0</v>
      </c>
      <c r="G3820" s="3" t="s">
        <v>5428</v>
      </c>
    </row>
    <row r="3821">
      <c r="A3821" s="3" t="s">
        <v>9379</v>
      </c>
      <c r="B3821" s="4" t="str">
        <f>IFERROR(__xludf.DUMMYFUNCTION("GOOGLETRANSLATE(A3821, ""en"", ""te"")"),"ఆరా మసూర్ దల్")</f>
        <v>ఆరా మసూర్ దల్</v>
      </c>
      <c r="C3821" s="4" t="str">
        <f>IFERROR(__xludf.DUMMYFUNCTION("GOOGLETRANSLATE(A3821, ""en"", ""hi"")"),"आरा मसूर दाल")</f>
        <v>आरा मसूर दाल</v>
      </c>
      <c r="D3821" s="5"/>
      <c r="E3821" s="2" t="s">
        <v>1038</v>
      </c>
      <c r="F3821" s="1">
        <v>8.0</v>
      </c>
      <c r="G3821" s="3" t="s">
        <v>5432</v>
      </c>
    </row>
    <row r="3822">
      <c r="A3822" s="3" t="s">
        <v>9389</v>
      </c>
      <c r="B3822" s="4" t="str">
        <f>IFERROR(__xludf.DUMMYFUNCTION("GOOGLETRANSLATE(A3822, ""en"", ""te"")"),"స్వదేశ్ మల్కా మసూర్ దల్")</f>
        <v>స్వదేశ్ మల్కా మసూర్ దల్</v>
      </c>
      <c r="C3822" s="4" t="str">
        <f>IFERROR(__xludf.DUMMYFUNCTION("GOOGLETRANSLATE(A3822, ""en"", ""hi"")"),"स्वदेश मलका मसूर दाल")</f>
        <v>स्वदेश मलका मसूर दाल</v>
      </c>
      <c r="D3822" s="2" t="s">
        <v>7523</v>
      </c>
      <c r="E3822" s="2" t="s">
        <v>1038</v>
      </c>
      <c r="F3822" s="1">
        <v>8.0</v>
      </c>
      <c r="G3822" s="3" t="s">
        <v>5432</v>
      </c>
    </row>
    <row r="3823">
      <c r="A3823" s="3" t="s">
        <v>9390</v>
      </c>
      <c r="B3823" s="4" t="str">
        <f>IFERROR(__xludf.DUMMYFUNCTION("GOOGLETRANSLATE(A3823, ""en"", ""te"")"),"దైవి మసూర్ గోటా")</f>
        <v>దైవి మసూర్ గోటా</v>
      </c>
      <c r="C3823" s="4" t="str">
        <f>IFERROR(__xludf.DUMMYFUNCTION("GOOGLETRANSLATE(A3823, ""en"", ""hi"")"),"दैवी मसूर गोटा")</f>
        <v>दैवी मसूर गोटा</v>
      </c>
      <c r="D3823" s="5"/>
      <c r="E3823" s="2" t="s">
        <v>1038</v>
      </c>
      <c r="F3823" s="1">
        <v>8.0</v>
      </c>
      <c r="G3823" s="3" t="s">
        <v>5432</v>
      </c>
    </row>
    <row r="3824">
      <c r="A3824" s="3" t="s">
        <v>9391</v>
      </c>
      <c r="B3824" s="4" t="str">
        <f>IFERROR(__xludf.DUMMYFUNCTION("GOOGLETRANSLATE(A3824, ""en"", ""te"")"),"లక్ష్మి మూంగ్ దాల్ స్ప్లిట్")</f>
        <v>లక్ష్మి మూంగ్ దాల్ స్ప్లిట్</v>
      </c>
      <c r="C3824" s="4" t="str">
        <f>IFERROR(__xludf.DUMMYFUNCTION("GOOGLETRANSLATE(A3824, ""en"", ""hi"")"),"लक्ष्मी मूंग दाल स्प्लिट")</f>
        <v>लक्ष्मी मूंग दाल स्प्लिट</v>
      </c>
      <c r="D3824" s="5"/>
      <c r="E3824" s="2" t="s">
        <v>1038</v>
      </c>
      <c r="F3824" s="1">
        <v>8.0</v>
      </c>
      <c r="G3824" s="3" t="s">
        <v>5432</v>
      </c>
    </row>
    <row r="3825">
      <c r="A3825" s="3" t="s">
        <v>9392</v>
      </c>
      <c r="B3825" s="4" t="str">
        <f>IFERROR(__xludf.DUMMYFUNCTION("GOOGLETRANSLATE(A3825, ""en"", ""te"")"),"మూంగ్ స్ప్లిట్")</f>
        <v>మూంగ్ స్ప్లిట్</v>
      </c>
      <c r="C3825" s="4" t="str">
        <f>IFERROR(__xludf.DUMMYFUNCTION("GOOGLETRANSLATE(A3825, ""en"", ""hi"")"),"मूंग स्प्लिट")</f>
        <v>मूंग स्प्लिट</v>
      </c>
      <c r="D3825" s="5"/>
      <c r="E3825" s="2" t="s">
        <v>1038</v>
      </c>
      <c r="F3825" s="1">
        <v>8.0</v>
      </c>
      <c r="G3825" s="3" t="s">
        <v>5432</v>
      </c>
    </row>
    <row r="3826">
      <c r="A3826" s="3" t="s">
        <v>9383</v>
      </c>
      <c r="B3826" s="4" t="str">
        <f>IFERROR(__xludf.DUMMYFUNCTION("GOOGLETRANSLATE(A3826, ""en"", ""te"")"),"బాన్సీ పచ్చి కాయధాన్యాలు")</f>
        <v>బాన్సీ పచ్చి కాయధాన్యాలు</v>
      </c>
      <c r="C3826" s="4" t="str">
        <f>IFERROR(__xludf.DUMMYFUNCTION("GOOGLETRANSLATE(A3826, ""en"", ""hi"")"),"बंसी हरी मसूर")</f>
        <v>बंसी हरी मसूर</v>
      </c>
      <c r="D3826" s="5"/>
      <c r="E3826" s="2" t="s">
        <v>1038</v>
      </c>
      <c r="F3826" s="1">
        <v>8.0</v>
      </c>
      <c r="G3826" s="3" t="s">
        <v>5445</v>
      </c>
    </row>
    <row r="3827">
      <c r="A3827" s="3" t="s">
        <v>9384</v>
      </c>
      <c r="B3827" s="4" t="str">
        <f>IFERROR(__xludf.DUMMYFUNCTION("GOOGLETRANSLATE(A3827, ""en"", ""te"")"),"స్వాద్ కిడ్నీ బీన్స్")</f>
        <v>స్వాద్ కిడ్నీ బీన్స్</v>
      </c>
      <c r="C3827" s="4" t="str">
        <f>IFERROR(__xludf.DUMMYFUNCTION("GOOGLETRANSLATE(A3827, ""en"", ""hi"")"),"स्वाद राजमा")</f>
        <v>स्वाद राजमा</v>
      </c>
      <c r="D3827" s="2" t="s">
        <v>8524</v>
      </c>
      <c r="E3827" s="2" t="s">
        <v>1038</v>
      </c>
      <c r="F3827" s="1">
        <v>8.0</v>
      </c>
      <c r="G3827" s="3" t="s">
        <v>5445</v>
      </c>
    </row>
    <row r="3828">
      <c r="A3828" s="3" t="s">
        <v>9393</v>
      </c>
      <c r="B3828" s="4" t="str">
        <f>IFERROR(__xludf.DUMMYFUNCTION("GOOGLETRANSLATE(A3828, ""en"", ""te"")"),"లేత ఎరుపు రంగు కిడ్నీ బీన్స్")</f>
        <v>లేత ఎరుపు రంగు కిడ్నీ బీన్స్</v>
      </c>
      <c r="C3828" s="4" t="str">
        <f>IFERROR(__xludf.DUMMYFUNCTION("GOOGLETRANSLATE(A3828, ""en"", ""hi"")"),"हल्के लाल राजमा")</f>
        <v>हल्के लाल राजमा</v>
      </c>
      <c r="D3828" s="2" t="s">
        <v>8524</v>
      </c>
      <c r="E3828" s="2" t="s">
        <v>1038</v>
      </c>
      <c r="F3828" s="1">
        <v>8.0</v>
      </c>
      <c r="G3828" s="3" t="s">
        <v>5445</v>
      </c>
    </row>
    <row r="3829">
      <c r="A3829" s="3" t="s">
        <v>9385</v>
      </c>
      <c r="B3829" s="4" t="str">
        <f>IFERROR(__xludf.DUMMYFUNCTION("GOOGLETRANSLATE(A3829, ""en"", ""te"")"),"లక్ష్మి బ్లాక్ ఐడ్ పీస్")</f>
        <v>లక్ష్మి బ్లాక్ ఐడ్ పీస్</v>
      </c>
      <c r="C3829" s="4" t="str">
        <f>IFERROR(__xludf.DUMMYFUNCTION("GOOGLETRANSLATE(A3829, ""en"", ""hi"")"),"लक्ष्मी ब्लैक आइड पीज़")</f>
        <v>लक्ष्मी ब्लैक आइड पीज़</v>
      </c>
      <c r="D3829" s="2" t="s">
        <v>8524</v>
      </c>
      <c r="E3829" s="2" t="s">
        <v>1038</v>
      </c>
      <c r="F3829" s="1">
        <v>8.0</v>
      </c>
      <c r="G3829" s="3" t="s">
        <v>7521</v>
      </c>
    </row>
    <row r="3830">
      <c r="A3830" s="3" t="s">
        <v>9386</v>
      </c>
      <c r="B3830" s="4" t="str">
        <f>IFERROR(__xludf.DUMMYFUNCTION("GOOGLETRANSLATE(A3830, ""en"", ""te"")"),"స్వాద్ రెడ్ బీన్స్")</f>
        <v>స్వాద్ రెడ్ బీన్స్</v>
      </c>
      <c r="C3830" s="4" t="str">
        <f>IFERROR(__xludf.DUMMYFUNCTION("GOOGLETRANSLATE(A3830, ""en"", ""hi"")"),"स्वाद लाल सेम")</f>
        <v>स्वाद लाल सेम</v>
      </c>
      <c r="D3830" s="2" t="s">
        <v>8524</v>
      </c>
      <c r="E3830" s="2" t="s">
        <v>1038</v>
      </c>
      <c r="F3830" s="1">
        <v>8.0</v>
      </c>
      <c r="G3830" s="3" t="s">
        <v>7521</v>
      </c>
    </row>
    <row r="3831">
      <c r="A3831" s="3" t="s">
        <v>9387</v>
      </c>
      <c r="B3831" s="4" t="str">
        <f>IFERROR(__xludf.DUMMYFUNCTION("GOOGLETRANSLATE(A3831, ""en"", ""te"")"),"స్వాద్ సబుదానా")</f>
        <v>స్వాద్ సబుదానా</v>
      </c>
      <c r="C3831" s="4" t="str">
        <f>IFERROR(__xludf.DUMMYFUNCTION("GOOGLETRANSLATE(A3831, ""en"", ""hi"")"),"स्वाद साबूदाना")</f>
        <v>स्वाद साबूदाना</v>
      </c>
      <c r="D3831" s="5"/>
      <c r="E3831" s="2" t="s">
        <v>2649</v>
      </c>
      <c r="F3831" s="1">
        <v>8.0</v>
      </c>
      <c r="G3831" s="3" t="s">
        <v>7521</v>
      </c>
    </row>
    <row r="3832">
      <c r="A3832" s="3" t="s">
        <v>9394</v>
      </c>
      <c r="B3832" s="4" t="str">
        <f>IFERROR(__xludf.DUMMYFUNCTION("GOOGLETRANSLATE(A3832, ""en"", ""te"")"),"ఉపవాస్ సబుదానా")</f>
        <v>ఉపవాస్ సబుదానా</v>
      </c>
      <c r="C3832" s="4" t="str">
        <f>IFERROR(__xludf.DUMMYFUNCTION("GOOGLETRANSLATE(A3832, ""en"", ""hi"")"),"उपवास साबूदाना")</f>
        <v>उपवास साबूदाना</v>
      </c>
      <c r="D3832" s="5"/>
      <c r="E3832" s="2" t="s">
        <v>9</v>
      </c>
      <c r="F3832" s="1">
        <v>8.0</v>
      </c>
      <c r="G3832" s="3" t="s">
        <v>7521</v>
      </c>
    </row>
    <row r="3833">
      <c r="A3833" s="3" t="s">
        <v>9395</v>
      </c>
      <c r="B3833" s="4" t="str">
        <f>IFERROR(__xludf.DUMMYFUNCTION("GOOGLETRANSLATE(A3833, ""en"", ""te"")"),"లక్ష్మి సగ్గుబియ్యం")</f>
        <v>లక్ష్మి సగ్గుబియ్యం</v>
      </c>
      <c r="C3833" s="4" t="str">
        <f>IFERROR(__xludf.DUMMYFUNCTION("GOOGLETRANSLATE(A3833, ""en"", ""hi"")"),"लक्ष्मी साबूदाना")</f>
        <v>लक्ष्मी साबूदाना</v>
      </c>
      <c r="D3833" s="5"/>
      <c r="E3833" s="2" t="s">
        <v>9</v>
      </c>
      <c r="F3833" s="1">
        <v>8.0</v>
      </c>
      <c r="G3833" s="3" t="s">
        <v>7521</v>
      </c>
    </row>
    <row r="3834">
      <c r="A3834" s="3" t="s">
        <v>4224</v>
      </c>
      <c r="B3834" s="4" t="str">
        <f>IFERROR(__xludf.DUMMYFUNCTION("GOOGLETRANSLATE(A3834, ""en"", ""te"")"),"లక్ష్మి మూంగ్ దాల్")</f>
        <v>లక్ష్మి మూంగ్ దాల్</v>
      </c>
      <c r="C3834" s="4" t="str">
        <f>IFERROR(__xludf.DUMMYFUNCTION("GOOGLETRANSLATE(A3834, ""en"", ""hi"")"),"लक्ष्मी मूंग दाल")</f>
        <v>लक्ष्मी मूंग दाल</v>
      </c>
      <c r="D3834" s="5"/>
      <c r="E3834" s="2" t="s">
        <v>1038</v>
      </c>
      <c r="F3834" s="1">
        <v>8.0</v>
      </c>
      <c r="G3834" s="3" t="s">
        <v>5432</v>
      </c>
    </row>
    <row r="3835">
      <c r="A3835" s="3" t="s">
        <v>9396</v>
      </c>
      <c r="B3835" s="4" t="str">
        <f>IFERROR(__xludf.DUMMYFUNCTION("GOOGLETRANSLATE(A3835, ""en"", ""te"")"),"వాద్ మూంగ్ స్ప్లిట్")</f>
        <v>వాద్ మూంగ్ స్ప్లిట్</v>
      </c>
      <c r="C3835" s="4" t="str">
        <f>IFERROR(__xludf.DUMMYFUNCTION("GOOGLETRANSLATE(A3835, ""en"", ""hi"")"),"वड मूंग स्प्लिट")</f>
        <v>वड मूंग स्प्लिट</v>
      </c>
      <c r="D3835" s="5"/>
      <c r="E3835" s="2" t="s">
        <v>1038</v>
      </c>
      <c r="F3835" s="1">
        <v>8.0</v>
      </c>
      <c r="G3835" s="3" t="s">
        <v>5432</v>
      </c>
    </row>
    <row r="3836">
      <c r="A3836" s="3" t="s">
        <v>6331</v>
      </c>
      <c r="B3836" s="4" t="str">
        <f>IFERROR(__xludf.DUMMYFUNCTION("GOOGLETRANSLATE(A3836, ""en"", ""te"")"),"స్వాద్ కాబులి చనా")</f>
        <v>స్వాద్ కాబులి చనా</v>
      </c>
      <c r="C3836" s="4" t="str">
        <f>IFERROR(__xludf.DUMMYFUNCTION("GOOGLETRANSLATE(A3836, ""en"", ""hi"")"),"स्वाद काबुली चना")</f>
        <v>स्वाद काबुली चना</v>
      </c>
      <c r="D3836" s="5"/>
      <c r="E3836" s="2" t="s">
        <v>1038</v>
      </c>
      <c r="F3836" s="1">
        <v>8.0</v>
      </c>
      <c r="G3836" s="3" t="s">
        <v>5432</v>
      </c>
    </row>
    <row r="3837">
      <c r="A3837" s="3" t="s">
        <v>9397</v>
      </c>
      <c r="B3837" s="4" t="str">
        <f>IFERROR(__xludf.DUMMYFUNCTION("GOOGLETRANSLATE(A3837, ""en"", ""te"")"),"లక్ష్మి కాబులి చనా")</f>
        <v>లక్ష్మి కాబులి చనా</v>
      </c>
      <c r="C3837" s="4" t="str">
        <f>IFERROR(__xludf.DUMMYFUNCTION("GOOGLETRANSLATE(A3837, ""en"", ""hi"")"),"लक्ष्मी काबुली चना")</f>
        <v>लक्ष्मी काबुली चना</v>
      </c>
      <c r="D3837" s="2" t="s">
        <v>1036</v>
      </c>
      <c r="E3837" s="2" t="s">
        <v>1038</v>
      </c>
      <c r="F3837" s="1">
        <v>8.0</v>
      </c>
      <c r="G3837" s="3" t="s">
        <v>5432</v>
      </c>
    </row>
    <row r="3838">
      <c r="A3838" s="3" t="s">
        <v>9398</v>
      </c>
      <c r="B3838" s="4" t="str">
        <f>IFERROR(__xludf.DUMMYFUNCTION("GOOGLETRANSLATE(A3838, ""en"", ""te"")"),"లక్ష్మి లేత ఎరుపు కిడ్నీ బీన్స్")</f>
        <v>లక్ష్మి లేత ఎరుపు కిడ్నీ బీన్స్</v>
      </c>
      <c r="C3838" s="4" t="str">
        <f>IFERROR(__xludf.DUMMYFUNCTION("GOOGLETRANSLATE(A3838, ""en"", ""hi"")"),"लक्ष्मी लाइट रेड किडनी बीन्स")</f>
        <v>लक्ष्मी लाइट रेड किडनी बीन्स</v>
      </c>
      <c r="D3838" s="2" t="s">
        <v>8524</v>
      </c>
      <c r="E3838" s="2" t="s">
        <v>1038</v>
      </c>
      <c r="F3838" s="1">
        <v>8.0</v>
      </c>
      <c r="G3838" s="3" t="s">
        <v>5445</v>
      </c>
    </row>
    <row r="3839">
      <c r="A3839" s="3" t="s">
        <v>9399</v>
      </c>
      <c r="B3839" s="4" t="str">
        <f>IFERROR(__xludf.DUMMYFUNCTION("GOOGLETRANSLATE(A3839, ""en"", ""te"")"),"లక్ష్మి కిడ్నీ బీన్స్")</f>
        <v>లక్ష్మి కిడ్నీ బీన్స్</v>
      </c>
      <c r="C3839" s="4" t="str">
        <f>IFERROR(__xludf.DUMMYFUNCTION("GOOGLETRANSLATE(A3839, ""en"", ""hi"")"),"लक्ष्मी राजमा")</f>
        <v>लक्ष्मी राजमा</v>
      </c>
      <c r="D3839" s="2" t="s">
        <v>8524</v>
      </c>
      <c r="E3839" s="2" t="s">
        <v>1038</v>
      </c>
      <c r="F3839" s="1">
        <v>8.0</v>
      </c>
      <c r="G3839" s="3" t="s">
        <v>5445</v>
      </c>
    </row>
    <row r="3840">
      <c r="A3840" s="3" t="s">
        <v>6335</v>
      </c>
      <c r="B3840" s="4" t="str">
        <f>IFERROR(__xludf.DUMMYFUNCTION("GOOGLETRANSLATE(A3840, ""en"", ""te"")"),"స్వాద్ కాలా చనా")</f>
        <v>స్వాద్ కాలా చనా</v>
      </c>
      <c r="C3840" s="4" t="str">
        <f>IFERROR(__xludf.DUMMYFUNCTION("GOOGLETRANSLATE(A3840, ""en"", ""hi"")"),"स्वाद काला चना")</f>
        <v>स्वाद काला चना</v>
      </c>
      <c r="D3840" s="2" t="s">
        <v>1036</v>
      </c>
      <c r="E3840" s="2" t="s">
        <v>1038</v>
      </c>
      <c r="F3840" s="1">
        <v>8.0</v>
      </c>
      <c r="G3840" s="3" t="s">
        <v>5445</v>
      </c>
    </row>
    <row r="3841">
      <c r="A3841" s="3" t="s">
        <v>9400</v>
      </c>
      <c r="B3841" s="4" t="str">
        <f>IFERROR(__xludf.DUMMYFUNCTION("GOOGLETRANSLATE(A3841, ""en"", ""te"")"),"స్వాద్ కిడ్నీ బీన్స్ (చిన్నవి)")</f>
        <v>స్వాద్ కిడ్నీ బీన్స్ (చిన్నవి)</v>
      </c>
      <c r="C3841" s="4" t="str">
        <f>IFERROR(__xludf.DUMMYFUNCTION("GOOGLETRANSLATE(A3841, ""en"", ""hi"")"),"स्वाद राजमा (छोटे आकार के)")</f>
        <v>स्वाद राजमा (छोटे आकार के)</v>
      </c>
      <c r="D3841" s="2" t="s">
        <v>8524</v>
      </c>
      <c r="E3841" s="2" t="s">
        <v>1038</v>
      </c>
      <c r="F3841" s="1">
        <v>8.0</v>
      </c>
      <c r="G3841" s="3" t="s">
        <v>7521</v>
      </c>
    </row>
    <row r="3842">
      <c r="A3842" s="3" t="s">
        <v>9401</v>
      </c>
      <c r="B3842" s="4" t="str">
        <f>IFERROR(__xludf.DUMMYFUNCTION("GOOGLETRANSLATE(A3842, ""en"", ""te"")"),"శ్వేత సబుదానా")</f>
        <v>శ్వేత సబుదానా</v>
      </c>
      <c r="C3842" s="4" t="str">
        <f>IFERROR(__xludf.DUMMYFUNCTION("GOOGLETRANSLATE(A3842, ""en"", ""hi"")"),"श्वेता साबूदाना")</f>
        <v>श्वेता साबूदाना</v>
      </c>
      <c r="D3842" s="5"/>
      <c r="E3842" s="2" t="s">
        <v>2700</v>
      </c>
      <c r="F3842" s="1">
        <v>8.0</v>
      </c>
      <c r="G3842" s="3" t="s">
        <v>7521</v>
      </c>
    </row>
    <row r="3843">
      <c r="A3843" s="3" t="s">
        <v>4182</v>
      </c>
      <c r="B3843" s="4" t="str">
        <f>IFERROR(__xludf.DUMMYFUNCTION("GOOGLETRANSLATE(A3843, ""en"", ""te"")"),"లక్ష్మి కొబ్బరి పొడి")</f>
        <v>లక్ష్మి కొబ్బరి పొడి</v>
      </c>
      <c r="C3843" s="4" t="str">
        <f>IFERROR(__xludf.DUMMYFUNCTION("GOOGLETRANSLATE(A3843, ""en"", ""hi"")"),"लक्ष्मी नारियल पाउडर")</f>
        <v>लक्ष्मी नारियल पाउडर</v>
      </c>
      <c r="D3843" s="2" t="s">
        <v>8560</v>
      </c>
      <c r="E3843" s="2" t="s">
        <v>2700</v>
      </c>
      <c r="F3843" s="1">
        <v>8.0</v>
      </c>
      <c r="G3843" s="3" t="s">
        <v>7521</v>
      </c>
    </row>
    <row r="3844">
      <c r="A3844" s="3" t="s">
        <v>9402</v>
      </c>
      <c r="B3844" s="4" t="str">
        <f>IFERROR(__xludf.DUMMYFUNCTION("GOOGLETRANSLATE(A3844, ""en"", ""te"")"),"శ్వేత కొబ్బరి తురుము")</f>
        <v>శ్వేత కొబ్బరి తురుము</v>
      </c>
      <c r="C3844" s="4" t="str">
        <f>IFERROR(__xludf.DUMMYFUNCTION("GOOGLETRANSLATE(A3844, ""en"", ""hi"")"),"श्वेता नारियल के फ्लेक्स")</f>
        <v>श्वेता नारियल के फ्लेक्स</v>
      </c>
      <c r="D3844" s="2" t="s">
        <v>53</v>
      </c>
      <c r="E3844" s="2" t="s">
        <v>2700</v>
      </c>
      <c r="F3844" s="1">
        <v>8.0</v>
      </c>
      <c r="G3844" s="3" t="s">
        <v>7521</v>
      </c>
    </row>
    <row r="3845">
      <c r="A3845" s="3" t="s">
        <v>8007</v>
      </c>
      <c r="B3845" s="4" t="str">
        <f>IFERROR(__xludf.DUMMYFUNCTION("GOOGLETRANSLATE(A3845, ""en"", ""te"")"),"లక్ష్మి కొబ్బరి ముక్కలు")</f>
        <v>లక్ష్మి కొబ్బరి ముక్కలు</v>
      </c>
      <c r="C3845" s="4" t="str">
        <f>IFERROR(__xludf.DUMMYFUNCTION("GOOGLETRANSLATE(A3845, ""en"", ""hi"")"),"लक्ष्मी नारियल के टुकड़े")</f>
        <v>लक्ष्मी नारियल के टुकड़े</v>
      </c>
      <c r="D3845" s="2" t="s">
        <v>53</v>
      </c>
      <c r="E3845" s="2" t="s">
        <v>2700</v>
      </c>
      <c r="F3845" s="1">
        <v>8.0</v>
      </c>
      <c r="G3845" s="3" t="s">
        <v>7521</v>
      </c>
    </row>
    <row r="3846">
      <c r="A3846" s="3" t="s">
        <v>9392</v>
      </c>
      <c r="B3846" s="4" t="str">
        <f>IFERROR(__xludf.DUMMYFUNCTION("GOOGLETRANSLATE(A3846, ""en"", ""te"")"),"మూంగ్ స్ప్లిట్")</f>
        <v>మూంగ్ స్ప్లిట్</v>
      </c>
      <c r="C3846" s="4" t="str">
        <f>IFERROR(__xludf.DUMMYFUNCTION("GOOGLETRANSLATE(A3846, ""en"", ""hi"")"),"मूंग स्प्लिट")</f>
        <v>मूंग स्प्लिट</v>
      </c>
      <c r="D3846" s="5"/>
      <c r="E3846" s="2" t="s">
        <v>1038</v>
      </c>
      <c r="F3846" s="1">
        <v>8.0</v>
      </c>
      <c r="G3846" s="3" t="s">
        <v>2269</v>
      </c>
    </row>
    <row r="3847">
      <c r="A3847" s="3" t="s">
        <v>6331</v>
      </c>
      <c r="B3847" s="4" t="str">
        <f>IFERROR(__xludf.DUMMYFUNCTION("GOOGLETRANSLATE(A3847, ""en"", ""te"")"),"స్వాద్ కాబులి చనా")</f>
        <v>స్వాద్ కాబులి చనా</v>
      </c>
      <c r="C3847" s="4" t="str">
        <f>IFERROR(__xludf.DUMMYFUNCTION("GOOGLETRANSLATE(A3847, ""en"", ""hi"")"),"स्वाद काबुली चना")</f>
        <v>स्वाद काबुली चना</v>
      </c>
      <c r="D3847" s="5"/>
      <c r="E3847" s="2" t="s">
        <v>1038</v>
      </c>
      <c r="F3847" s="1">
        <v>8.0</v>
      </c>
      <c r="G3847" s="3" t="s">
        <v>2269</v>
      </c>
    </row>
    <row r="3848">
      <c r="A3848" s="3" t="s">
        <v>9397</v>
      </c>
      <c r="B3848" s="4" t="str">
        <f>IFERROR(__xludf.DUMMYFUNCTION("GOOGLETRANSLATE(A3848, ""en"", ""te"")"),"లక్ష్మి కాబులి చనా")</f>
        <v>లక్ష్మి కాబులి చనా</v>
      </c>
      <c r="C3848" s="4" t="str">
        <f>IFERROR(__xludf.DUMMYFUNCTION("GOOGLETRANSLATE(A3848, ""en"", ""hi"")"),"लक्ष्मी काबुली चना")</f>
        <v>लक्ष्मी काबुली चना</v>
      </c>
      <c r="D3848" s="2" t="s">
        <v>1036</v>
      </c>
      <c r="E3848" s="2" t="s">
        <v>1038</v>
      </c>
      <c r="F3848" s="1">
        <v>8.0</v>
      </c>
      <c r="G3848" s="3" t="s">
        <v>2269</v>
      </c>
    </row>
    <row r="3849">
      <c r="A3849" s="3" t="s">
        <v>9403</v>
      </c>
      <c r="B3849" s="4" t="str">
        <f>IFERROR(__xludf.DUMMYFUNCTION("GOOGLETRANSLATE(A3849, ""en"", ""te"")"),"ఆరా కాబులి చనా")</f>
        <v>ఆరా కాబులి చనా</v>
      </c>
      <c r="C3849" s="4" t="str">
        <f>IFERROR(__xludf.DUMMYFUNCTION("GOOGLETRANSLATE(A3849, ""en"", ""hi"")"),"आरा काबुली चना")</f>
        <v>आरा काबुली चना</v>
      </c>
      <c r="D3849" s="2" t="s">
        <v>3861</v>
      </c>
      <c r="E3849" s="2" t="s">
        <v>1038</v>
      </c>
      <c r="F3849" s="1">
        <v>8.0</v>
      </c>
      <c r="G3849" s="3" t="s">
        <v>2269</v>
      </c>
    </row>
    <row r="3850">
      <c r="A3850" s="3" t="s">
        <v>9398</v>
      </c>
      <c r="B3850" s="4" t="str">
        <f>IFERROR(__xludf.DUMMYFUNCTION("GOOGLETRANSLATE(A3850, ""en"", ""te"")"),"లక్ష్మి లేత ఎరుపు కిడ్నీ బీన్స్")</f>
        <v>లక్ష్మి లేత ఎరుపు కిడ్నీ బీన్స్</v>
      </c>
      <c r="C3850" s="4" t="str">
        <f>IFERROR(__xludf.DUMMYFUNCTION("GOOGLETRANSLATE(A3850, ""en"", ""hi"")"),"लक्ष्मी लाइट रेड किडनी बीन्स")</f>
        <v>लक्ष्मी लाइट रेड किडनी बीन्स</v>
      </c>
      <c r="D3850" s="2" t="s">
        <v>8524</v>
      </c>
      <c r="E3850" s="2" t="s">
        <v>1038</v>
      </c>
      <c r="F3850" s="1">
        <v>8.0</v>
      </c>
      <c r="G3850" s="3" t="s">
        <v>8276</v>
      </c>
    </row>
    <row r="3851">
      <c r="A3851" s="3" t="s">
        <v>5677</v>
      </c>
      <c r="B3851" s="4" t="str">
        <f>IFERROR(__xludf.DUMMYFUNCTION("GOOGLETRANSLATE(A3851, ""en"", ""te"")"),"ఎర్ర కిడ్నీ బీన్స్")</f>
        <v>ఎర్ర కిడ్నీ బీన్స్</v>
      </c>
      <c r="C3851" s="4" t="str">
        <f>IFERROR(__xludf.DUMMYFUNCTION("GOOGLETRANSLATE(A3851, ""en"", ""hi"")"),"लाल राजमा")</f>
        <v>लाल राजमा</v>
      </c>
      <c r="D3851" s="2" t="s">
        <v>8524</v>
      </c>
      <c r="E3851" s="2" t="s">
        <v>1038</v>
      </c>
      <c r="F3851" s="1">
        <v>8.0</v>
      </c>
      <c r="G3851" s="3" t="s">
        <v>8276</v>
      </c>
    </row>
    <row r="3852">
      <c r="A3852" s="3" t="s">
        <v>6335</v>
      </c>
      <c r="B3852" s="4" t="str">
        <f>IFERROR(__xludf.DUMMYFUNCTION("GOOGLETRANSLATE(A3852, ""en"", ""te"")"),"స్వాద్ కాలా చనా")</f>
        <v>స్వాద్ కాలా చనా</v>
      </c>
      <c r="C3852" s="4" t="str">
        <f>IFERROR(__xludf.DUMMYFUNCTION("GOOGLETRANSLATE(A3852, ""en"", ""hi"")"),"स्वाद काला चना")</f>
        <v>स्वाद काला चना</v>
      </c>
      <c r="D3852" s="2" t="s">
        <v>1036</v>
      </c>
      <c r="E3852" s="2" t="s">
        <v>1038</v>
      </c>
      <c r="F3852" s="1">
        <v>8.0</v>
      </c>
      <c r="G3852" s="3" t="s">
        <v>8276</v>
      </c>
    </row>
    <row r="3853">
      <c r="A3853" s="3" t="s">
        <v>9404</v>
      </c>
      <c r="B3853" s="4" t="str">
        <f>IFERROR(__xludf.DUMMYFUNCTION("GOOGLETRANSLATE(A3853, ""en"", ""te"")"),"లక్ష్మి కాలా చనా")</f>
        <v>లక్ష్మి కాలా చనా</v>
      </c>
      <c r="C3853" s="4" t="str">
        <f>IFERROR(__xludf.DUMMYFUNCTION("GOOGLETRANSLATE(A3853, ""en"", ""hi"")"),"लक्ष्मी काला चना")</f>
        <v>लक्ष्मी काला चना</v>
      </c>
      <c r="D3853" s="2" t="s">
        <v>1036</v>
      </c>
      <c r="E3853" s="2" t="s">
        <v>1038</v>
      </c>
      <c r="F3853" s="1">
        <v>8.0</v>
      </c>
      <c r="G3853" s="3" t="s">
        <v>8276</v>
      </c>
    </row>
    <row r="3854">
      <c r="A3854" s="3" t="s">
        <v>9394</v>
      </c>
      <c r="B3854" s="4" t="str">
        <f>IFERROR(__xludf.DUMMYFUNCTION("GOOGLETRANSLATE(A3854, ""en"", ""te"")"),"ఉపవాస్ సబుదానా")</f>
        <v>ఉపవాస్ సబుదానా</v>
      </c>
      <c r="C3854" s="4" t="str">
        <f>IFERROR(__xludf.DUMMYFUNCTION("GOOGLETRANSLATE(A3854, ""en"", ""hi"")"),"उपवास साबूदाना")</f>
        <v>उपवास साबूदाना</v>
      </c>
      <c r="D3854" s="5"/>
      <c r="E3854" s="2" t="s">
        <v>9</v>
      </c>
      <c r="F3854" s="1">
        <v>8.0</v>
      </c>
      <c r="G3854" s="3" t="s">
        <v>5421</v>
      </c>
    </row>
    <row r="3855">
      <c r="A3855" s="3" t="s">
        <v>4182</v>
      </c>
      <c r="B3855" s="4" t="str">
        <f>IFERROR(__xludf.DUMMYFUNCTION("GOOGLETRANSLATE(A3855, ""en"", ""te"")"),"లక్ష్మి కొబ్బరి పొడి")</f>
        <v>లక్ష్మి కొబ్బరి పొడి</v>
      </c>
      <c r="C3855" s="4" t="str">
        <f>IFERROR(__xludf.DUMMYFUNCTION("GOOGLETRANSLATE(A3855, ""en"", ""hi"")"),"लक्ष्मी नारियल पाउडर")</f>
        <v>लक्ष्मी नारियल पाउडर</v>
      </c>
      <c r="D3855" s="2" t="s">
        <v>8560</v>
      </c>
      <c r="E3855" s="2" t="s">
        <v>2700</v>
      </c>
      <c r="F3855" s="1">
        <v>8.0</v>
      </c>
      <c r="G3855" s="3" t="s">
        <v>5421</v>
      </c>
    </row>
    <row r="3856">
      <c r="A3856" s="3" t="s">
        <v>8007</v>
      </c>
      <c r="B3856" s="4" t="str">
        <f>IFERROR(__xludf.DUMMYFUNCTION("GOOGLETRANSLATE(A3856, ""en"", ""te"")"),"లక్ష్మి కొబ్బరి ముక్కలు")</f>
        <v>లక్ష్మి కొబ్బరి ముక్కలు</v>
      </c>
      <c r="C3856" s="4" t="str">
        <f>IFERROR(__xludf.DUMMYFUNCTION("GOOGLETRANSLATE(A3856, ""en"", ""hi"")"),"लक्ष्मी नारियल के टुकड़े")</f>
        <v>लक्ष्मी नारियल के टुकड़े</v>
      </c>
      <c r="D3856" s="2" t="s">
        <v>53</v>
      </c>
      <c r="E3856" s="2" t="s">
        <v>2700</v>
      </c>
      <c r="F3856" s="1">
        <v>8.0</v>
      </c>
      <c r="G3856" s="3" t="s">
        <v>5421</v>
      </c>
    </row>
    <row r="3857">
      <c r="A3857" s="3" t="s">
        <v>9405</v>
      </c>
      <c r="B3857" s="4" t="str">
        <f>IFERROR(__xludf.DUMMYFUNCTION("GOOGLETRANSLATE(A3857, ""en"", ""te"")"),"తెలుగు ఎండు కొబ్బరి తురుము")</f>
        <v>తెలుగు ఎండు కొబ్బరి తురుము</v>
      </c>
      <c r="C3857" s="4" t="str">
        <f>IFERROR(__xludf.DUMMYFUNCTION("GOOGLETRANSLATE(A3857, ""en"", ""hi"")"),"तेलुगु सूखे नारियल के फ्लेक्स")</f>
        <v>तेलुगु सूखे नारियल के फ्लेक्स</v>
      </c>
      <c r="D3857" s="2" t="s">
        <v>53</v>
      </c>
      <c r="E3857" s="2" t="s">
        <v>2700</v>
      </c>
      <c r="F3857" s="1">
        <v>8.0</v>
      </c>
      <c r="G3857" s="3" t="s">
        <v>5421</v>
      </c>
    </row>
    <row r="3858">
      <c r="A3858" s="3" t="s">
        <v>9406</v>
      </c>
      <c r="B3858" s="4" t="str">
        <f>IFERROR(__xludf.DUMMYFUNCTION("GOOGLETRANSLATE(A3858, ""en"", ""te"")"),"తెలుగు ఎండు కొబ్బరి పొడి")</f>
        <v>తెలుగు ఎండు కొబ్బరి పొడి</v>
      </c>
      <c r="C3858" s="4" t="str">
        <f>IFERROR(__xludf.DUMMYFUNCTION("GOOGLETRANSLATE(A3858, ""en"", ""hi"")"),"तेलुगु सूखा नारियल पाउडर")</f>
        <v>तेलुगु सूखा नारियल पाउडर</v>
      </c>
      <c r="D3858" s="2" t="s">
        <v>8560</v>
      </c>
      <c r="E3858" s="2" t="s">
        <v>2700</v>
      </c>
      <c r="F3858" s="1">
        <v>8.0</v>
      </c>
      <c r="G3858" s="3" t="s">
        <v>5421</v>
      </c>
    </row>
    <row r="3859">
      <c r="A3859" s="3" t="s">
        <v>9407</v>
      </c>
      <c r="B3859" s="4" t="str">
        <f>IFERROR(__xludf.DUMMYFUNCTION("GOOGLETRANSLATE(A3859, ""en"", ""te"")"),"సుబుదన")</f>
        <v>సుబుదన</v>
      </c>
      <c r="C3859" s="4" t="str">
        <f>IFERROR(__xludf.DUMMYFUNCTION("GOOGLETRANSLATE(A3859, ""en"", ""hi"")"),"सुबुदाना")</f>
        <v>सुबुदाना</v>
      </c>
      <c r="D3859" s="5"/>
      <c r="E3859" s="2" t="s">
        <v>2649</v>
      </c>
      <c r="F3859" s="1">
        <v>8.0</v>
      </c>
      <c r="G3859" s="3" t="s">
        <v>2241</v>
      </c>
    </row>
    <row r="3860">
      <c r="A3860" s="3" t="s">
        <v>3885</v>
      </c>
      <c r="B3860" s="4" t="str">
        <f>IFERROR(__xludf.DUMMYFUNCTION("GOOGLETRANSLATE(A3860, ""en"", ""te"")"),"కాబులి శనగలు")</f>
        <v>కాబులి శనగలు</v>
      </c>
      <c r="C3860" s="4" t="str">
        <f>IFERROR(__xludf.DUMMYFUNCTION("GOOGLETRANSLATE(A3860, ""en"", ""hi"")"),"काबुली चना")</f>
        <v>काबुली चना</v>
      </c>
      <c r="D3860" s="2" t="s">
        <v>3861</v>
      </c>
      <c r="E3860" s="2" t="s">
        <v>1038</v>
      </c>
      <c r="F3860" s="1">
        <v>8.0</v>
      </c>
      <c r="G3860" s="3" t="s">
        <v>2241</v>
      </c>
    </row>
    <row r="3861">
      <c r="A3861" s="3" t="s">
        <v>3885</v>
      </c>
      <c r="B3861" s="4" t="str">
        <f>IFERROR(__xludf.DUMMYFUNCTION("GOOGLETRANSLATE(A3861, ""en"", ""te"")"),"కాబులి శనగలు")</f>
        <v>కాబులి శనగలు</v>
      </c>
      <c r="C3861" s="4" t="str">
        <f>IFERROR(__xludf.DUMMYFUNCTION("GOOGLETRANSLATE(A3861, ""en"", ""hi"")"),"काबुली चना")</f>
        <v>काबुली चना</v>
      </c>
      <c r="D3861" s="2" t="s">
        <v>3861</v>
      </c>
      <c r="E3861" s="2" t="s">
        <v>1038</v>
      </c>
      <c r="F3861" s="1">
        <v>8.0</v>
      </c>
      <c r="G3861" s="3" t="s">
        <v>2269</v>
      </c>
    </row>
    <row r="3862">
      <c r="A3862" s="3" t="s">
        <v>9408</v>
      </c>
      <c r="B3862" s="4" t="str">
        <f>IFERROR(__xludf.DUMMYFUNCTION("GOOGLETRANSLATE(A3862, ""en"", ""te"")"),"దైవి కాబులి చనా")</f>
        <v>దైవి కాబులి చనా</v>
      </c>
      <c r="C3862" s="4" t="str">
        <f>IFERROR(__xludf.DUMMYFUNCTION("GOOGLETRANSLATE(A3862, ""en"", ""hi"")"),"दैवी काबुली चना")</f>
        <v>दैवी काबुली चना</v>
      </c>
      <c r="D3862" s="2" t="s">
        <v>1036</v>
      </c>
      <c r="E3862" s="2" t="s">
        <v>1038</v>
      </c>
      <c r="F3862" s="1">
        <v>8.0</v>
      </c>
      <c r="G3862" s="3" t="s">
        <v>2269</v>
      </c>
    </row>
    <row r="3863">
      <c r="A3863" s="3" t="s">
        <v>9409</v>
      </c>
      <c r="B3863" s="4" t="str">
        <f>IFERROR(__xludf.DUMMYFUNCTION("GOOGLETRANSLATE(A3863, ""en"", ""te"")"),"స్వాద్ రెడ్ కిడ్నీ బీన్స్")</f>
        <v>స్వాద్ రెడ్ కిడ్నీ బీన్స్</v>
      </c>
      <c r="C3863" s="4" t="str">
        <f>IFERROR(__xludf.DUMMYFUNCTION("GOOGLETRANSLATE(A3863, ""en"", ""hi"")"),"स्वाद लाल राजमा")</f>
        <v>स्वाद लाल राजमा</v>
      </c>
      <c r="D3863" s="2" t="s">
        <v>8524</v>
      </c>
      <c r="E3863" s="2" t="s">
        <v>1038</v>
      </c>
      <c r="F3863" s="1">
        <v>8.0</v>
      </c>
      <c r="G3863" s="3" t="s">
        <v>8276</v>
      </c>
    </row>
    <row r="3864">
      <c r="A3864" s="3" t="s">
        <v>9410</v>
      </c>
      <c r="B3864" s="4" t="str">
        <f>IFERROR(__xludf.DUMMYFUNCTION("GOOGLETRANSLATE(A3864, ""en"", ""te"")"),"ఆరా గ్రీన్ చనా")</f>
        <v>ఆరా గ్రీన్ చనా</v>
      </c>
      <c r="C3864" s="4" t="str">
        <f>IFERROR(__xludf.DUMMYFUNCTION("GOOGLETRANSLATE(A3864, ""en"", ""hi"")"),"आरा ग्रीन चना")</f>
        <v>आरा ग्रीन चना</v>
      </c>
      <c r="D3864" s="2" t="s">
        <v>1036</v>
      </c>
      <c r="E3864" s="2" t="s">
        <v>1038</v>
      </c>
      <c r="F3864" s="1">
        <v>8.0</v>
      </c>
      <c r="G3864" s="3" t="s">
        <v>8276</v>
      </c>
    </row>
    <row r="3865">
      <c r="A3865" s="3" t="s">
        <v>6323</v>
      </c>
      <c r="B3865" s="4" t="str">
        <f>IFERROR(__xludf.DUMMYFUNCTION("GOOGLETRANSLATE(A3865, ""en"", ""te"")"),"స్వాద్ గ్రీన్ చనా")</f>
        <v>స్వాద్ గ్రీన్ చనా</v>
      </c>
      <c r="C3865" s="4" t="str">
        <f>IFERROR(__xludf.DUMMYFUNCTION("GOOGLETRANSLATE(A3865, ""en"", ""hi"")"),"स्वाद ग्रीन चना")</f>
        <v>स्वाद ग्रीन चना</v>
      </c>
      <c r="D3865" s="2" t="s">
        <v>1036</v>
      </c>
      <c r="E3865" s="2" t="s">
        <v>1038</v>
      </c>
      <c r="F3865" s="1">
        <v>8.0</v>
      </c>
      <c r="G3865" s="3" t="s">
        <v>8276</v>
      </c>
    </row>
    <row r="3866">
      <c r="A3866" s="3" t="s">
        <v>9411</v>
      </c>
      <c r="B3866" s="4" t="str">
        <f>IFERROR(__xludf.DUMMYFUNCTION("GOOGLETRANSLATE(A3866, ""en"", ""te"")"),"శ్వేత తెలుగు కొబ్బరి తురుము")</f>
        <v>శ్వేత తెలుగు కొబ్బరి తురుము</v>
      </c>
      <c r="C3866" s="4" t="str">
        <f>IFERROR(__xludf.DUMMYFUNCTION("GOOGLETRANSLATE(A3866, ""en"", ""hi"")"),"श्वेता तेलुगु नारियल के फ्लेक्स")</f>
        <v>श्वेता तेलुगु नारियल के फ्लेक्स</v>
      </c>
      <c r="D3866" s="2" t="s">
        <v>53</v>
      </c>
      <c r="E3866" s="2" t="s">
        <v>2700</v>
      </c>
      <c r="F3866" s="1">
        <v>8.0</v>
      </c>
      <c r="G3866" s="3" t="s">
        <v>5421</v>
      </c>
    </row>
    <row r="3867">
      <c r="A3867" s="3" t="s">
        <v>9412</v>
      </c>
      <c r="B3867" s="4" t="str">
        <f>IFERROR(__xludf.DUMMYFUNCTION("GOOGLETRANSLATE(A3867, ""en"", ""te"")"),"శ్వేత తెలుగు కొబ్బరి పొడి")</f>
        <v>శ్వేత తెలుగు కొబ్బరి పొడి</v>
      </c>
      <c r="C3867" s="4" t="str">
        <f>IFERROR(__xludf.DUMMYFUNCTION("GOOGLETRANSLATE(A3867, ""en"", ""hi"")"),"श्वेता तेलुगु नारियल पाउडर")</f>
        <v>श्वेता तेलुगु नारियल पाउडर</v>
      </c>
      <c r="D3867" s="2" t="s">
        <v>8560</v>
      </c>
      <c r="E3867" s="2" t="s">
        <v>2700</v>
      </c>
      <c r="F3867" s="1">
        <v>8.0</v>
      </c>
      <c r="G3867" s="3" t="s">
        <v>5421</v>
      </c>
    </row>
    <row r="3868">
      <c r="A3868" s="3" t="s">
        <v>9413</v>
      </c>
      <c r="B3868" s="4" t="str">
        <f>IFERROR(__xludf.DUMMYFUNCTION("GOOGLETRANSLATE(A3868, ""en"", ""te"")"),"ఆరా కొబ్బరి పొడి")</f>
        <v>ఆరా కొబ్బరి పొడి</v>
      </c>
      <c r="C3868" s="4" t="str">
        <f>IFERROR(__xludf.DUMMYFUNCTION("GOOGLETRANSLATE(A3868, ""en"", ""hi"")"),"आरा नारियल पाउडर")</f>
        <v>आरा नारियल पाउडर</v>
      </c>
      <c r="D3868" s="2" t="s">
        <v>8560</v>
      </c>
      <c r="E3868" s="2" t="s">
        <v>2700</v>
      </c>
      <c r="F3868" s="1">
        <v>8.0</v>
      </c>
      <c r="G3868" s="3" t="s">
        <v>5421</v>
      </c>
    </row>
    <row r="3869">
      <c r="A3869" s="3" t="s">
        <v>3909</v>
      </c>
      <c r="B3869" s="4" t="str">
        <f>IFERROR(__xludf.DUMMYFUNCTION("GOOGLETRANSLATE(A3869, ""en"", ""te"")"),"కాలా చనా")</f>
        <v>కాలా చనా</v>
      </c>
      <c r="C3869" s="4" t="str">
        <f>IFERROR(__xludf.DUMMYFUNCTION("GOOGLETRANSLATE(A3869, ""en"", ""hi"")"),"काला चना")</f>
        <v>काला चना</v>
      </c>
      <c r="D3869" s="2" t="s">
        <v>1036</v>
      </c>
      <c r="E3869" s="2" t="s">
        <v>1038</v>
      </c>
      <c r="F3869" s="1">
        <v>8.0</v>
      </c>
      <c r="G3869" s="3" t="s">
        <v>8276</v>
      </c>
    </row>
    <row r="3870">
      <c r="A3870" s="3" t="s">
        <v>9414</v>
      </c>
      <c r="B3870" s="4" t="str">
        <f>IFERROR(__xludf.DUMMYFUNCTION("GOOGLETRANSLATE(A3870, ""en"", ""te"")"),"ఆనంద్ కోడో మిల్లెట్")</f>
        <v>ఆనంద్ కోడో మిల్లెట్</v>
      </c>
      <c r="C3870" s="4" t="str">
        <f>IFERROR(__xludf.DUMMYFUNCTION("GOOGLETRANSLATE(A3870, ""en"", ""hi"")"),"आनंद कोडो बाजरा")</f>
        <v>आनंद कोडो बाजरा</v>
      </c>
      <c r="D3870" s="2" t="s">
        <v>6942</v>
      </c>
      <c r="E3870" s="2" t="s">
        <v>2649</v>
      </c>
      <c r="F3870" s="1">
        <v>8.0</v>
      </c>
      <c r="G3870" s="3" t="s">
        <v>5425</v>
      </c>
    </row>
    <row r="3871">
      <c r="A3871" s="3" t="s">
        <v>9415</v>
      </c>
      <c r="B3871" s="4" t="str">
        <f>IFERROR(__xludf.DUMMYFUNCTION("GOOGLETRANSLATE(A3871, ""en"", ""te"")"),"మన్నా జొన్న మిల్లెట్")</f>
        <v>మన్నా జొన్న మిల్లెట్</v>
      </c>
      <c r="C3871" s="4" t="str">
        <f>IFERROR(__xludf.DUMMYFUNCTION("GOOGLETRANSLATE(A3871, ""en"", ""hi"")"),"मन्ना ज्वार बाजरा")</f>
        <v>मन्ना ज्वार बाजरा</v>
      </c>
      <c r="D3871" s="2" t="s">
        <v>6942</v>
      </c>
      <c r="E3871" s="2" t="s">
        <v>2649</v>
      </c>
      <c r="F3871" s="1">
        <v>8.0</v>
      </c>
      <c r="G3871" s="3" t="s">
        <v>5425</v>
      </c>
    </row>
    <row r="3872">
      <c r="A3872" s="3" t="s">
        <v>9399</v>
      </c>
      <c r="B3872" s="4" t="str">
        <f>IFERROR(__xludf.DUMMYFUNCTION("GOOGLETRANSLATE(A3872, ""en"", ""te"")"),"లక్ష్మి కిడ్నీ బీన్స్")</f>
        <v>లక్ష్మి కిడ్నీ బీన్స్</v>
      </c>
      <c r="C3872" s="4" t="str">
        <f>IFERROR(__xludf.DUMMYFUNCTION("GOOGLETRANSLATE(A3872, ""en"", ""hi"")"),"लक्ष्मी राजमा")</f>
        <v>लक्ष्मी राजमा</v>
      </c>
      <c r="D3872" s="2" t="s">
        <v>8524</v>
      </c>
      <c r="E3872" s="2" t="s">
        <v>1038</v>
      </c>
      <c r="F3872" s="1">
        <v>8.0</v>
      </c>
      <c r="G3872" s="3" t="s">
        <v>8276</v>
      </c>
    </row>
    <row r="3873">
      <c r="A3873" s="3" t="s">
        <v>9395</v>
      </c>
      <c r="B3873" s="4" t="str">
        <f>IFERROR(__xludf.DUMMYFUNCTION("GOOGLETRANSLATE(A3873, ""en"", ""te"")"),"లక్ష్మి సగ్గుబియ్యం")</f>
        <v>లక్ష్మి సగ్గుబియ్యం</v>
      </c>
      <c r="C3873" s="4" t="str">
        <f>IFERROR(__xludf.DUMMYFUNCTION("GOOGLETRANSLATE(A3873, ""en"", ""hi"")"),"लक्ष्मी साबूदाना")</f>
        <v>लक्ष्मी साबूदाना</v>
      </c>
      <c r="D3873" s="5"/>
      <c r="E3873" s="2" t="s">
        <v>9</v>
      </c>
      <c r="F3873" s="1">
        <v>8.0</v>
      </c>
      <c r="G3873" s="3" t="s">
        <v>5421</v>
      </c>
    </row>
    <row r="3874">
      <c r="A3874" s="3" t="s">
        <v>9416</v>
      </c>
      <c r="B3874" s="4" t="str">
        <f>IFERROR(__xludf.DUMMYFUNCTION("GOOGLETRANSLATE(A3874, ""en"", ""te"")"),"శ్వేత తెలుగు ఎండిపోయిన కొబ్బరి రేకులు")</f>
        <v>శ్వేత తెలుగు ఎండిపోయిన కొబ్బరి రేకులు</v>
      </c>
      <c r="C3874" s="4" t="str">
        <f>IFERROR(__xludf.DUMMYFUNCTION("GOOGLETRANSLATE(A3874, ""en"", ""hi"")"),"स्वेता तेलुगू सूखे नारियल के गुच्छे")</f>
        <v>स्वेता तेलुगू सूखे नारियल के गुच्छे</v>
      </c>
      <c r="D3874" s="2" t="s">
        <v>53</v>
      </c>
      <c r="E3874" s="2" t="s">
        <v>2700</v>
      </c>
      <c r="F3874" s="1">
        <v>8.0</v>
      </c>
      <c r="G3874" s="3" t="s">
        <v>5421</v>
      </c>
    </row>
    <row r="3875">
      <c r="A3875" s="3" t="s">
        <v>9417</v>
      </c>
      <c r="B3875" s="4" t="str">
        <f>IFERROR(__xludf.DUMMYFUNCTION("GOOGLETRANSLATE(A3875, ""en"", ""te"")"),"Swetha Telugu Desiccated Coconut Powder")</f>
        <v>Swetha Telugu Desiccated Coconut Powder</v>
      </c>
      <c r="C3875" s="4" t="str">
        <f>IFERROR(__xludf.DUMMYFUNCTION("GOOGLETRANSLATE(A3875, ""en"", ""hi"")"),"स्वेता तेलुगू देसीकेटेड नारियल पाउडर")</f>
        <v>स्वेता तेलुगू देसीकेटेड नारियल पाउडर</v>
      </c>
      <c r="D3875" s="2" t="s">
        <v>8560</v>
      </c>
      <c r="E3875" s="2" t="s">
        <v>2700</v>
      </c>
      <c r="F3875" s="1">
        <v>8.0</v>
      </c>
      <c r="G3875" s="3" t="s">
        <v>5421</v>
      </c>
    </row>
    <row r="3876">
      <c r="A3876" s="3" t="s">
        <v>9418</v>
      </c>
      <c r="B3876" s="4" t="str">
        <f>IFERROR(__xludf.DUMMYFUNCTION("GOOGLETRANSLATE(A3876, ""en"", ""te"")"),"ఆనంద్ ఫింగర్ మిల్లెట్")</f>
        <v>ఆనంద్ ఫింగర్ మిల్లెట్</v>
      </c>
      <c r="C3876" s="4" t="str">
        <f>IFERROR(__xludf.DUMMYFUNCTION("GOOGLETRANSLATE(A3876, ""en"", ""hi"")"),"आनंद फिंगर मिलेट")</f>
        <v>आनंद फिंगर मिलेट</v>
      </c>
      <c r="D3876" s="2" t="s">
        <v>6942</v>
      </c>
      <c r="E3876" s="2" t="s">
        <v>2649</v>
      </c>
      <c r="F3876" s="1">
        <v>8.0</v>
      </c>
      <c r="G3876" s="3" t="s">
        <v>5425</v>
      </c>
    </row>
    <row r="3877">
      <c r="A3877" s="3" t="s">
        <v>9419</v>
      </c>
      <c r="B3877" s="4" t="str">
        <f>IFERROR(__xludf.DUMMYFUNCTION("GOOGLETRANSLATE(A3877, ""en"", ""te"")"),"స్వధా తెలుగు కొబ్బరి తురుము")</f>
        <v>స్వధా తెలుగు కొబ్బరి తురుము</v>
      </c>
      <c r="C3877" s="4" t="str">
        <f>IFERROR(__xludf.DUMMYFUNCTION("GOOGLETRANSLATE(A3877, ""en"", ""hi"")"),"स्वाधा तेलुगु नारियल के फ्लेक्स")</f>
        <v>स्वाधा तेलुगु नारियल के फ्लेक्स</v>
      </c>
      <c r="D3877" s="2" t="s">
        <v>53</v>
      </c>
      <c r="E3877" s="2" t="s">
        <v>2700</v>
      </c>
      <c r="F3877" s="1">
        <v>8.0</v>
      </c>
      <c r="G3877" s="3" t="s">
        <v>5421</v>
      </c>
    </row>
    <row r="3878">
      <c r="A3878" s="3" t="s">
        <v>9420</v>
      </c>
      <c r="B3878" s="4" t="str">
        <f>IFERROR(__xludf.DUMMYFUNCTION("GOOGLETRANSLATE(A3878, ""en"", ""te"")"),"స్వధా తెలుగు కొబ్బరి పొడి")</f>
        <v>స్వధా తెలుగు కొబ్బరి పొడి</v>
      </c>
      <c r="C3878" s="4" t="str">
        <f>IFERROR(__xludf.DUMMYFUNCTION("GOOGLETRANSLATE(A3878, ""en"", ""hi"")"),"स्वाधा तेलुगु नारियल पाउडर")</f>
        <v>स्वाधा तेलुगु नारियल पाउडर</v>
      </c>
      <c r="D3878" s="2" t="s">
        <v>8560</v>
      </c>
      <c r="E3878" s="2" t="s">
        <v>2700</v>
      </c>
      <c r="F3878" s="1">
        <v>8.0</v>
      </c>
      <c r="G3878" s="3" t="s">
        <v>5421</v>
      </c>
    </row>
    <row r="3879">
      <c r="A3879" s="3" t="s">
        <v>9421</v>
      </c>
      <c r="B3879" s="4" t="str">
        <f>IFERROR(__xludf.DUMMYFUNCTION("GOOGLETRANSLATE(A3879, ""en"", ""te"")"),"ఆనంద్ బార్న్‌యార్డ్ మిల్లెట్")</f>
        <v>ఆనంద్ బార్న్‌యార్డ్ మిల్లెట్</v>
      </c>
      <c r="C3879" s="4" t="str">
        <f>IFERROR(__xludf.DUMMYFUNCTION("GOOGLETRANSLATE(A3879, ""en"", ""hi"")"),"आनंद बार्नयार्ड बाजरा")</f>
        <v>आनंद बार्नयार्ड बाजरा</v>
      </c>
      <c r="D3879" s="2" t="s">
        <v>6942</v>
      </c>
      <c r="E3879" s="2" t="s">
        <v>2649</v>
      </c>
      <c r="F3879" s="1">
        <v>8.0</v>
      </c>
      <c r="G3879" s="3" t="s">
        <v>5425</v>
      </c>
    </row>
    <row r="3880">
      <c r="A3880" s="3" t="s">
        <v>9384</v>
      </c>
      <c r="B3880" s="4" t="str">
        <f>IFERROR(__xludf.DUMMYFUNCTION("GOOGLETRANSLATE(A3880, ""en"", ""te"")"),"స్వాద్ కిడ్నీ బీన్స్")</f>
        <v>స్వాద్ కిడ్నీ బీన్స్</v>
      </c>
      <c r="C3880" s="4" t="str">
        <f>IFERROR(__xludf.DUMMYFUNCTION("GOOGLETRANSLATE(A3880, ""en"", ""hi"")"),"स्वाद राजमा")</f>
        <v>स्वाद राजमा</v>
      </c>
      <c r="D3880" s="2" t="s">
        <v>8524</v>
      </c>
      <c r="E3880" s="2" t="s">
        <v>1038</v>
      </c>
      <c r="F3880" s="1">
        <v>8.0</v>
      </c>
      <c r="G3880" s="3">
        <v>1.0</v>
      </c>
    </row>
    <row r="3881">
      <c r="A3881" s="3" t="s">
        <v>9398</v>
      </c>
      <c r="B3881" s="4" t="str">
        <f>IFERROR(__xludf.DUMMYFUNCTION("GOOGLETRANSLATE(A3881, ""en"", ""te"")"),"లక్ష్మి లేత ఎరుపు కిడ్నీ బీన్స్")</f>
        <v>లక్ష్మి లేత ఎరుపు కిడ్నీ బీన్స్</v>
      </c>
      <c r="C3881" s="4" t="str">
        <f>IFERROR(__xludf.DUMMYFUNCTION("GOOGLETRANSLATE(A3881, ""en"", ""hi"")"),"लक्ष्मी लाइट रेड किडनी बीन्स")</f>
        <v>लक्ष्मी लाइट रेड किडनी बीन्स</v>
      </c>
      <c r="D3881" s="2" t="s">
        <v>8524</v>
      </c>
      <c r="E3881" s="2" t="s">
        <v>1038</v>
      </c>
      <c r="F3881" s="1">
        <v>8.0</v>
      </c>
      <c r="G3881" s="3">
        <v>1.0</v>
      </c>
    </row>
    <row r="3882">
      <c r="A3882" s="3" t="s">
        <v>9404</v>
      </c>
      <c r="B3882" s="4" t="str">
        <f>IFERROR(__xludf.DUMMYFUNCTION("GOOGLETRANSLATE(A3882, ""en"", ""te"")"),"లక్ష్మి కాలా చనా")</f>
        <v>లక్ష్మి కాలా చనా</v>
      </c>
      <c r="C3882" s="4" t="str">
        <f>IFERROR(__xludf.DUMMYFUNCTION("GOOGLETRANSLATE(A3882, ""en"", ""hi"")"),"लक्ष्मी काला चना")</f>
        <v>लक्ष्मी काला चना</v>
      </c>
      <c r="D3882" s="2" t="s">
        <v>1036</v>
      </c>
      <c r="E3882" s="2" t="s">
        <v>1038</v>
      </c>
      <c r="F3882" s="1">
        <v>8.0</v>
      </c>
      <c r="G3882" s="3">
        <v>1.0</v>
      </c>
    </row>
    <row r="3883">
      <c r="A3883" s="3" t="s">
        <v>9394</v>
      </c>
      <c r="B3883" s="4" t="str">
        <f>IFERROR(__xludf.DUMMYFUNCTION("GOOGLETRANSLATE(A3883, ""en"", ""te"")"),"ఉపవాస్ సబుదానా")</f>
        <v>ఉపవాస్ సబుదానా</v>
      </c>
      <c r="C3883" s="4" t="str">
        <f>IFERROR(__xludf.DUMMYFUNCTION("GOOGLETRANSLATE(A3883, ""en"", ""hi"")"),"उपवास साबूदाना")</f>
        <v>उपवास साबूदाना</v>
      </c>
      <c r="D3883" s="5"/>
      <c r="E3883" s="2" t="s">
        <v>9</v>
      </c>
      <c r="F3883" s="1">
        <v>8.0</v>
      </c>
      <c r="G3883" s="3">
        <v>2.0</v>
      </c>
    </row>
    <row r="3884">
      <c r="A3884" s="3" t="s">
        <v>9395</v>
      </c>
      <c r="B3884" s="4" t="str">
        <f>IFERROR(__xludf.DUMMYFUNCTION("GOOGLETRANSLATE(A3884, ""en"", ""te"")"),"లక్ష్మి సగ్గుబియ్యం")</f>
        <v>లక్ష్మి సగ్గుబియ్యం</v>
      </c>
      <c r="C3884" s="4" t="str">
        <f>IFERROR(__xludf.DUMMYFUNCTION("GOOGLETRANSLATE(A3884, ""en"", ""hi"")"),"लक्ष्मी साबूदाना")</f>
        <v>लक्ष्मी साबूदाना</v>
      </c>
      <c r="D3884" s="5"/>
      <c r="E3884" s="2" t="s">
        <v>9</v>
      </c>
      <c r="F3884" s="1">
        <v>8.0</v>
      </c>
      <c r="G3884" s="3">
        <v>2.0</v>
      </c>
    </row>
    <row r="3885">
      <c r="A3885" s="3" t="s">
        <v>4182</v>
      </c>
      <c r="B3885" s="4" t="str">
        <f>IFERROR(__xludf.DUMMYFUNCTION("GOOGLETRANSLATE(A3885, ""en"", ""te"")"),"లక్ష్మి కొబ్బరి పొడి")</f>
        <v>లక్ష్మి కొబ్బరి పొడి</v>
      </c>
      <c r="C3885" s="4" t="str">
        <f>IFERROR(__xludf.DUMMYFUNCTION("GOOGLETRANSLATE(A3885, ""en"", ""hi"")"),"लक्ष्मी नारियल पाउडर")</f>
        <v>लक्ष्मी नारियल पाउडर</v>
      </c>
      <c r="D3885" s="2" t="s">
        <v>8560</v>
      </c>
      <c r="E3885" s="2" t="s">
        <v>2700</v>
      </c>
      <c r="F3885" s="1">
        <v>8.0</v>
      </c>
      <c r="G3885" s="3">
        <v>2.0</v>
      </c>
    </row>
    <row r="3886">
      <c r="A3886" s="3" t="s">
        <v>8007</v>
      </c>
      <c r="B3886" s="4" t="str">
        <f>IFERROR(__xludf.DUMMYFUNCTION("GOOGLETRANSLATE(A3886, ""en"", ""te"")"),"లక్ష్మి కొబ్బరి ముక్కలు")</f>
        <v>లక్ష్మి కొబ్బరి ముక్కలు</v>
      </c>
      <c r="C3886" s="4" t="str">
        <f>IFERROR(__xludf.DUMMYFUNCTION("GOOGLETRANSLATE(A3886, ""en"", ""hi"")"),"लक्ष्मी नारियल के टुकड़े")</f>
        <v>लक्ष्मी नारियल के टुकड़े</v>
      </c>
      <c r="D3886" s="2" t="s">
        <v>53</v>
      </c>
      <c r="E3886" s="2" t="s">
        <v>2700</v>
      </c>
      <c r="F3886" s="1">
        <v>8.0</v>
      </c>
      <c r="G3886" s="3">
        <v>2.0</v>
      </c>
    </row>
    <row r="3887">
      <c r="A3887" s="3" t="s">
        <v>9411</v>
      </c>
      <c r="B3887" s="4" t="str">
        <f>IFERROR(__xludf.DUMMYFUNCTION("GOOGLETRANSLATE(A3887, ""en"", ""te"")"),"శ్వేత తెలుగు కొబ్బరి తురుము")</f>
        <v>శ్వేత తెలుగు కొబ్బరి తురుము</v>
      </c>
      <c r="C3887" s="4" t="str">
        <f>IFERROR(__xludf.DUMMYFUNCTION("GOOGLETRANSLATE(A3887, ""en"", ""hi"")"),"श्वेता तेलुगु नारियल के फ्लेक्स")</f>
        <v>श्वेता तेलुगु नारियल के फ्लेक्स</v>
      </c>
      <c r="D3887" s="2" t="s">
        <v>53</v>
      </c>
      <c r="E3887" s="2" t="s">
        <v>2700</v>
      </c>
      <c r="F3887" s="1">
        <v>8.0</v>
      </c>
      <c r="G3887" s="3">
        <v>2.0</v>
      </c>
    </row>
    <row r="3888">
      <c r="A3888" s="3" t="s">
        <v>9422</v>
      </c>
      <c r="B3888" s="4" t="str">
        <f>IFERROR(__xludf.DUMMYFUNCTION("GOOGLETRANSLATE(A3888, ""en"", ""te"")"),"ఆనంద్ ఫాక్స్‌టైల్ మిల్లెట్")</f>
        <v>ఆనంద్ ఫాక్స్‌టైల్ మిల్లెట్</v>
      </c>
      <c r="C3888" s="4" t="str">
        <f>IFERROR(__xludf.DUMMYFUNCTION("GOOGLETRANSLATE(A3888, ""en"", ""hi"")"),"आनंद फॉक्सटेल बाजरा")</f>
        <v>आनंद फॉक्सटेल बाजरा</v>
      </c>
      <c r="D3888" s="2" t="s">
        <v>6942</v>
      </c>
      <c r="E3888" s="2" t="s">
        <v>2649</v>
      </c>
      <c r="F3888" s="1">
        <v>8.0</v>
      </c>
      <c r="G3888" s="3">
        <v>3.0</v>
      </c>
    </row>
    <row r="3889">
      <c r="A3889" s="3" t="s">
        <v>9423</v>
      </c>
      <c r="B3889" s="4" t="str">
        <f>IFERROR(__xludf.DUMMYFUNCTION("GOOGLETRANSLATE(A3889, ""en"", ""te"")"),"ఆనంద్ లిటిల్ మిల్లెట్")</f>
        <v>ఆనంద్ లిటిల్ మిల్లెట్</v>
      </c>
      <c r="C3889" s="4" t="str">
        <f>IFERROR(__xludf.DUMMYFUNCTION("GOOGLETRANSLATE(A3889, ""en"", ""hi"")"),"आनंद लिटिल मिलेट")</f>
        <v>आनंद लिटिल मिलेट</v>
      </c>
      <c r="D3889" s="2" t="s">
        <v>6942</v>
      </c>
      <c r="E3889" s="2" t="s">
        <v>2649</v>
      </c>
      <c r="F3889" s="1">
        <v>8.0</v>
      </c>
      <c r="G3889" s="3">
        <v>3.0</v>
      </c>
    </row>
    <row r="3890">
      <c r="A3890" s="3" t="s">
        <v>9421</v>
      </c>
      <c r="B3890" s="4" t="str">
        <f>IFERROR(__xludf.DUMMYFUNCTION("GOOGLETRANSLATE(A3890, ""en"", ""te"")"),"ఆనంద్ బార్న్‌యార్డ్ మిల్లెట్")</f>
        <v>ఆనంద్ బార్న్‌యార్డ్ మిల్లెట్</v>
      </c>
      <c r="C3890" s="4" t="str">
        <f>IFERROR(__xludf.DUMMYFUNCTION("GOOGLETRANSLATE(A3890, ""en"", ""hi"")"),"आनंद बार्नयार्ड बाजरा")</f>
        <v>आनंद बार्नयार्ड बाजरा</v>
      </c>
      <c r="D3890" s="2" t="s">
        <v>6942</v>
      </c>
      <c r="E3890" s="2" t="s">
        <v>2649</v>
      </c>
      <c r="F3890" s="1">
        <v>8.0</v>
      </c>
      <c r="G3890" s="3">
        <v>3.0</v>
      </c>
    </row>
    <row r="3891">
      <c r="A3891" s="3" t="s">
        <v>9418</v>
      </c>
      <c r="B3891" s="4" t="str">
        <f>IFERROR(__xludf.DUMMYFUNCTION("GOOGLETRANSLATE(A3891, ""en"", ""te"")"),"ఆనంద్ ఫింగర్ మిల్లెట్")</f>
        <v>ఆనంద్ ఫింగర్ మిల్లెట్</v>
      </c>
      <c r="C3891" s="4" t="str">
        <f>IFERROR(__xludf.DUMMYFUNCTION("GOOGLETRANSLATE(A3891, ""en"", ""hi"")"),"आनंद फिंगर मिलेट")</f>
        <v>आनंद फिंगर मिलेट</v>
      </c>
      <c r="D3891" s="2" t="s">
        <v>6942</v>
      </c>
      <c r="E3891" s="2" t="s">
        <v>2649</v>
      </c>
      <c r="F3891" s="1">
        <v>8.0</v>
      </c>
      <c r="G3891" s="3">
        <v>3.0</v>
      </c>
    </row>
    <row r="3892">
      <c r="A3892" s="3" t="s">
        <v>9414</v>
      </c>
      <c r="B3892" s="4" t="str">
        <f>IFERROR(__xludf.DUMMYFUNCTION("GOOGLETRANSLATE(A3892, ""en"", ""te"")"),"ఆనంద్ కోడో మిల్లెట్")</f>
        <v>ఆనంద్ కోడో మిల్లెట్</v>
      </c>
      <c r="C3892" s="4" t="str">
        <f>IFERROR(__xludf.DUMMYFUNCTION("GOOGLETRANSLATE(A3892, ""en"", ""hi"")"),"आनंद कोडो बाजरा")</f>
        <v>आनंद कोडो बाजरा</v>
      </c>
      <c r="D3892" s="2" t="s">
        <v>6942</v>
      </c>
      <c r="E3892" s="2" t="s">
        <v>2649</v>
      </c>
      <c r="F3892" s="1">
        <v>8.0</v>
      </c>
      <c r="G3892" s="3">
        <v>3.0</v>
      </c>
    </row>
    <row r="3893">
      <c r="A3893" s="3" t="s">
        <v>9415</v>
      </c>
      <c r="B3893" s="4" t="str">
        <f>IFERROR(__xludf.DUMMYFUNCTION("GOOGLETRANSLATE(A3893, ""en"", ""te"")"),"మన్నా జొన్న మిల్లెట్")</f>
        <v>మన్నా జొన్న మిల్లెట్</v>
      </c>
      <c r="C3893" s="4" t="str">
        <f>IFERROR(__xludf.DUMMYFUNCTION("GOOGLETRANSLATE(A3893, ""en"", ""hi"")"),"मन्ना ज्वार बाजरा")</f>
        <v>मन्ना ज्वार बाजरा</v>
      </c>
      <c r="D3893" s="2" t="s">
        <v>6942</v>
      </c>
      <c r="E3893" s="2" t="s">
        <v>2649</v>
      </c>
      <c r="F3893" s="1">
        <v>8.0</v>
      </c>
      <c r="G3893" s="3">
        <v>3.0</v>
      </c>
    </row>
    <row r="3894">
      <c r="A3894" s="3" t="s">
        <v>9424</v>
      </c>
      <c r="B3894" s="4" t="str">
        <f>IFERROR(__xludf.DUMMYFUNCTION("GOOGLETRANSLATE(A3894, ""en"", ""te"")"),"స్వాద్ లైట్ రెడ్ కిడ్నీ బీన్స్")</f>
        <v>స్వాద్ లైట్ రెడ్ కిడ్నీ బీన్స్</v>
      </c>
      <c r="C3894" s="4" t="str">
        <f>IFERROR(__xludf.DUMMYFUNCTION("GOOGLETRANSLATE(A3894, ""en"", ""hi"")"),"स्वाद लाइट रेड किडनी बीन्स")</f>
        <v>स्वाद लाइट रेड किडनी बीन्स</v>
      </c>
      <c r="D3894" s="2" t="s">
        <v>8524</v>
      </c>
      <c r="E3894" s="2" t="s">
        <v>1038</v>
      </c>
      <c r="F3894" s="1">
        <v>8.0</v>
      </c>
      <c r="G3894" s="3" t="s">
        <v>5445</v>
      </c>
    </row>
    <row r="3895">
      <c r="A3895" s="3" t="s">
        <v>9425</v>
      </c>
      <c r="B3895" s="4" t="str">
        <f>IFERROR(__xludf.DUMMYFUNCTION("GOOGLETRANSLATE(A3895, ""en"", ""te"")"),"ఆనంద్ పెరల్ మిల్లెట్")</f>
        <v>ఆనంద్ పెరల్ మిల్లెట్</v>
      </c>
      <c r="C3895" s="4" t="str">
        <f>IFERROR(__xludf.DUMMYFUNCTION("GOOGLETRANSLATE(A3895, ""en"", ""hi"")"),"आनंद पर्ल बाजरा")</f>
        <v>आनंद पर्ल बाजरा</v>
      </c>
      <c r="D3895" s="2" t="s">
        <v>6942</v>
      </c>
      <c r="E3895" s="2" t="s">
        <v>2649</v>
      </c>
      <c r="F3895" s="1">
        <v>8.0</v>
      </c>
      <c r="G3895" s="3" t="s">
        <v>5746</v>
      </c>
    </row>
    <row r="3896">
      <c r="A3896" s="3" t="s">
        <v>9422</v>
      </c>
      <c r="B3896" s="4" t="str">
        <f>IFERROR(__xludf.DUMMYFUNCTION("GOOGLETRANSLATE(A3896, ""en"", ""te"")"),"ఆనంద్ ఫాక్స్‌టైల్ మిల్లెట్")</f>
        <v>ఆనంద్ ఫాక్స్‌టైల్ మిల్లెట్</v>
      </c>
      <c r="C3896" s="4" t="str">
        <f>IFERROR(__xludf.DUMMYFUNCTION("GOOGLETRANSLATE(A3896, ""en"", ""hi"")"),"आनंद फॉक्सटेल बाजरा")</f>
        <v>आनंद फॉक्सटेल बाजरा</v>
      </c>
      <c r="D3896" s="2" t="s">
        <v>6942</v>
      </c>
      <c r="E3896" s="2" t="s">
        <v>2649</v>
      </c>
      <c r="F3896" s="1">
        <v>8.0</v>
      </c>
      <c r="G3896" s="3" t="s">
        <v>5746</v>
      </c>
    </row>
    <row r="3897">
      <c r="A3897" s="3" t="s">
        <v>9423</v>
      </c>
      <c r="B3897" s="4" t="str">
        <f>IFERROR(__xludf.DUMMYFUNCTION("GOOGLETRANSLATE(A3897, ""en"", ""te"")"),"ఆనంద్ లిటిల్ మిల్లెట్")</f>
        <v>ఆనంద్ లిటిల్ మిల్లెట్</v>
      </c>
      <c r="C3897" s="4" t="str">
        <f>IFERROR(__xludf.DUMMYFUNCTION("GOOGLETRANSLATE(A3897, ""en"", ""hi"")"),"आनंद लिटिल मिलेट")</f>
        <v>आनंद लिटिल मिलेट</v>
      </c>
      <c r="D3897" s="2" t="s">
        <v>6942</v>
      </c>
      <c r="E3897" s="2" t="s">
        <v>2649</v>
      </c>
      <c r="F3897" s="1">
        <v>8.0</v>
      </c>
      <c r="G3897" s="3" t="s">
        <v>5746</v>
      </c>
    </row>
    <row r="3898">
      <c r="A3898" s="3" t="s">
        <v>9421</v>
      </c>
      <c r="B3898" s="4" t="str">
        <f>IFERROR(__xludf.DUMMYFUNCTION("GOOGLETRANSLATE(A3898, ""en"", ""te"")"),"ఆనంద్ బార్న్‌యార్డ్ మిల్లెట్")</f>
        <v>ఆనంద్ బార్న్‌యార్డ్ మిల్లెట్</v>
      </c>
      <c r="C3898" s="4" t="str">
        <f>IFERROR(__xludf.DUMMYFUNCTION("GOOGLETRANSLATE(A3898, ""en"", ""hi"")"),"आनंद बार्नयार्ड बाजरा")</f>
        <v>आनंद बार्नयार्ड बाजरा</v>
      </c>
      <c r="D3898" s="2" t="s">
        <v>6942</v>
      </c>
      <c r="E3898" s="2" t="s">
        <v>2649</v>
      </c>
      <c r="F3898" s="1">
        <v>8.0</v>
      </c>
      <c r="G3898" s="3" t="s">
        <v>5746</v>
      </c>
    </row>
    <row r="3899">
      <c r="A3899" s="3" t="s">
        <v>9418</v>
      </c>
      <c r="B3899" s="4" t="str">
        <f>IFERROR(__xludf.DUMMYFUNCTION("GOOGLETRANSLATE(A3899, ""en"", ""te"")"),"ఆనంద్ ఫింగర్ మిల్లెట్")</f>
        <v>ఆనంద్ ఫింగర్ మిల్లెట్</v>
      </c>
      <c r="C3899" s="4" t="str">
        <f>IFERROR(__xludf.DUMMYFUNCTION("GOOGLETRANSLATE(A3899, ""en"", ""hi"")"),"आनंद फिंगर मिलेट")</f>
        <v>आनंद फिंगर मिलेट</v>
      </c>
      <c r="D3899" s="2" t="s">
        <v>6942</v>
      </c>
      <c r="E3899" s="2" t="s">
        <v>2649</v>
      </c>
      <c r="F3899" s="1">
        <v>8.0</v>
      </c>
      <c r="G3899" s="3" t="s">
        <v>5746</v>
      </c>
    </row>
    <row r="3900">
      <c r="A3900" s="3" t="s">
        <v>9414</v>
      </c>
      <c r="B3900" s="4" t="str">
        <f>IFERROR(__xludf.DUMMYFUNCTION("GOOGLETRANSLATE(A3900, ""en"", ""te"")"),"ఆనంద్ కోడో మిల్లెట్")</f>
        <v>ఆనంద్ కోడో మిల్లెట్</v>
      </c>
      <c r="C3900" s="4" t="str">
        <f>IFERROR(__xludf.DUMMYFUNCTION("GOOGLETRANSLATE(A3900, ""en"", ""hi"")"),"आनंद कोडो बाजरा")</f>
        <v>आनंद कोडो बाजरा</v>
      </c>
      <c r="D3900" s="2" t="s">
        <v>6942</v>
      </c>
      <c r="E3900" s="2" t="s">
        <v>2649</v>
      </c>
      <c r="F3900" s="1">
        <v>8.0</v>
      </c>
      <c r="G3900" s="3" t="s">
        <v>5746</v>
      </c>
    </row>
    <row r="3901">
      <c r="A3901" s="3" t="s">
        <v>4045</v>
      </c>
      <c r="B3901" s="4" t="str">
        <f>IFERROR(__xludf.DUMMYFUNCTION("GOOGLETRANSLATE(A3901, ""en"", ""te"")"),"కిడ్నీ బీన్స్")</f>
        <v>కిడ్నీ బీన్స్</v>
      </c>
      <c r="C3901" s="4" t="str">
        <f>IFERROR(__xludf.DUMMYFUNCTION("GOOGLETRANSLATE(A3901, ""en"", ""hi"")"),"राजमा")</f>
        <v>राजमा</v>
      </c>
      <c r="D3901" s="2" t="s">
        <v>8524</v>
      </c>
      <c r="E3901" s="2" t="s">
        <v>1038</v>
      </c>
      <c r="F3901" s="1">
        <v>8.0</v>
      </c>
      <c r="G3901" s="3" t="s">
        <v>5445</v>
      </c>
    </row>
    <row r="3902">
      <c r="A3902" s="3" t="s">
        <v>9426</v>
      </c>
      <c r="B3902" s="4" t="str">
        <f>IFERROR(__xludf.DUMMYFUNCTION("GOOGLETRANSLATE(A3902, ""en"", ""te"")"),"స్వాద్ బ్లాక్ ఐ బీన్స్")</f>
        <v>స్వాద్ బ్లాక్ ఐ బీన్స్</v>
      </c>
      <c r="C3902" s="4" t="str">
        <f>IFERROR(__xludf.DUMMYFUNCTION("GOOGLETRANSLATE(A3902, ""en"", ""hi"")"),"स्वाद ब्लैक आई बीन्स")</f>
        <v>स्वाद ब्लैक आई बीन्स</v>
      </c>
      <c r="D3902" s="2" t="s">
        <v>8524</v>
      </c>
      <c r="E3902" s="2" t="s">
        <v>1038</v>
      </c>
      <c r="F3902" s="1">
        <v>8.0</v>
      </c>
      <c r="G3902" s="3" t="s">
        <v>7521</v>
      </c>
    </row>
    <row r="3903">
      <c r="A3903" s="3" t="s">
        <v>9427</v>
      </c>
      <c r="B3903" s="4" t="str">
        <f>IFERROR(__xludf.DUMMYFUNCTION("GOOGLETRANSLATE(A3903, ""en"", ""te"")"),"స్వాద్ ఎర్ర బీన్స్ (చిన్నవి)")</f>
        <v>స్వాద్ ఎర్ర బీన్స్ (చిన్నవి)</v>
      </c>
      <c r="C3903" s="4" t="str">
        <f>IFERROR(__xludf.DUMMYFUNCTION("GOOGLETRANSLATE(A3903, ""en"", ""hi"")"),"स्वाद लाल सेम (छोटे आकार के)")</f>
        <v>स्वाद लाल सेम (छोटे आकार के)</v>
      </c>
      <c r="D3903" s="2" t="s">
        <v>8524</v>
      </c>
      <c r="E3903" s="2" t="s">
        <v>1038</v>
      </c>
      <c r="F3903" s="1">
        <v>8.0</v>
      </c>
      <c r="G3903" s="3" t="s">
        <v>7521</v>
      </c>
    </row>
    <row r="3904">
      <c r="A3904" s="3" t="s">
        <v>9428</v>
      </c>
      <c r="B3904" s="4" t="str">
        <f>IFERROR(__xludf.DUMMYFUNCTION("GOOGLETRANSLATE(A3904, ""en"", ""te"")"),"స్వాద్ రైస్")</f>
        <v>స్వాద్ రైస్</v>
      </c>
      <c r="C3904" s="4" t="str">
        <f>IFERROR(__xludf.DUMMYFUNCTION("GOOGLETRANSLATE(A3904, ""en"", ""hi"")"),"स्वाद चावल")</f>
        <v>स्वाद चावल</v>
      </c>
      <c r="D3904" s="2" t="s">
        <v>36</v>
      </c>
      <c r="E3904" s="2" t="s">
        <v>9</v>
      </c>
      <c r="F3904" s="1">
        <v>8.0</v>
      </c>
      <c r="G3904" s="3" t="s">
        <v>7521</v>
      </c>
    </row>
    <row r="3905">
      <c r="A3905" s="3" t="s">
        <v>9429</v>
      </c>
      <c r="B3905" s="4" t="str">
        <f>IFERROR(__xludf.DUMMYFUNCTION("GOOGLETRANSLATE(A3905, ""en"", ""te"")"),"శ్వేత తెలుగు సబుదానా")</f>
        <v>శ్వేత తెలుగు సబుదానా</v>
      </c>
      <c r="C3905" s="4" t="str">
        <f>IFERROR(__xludf.DUMMYFUNCTION("GOOGLETRANSLATE(A3905, ""en"", ""hi"")"),"श्वेता तेलुगु साबूदाना")</f>
        <v>श्वेता तेलुगु साबूदाना</v>
      </c>
      <c r="D3905" s="5"/>
      <c r="E3905" s="2" t="s">
        <v>2700</v>
      </c>
      <c r="F3905" s="1">
        <v>8.0</v>
      </c>
      <c r="G3905" s="3" t="s">
        <v>7521</v>
      </c>
    </row>
    <row r="3906">
      <c r="A3906" s="3" t="s">
        <v>9430</v>
      </c>
      <c r="B3906" s="4" t="str">
        <f>IFERROR(__xludf.DUMMYFUNCTION("GOOGLETRANSLATE(A3906, ""en"", ""te"")"),"స్వాద్ సాఫ్ట్ వైట్ వీట్")</f>
        <v>స్వాద్ సాఫ్ట్ వైట్ వీట్</v>
      </c>
      <c r="C3906" s="4" t="str">
        <f>IFERROR(__xludf.DUMMYFUNCTION("GOOGLETRANSLATE(A3906, ""en"", ""hi"")"),"स्वाद सॉफ्ट व्हाइट व्हीट")</f>
        <v>स्वाद सॉफ्ट व्हाइट व्हीट</v>
      </c>
      <c r="D3906" s="2" t="s">
        <v>9160</v>
      </c>
      <c r="E3906" s="2" t="s">
        <v>67</v>
      </c>
      <c r="F3906" s="1">
        <v>8.0</v>
      </c>
      <c r="G3906" s="3" t="s">
        <v>5746</v>
      </c>
    </row>
    <row r="3907">
      <c r="A3907" s="3" t="s">
        <v>9431</v>
      </c>
      <c r="B3907" s="4" t="str">
        <f>IFERROR(__xludf.DUMMYFUNCTION("GOOGLETRANSLATE(A3907, ""en"", ""te"")"),"స్వాద్ దాలియా")</f>
        <v>స్వాద్ దాలియా</v>
      </c>
      <c r="C3907" s="4" t="str">
        <f>IFERROR(__xludf.DUMMYFUNCTION("GOOGLETRANSLATE(A3907, ""en"", ""hi"")"),"स्वाद दलिया")</f>
        <v>स्वाद दलिया</v>
      </c>
      <c r="D3907" s="5"/>
      <c r="E3907" s="2" t="s">
        <v>1038</v>
      </c>
      <c r="F3907" s="1">
        <v>8.0</v>
      </c>
      <c r="G3907" s="3" t="s">
        <v>5746</v>
      </c>
    </row>
    <row r="3908">
      <c r="A3908" s="3" t="s">
        <v>9432</v>
      </c>
      <c r="B3908" s="4" t="str">
        <f>IFERROR(__xludf.DUMMYFUNCTION("GOOGLETRANSLATE(A3908, ""en"", ""te"")"),"స్వాద్ రాగులు (రాగి)")</f>
        <v>స్వాద్ రాగులు (రాగి)</v>
      </c>
      <c r="C3908" s="4" t="str">
        <f>IFERROR(__xludf.DUMMYFUNCTION("GOOGLETRANSLATE(A3908, ""en"", ""hi"")"),"स्वाद रागी (फिंगर मिलेट)")</f>
        <v>स्वाद रागी (फिंगर मिलेट)</v>
      </c>
      <c r="D3908" s="2" t="s">
        <v>9433</v>
      </c>
      <c r="E3908" s="2" t="s">
        <v>2649</v>
      </c>
      <c r="F3908" s="1">
        <v>8.0</v>
      </c>
      <c r="G3908" s="3" t="s">
        <v>5746</v>
      </c>
    </row>
    <row r="3909">
      <c r="A3909" s="3" t="s">
        <v>9434</v>
      </c>
      <c r="B3909" s="4" t="str">
        <f>IFERROR(__xludf.DUMMYFUNCTION("GOOGLETRANSLATE(A3909, ""en"", ""te"")"),"ఆనంద్ గ్రీన్ లెంటిల్స్")</f>
        <v>ఆనంద్ గ్రీన్ లెంటిల్స్</v>
      </c>
      <c r="C3909" s="4" t="str">
        <f>IFERROR(__xludf.DUMMYFUNCTION("GOOGLETRANSLATE(A3909, ""en"", ""hi"")"),"आनंद हरी मसूर")</f>
        <v>आनंद हरी मसूर</v>
      </c>
      <c r="D3909" s="5"/>
      <c r="E3909" s="2" t="s">
        <v>1038</v>
      </c>
      <c r="F3909" s="1">
        <v>8.0</v>
      </c>
      <c r="G3909" s="3" t="s">
        <v>5432</v>
      </c>
    </row>
    <row r="3910">
      <c r="A3910" s="3" t="s">
        <v>6325</v>
      </c>
      <c r="B3910" s="4" t="str">
        <f>IFERROR(__xludf.DUMMYFUNCTION("GOOGLETRANSLATE(A3910, ""en"", ""te"")"),"స్వాద్ హార్స్ గ్రామ్")</f>
        <v>స్వాద్ హార్స్ గ్రామ్</v>
      </c>
      <c r="C3910" s="4" t="str">
        <f>IFERROR(__xludf.DUMMYFUNCTION("GOOGLETRANSLATE(A3910, ""en"", ""hi"")"),"स्वाद हॉर्स ग्राम")</f>
        <v>स्वाद हॉर्स ग्राम</v>
      </c>
      <c r="D3910" s="5"/>
      <c r="E3910" s="2" t="s">
        <v>1038</v>
      </c>
      <c r="F3910" s="1">
        <v>8.0</v>
      </c>
      <c r="G3910" s="3" t="s">
        <v>5432</v>
      </c>
    </row>
    <row r="3911">
      <c r="A3911" s="3" t="s">
        <v>9384</v>
      </c>
      <c r="B3911" s="4" t="str">
        <f>IFERROR(__xludf.DUMMYFUNCTION("GOOGLETRANSLATE(A3911, ""en"", ""te"")"),"స్వాద్ కిడ్నీ బీన్స్")</f>
        <v>స్వాద్ కిడ్నీ బీన్స్</v>
      </c>
      <c r="C3911" s="4" t="str">
        <f>IFERROR(__xludf.DUMMYFUNCTION("GOOGLETRANSLATE(A3911, ""en"", ""hi"")"),"स्वाद राजमा")</f>
        <v>स्वाद राजमा</v>
      </c>
      <c r="D3911" s="2" t="s">
        <v>8524</v>
      </c>
      <c r="E3911" s="2" t="s">
        <v>1038</v>
      </c>
      <c r="F3911" s="1">
        <v>8.0</v>
      </c>
      <c r="G3911" s="3" t="s">
        <v>5432</v>
      </c>
    </row>
    <row r="3912">
      <c r="A3912" s="3" t="s">
        <v>9435</v>
      </c>
      <c r="B3912" s="4" t="str">
        <f>IFERROR(__xludf.DUMMYFUNCTION("GOOGLETRANSLATE(A3912, ""en"", ""te"")"),"స్వాద్ నల్ల బఠానీలు")</f>
        <v>స్వాద్ నల్ల బఠానీలు</v>
      </c>
      <c r="C3912" s="4" t="str">
        <f>IFERROR(__xludf.DUMMYFUNCTION("GOOGLETRANSLATE(A3912, ""en"", ""hi"")"),"स्वाद ब्लैक पीज़")</f>
        <v>स्वाद ब्लैक पीज़</v>
      </c>
      <c r="D3912" s="5"/>
      <c r="E3912" s="2" t="s">
        <v>1038</v>
      </c>
      <c r="F3912" s="1">
        <v>8.0</v>
      </c>
      <c r="G3912" s="3" t="s">
        <v>7521</v>
      </c>
    </row>
    <row r="3913">
      <c r="A3913" s="3" t="s">
        <v>9436</v>
      </c>
      <c r="B3913" s="4" t="str">
        <f>IFERROR(__xludf.DUMMYFUNCTION("GOOGLETRANSLATE(A3913, ""en"", ""te"")"),"స్వాద్ చియా విత్తనాలు")</f>
        <v>స్వాద్ చియా విత్తనాలు</v>
      </c>
      <c r="C3913" s="4" t="str">
        <f>IFERROR(__xludf.DUMMYFUNCTION("GOOGLETRANSLATE(A3913, ""en"", ""hi"")"),"स्वाद चिया सीड्स")</f>
        <v>स्वाद चिया सीड्स</v>
      </c>
      <c r="D3913" s="2" t="s">
        <v>1239</v>
      </c>
      <c r="E3913" s="2" t="s">
        <v>2700</v>
      </c>
      <c r="F3913" s="1">
        <v>8.0</v>
      </c>
      <c r="G3913" s="3" t="s">
        <v>5746</v>
      </c>
    </row>
    <row r="3914">
      <c r="A3914" s="3" t="s">
        <v>9437</v>
      </c>
      <c r="B3914" s="4" t="str">
        <f>IFERROR(__xludf.DUMMYFUNCTION("GOOGLETRANSLATE(A3914, ""en"", ""te"")"),"స్వాద్ పెరల్ బార్లీ")</f>
        <v>స్వాద్ పెరల్ బార్లీ</v>
      </c>
      <c r="C3914" s="4" t="str">
        <f>IFERROR(__xludf.DUMMYFUNCTION("GOOGLETRANSLATE(A3914, ""en"", ""hi"")"),"स्वाद मोती जौ")</f>
        <v>स्वाद मोती जौ</v>
      </c>
      <c r="D3914" s="5"/>
      <c r="E3914" s="2" t="s">
        <v>2649</v>
      </c>
      <c r="F3914" s="1">
        <v>8.0</v>
      </c>
      <c r="G3914" s="3" t="s">
        <v>5746</v>
      </c>
    </row>
    <row r="3915">
      <c r="A3915" s="3" t="s">
        <v>9438</v>
      </c>
      <c r="B3915" s="4" t="str">
        <f>IFERROR(__xludf.DUMMYFUNCTION("GOOGLETRANSLATE(A3915, ""en"", ""te"")"),"స్వాద్ హలీమ్ గోధుమ")</f>
        <v>స్వాద్ హలీమ్ గోధుమ</v>
      </c>
      <c r="C3915" s="4" t="str">
        <f>IFERROR(__xludf.DUMMYFUNCTION("GOOGLETRANSLATE(A3915, ""en"", ""hi"")"),"स्वाद हलीम गेहूं")</f>
        <v>स्वाद हलीम गेहूं</v>
      </c>
      <c r="D3915" s="2" t="s">
        <v>9147</v>
      </c>
      <c r="E3915" s="2" t="s">
        <v>2649</v>
      </c>
      <c r="F3915" s="1">
        <v>8.0</v>
      </c>
      <c r="G3915" s="3" t="s">
        <v>5746</v>
      </c>
    </row>
    <row r="3916">
      <c r="A3916" s="3" t="s">
        <v>9439</v>
      </c>
      <c r="B3916" s="4" t="str">
        <f>IFERROR(__xludf.DUMMYFUNCTION("GOOGLETRANSLATE(A3916, ""en"", ""te"")"),"సిమెకా ఫింగర్ మిల్లెట్")</f>
        <v>సిమెకా ఫింగర్ మిల్లెట్</v>
      </c>
      <c r="C3916" s="4" t="str">
        <f>IFERROR(__xludf.DUMMYFUNCTION("GOOGLETRANSLATE(A3916, ""en"", ""hi"")"),"साइमेका फिंगर मिलेट")</f>
        <v>साइमेका फिंगर मिलेट</v>
      </c>
      <c r="D3916" s="2" t="s">
        <v>6942</v>
      </c>
      <c r="E3916" s="2" t="s">
        <v>2649</v>
      </c>
      <c r="F3916" s="1">
        <v>8.0</v>
      </c>
      <c r="G3916" s="3" t="s">
        <v>5746</v>
      </c>
    </row>
    <row r="3917">
      <c r="A3917" s="3" t="s">
        <v>4518</v>
      </c>
      <c r="B3917" s="4" t="str">
        <f>IFERROR(__xludf.DUMMYFUNCTION("GOOGLETRANSLATE(A3917, ""en"", ""te"")"),"మసూర్ హోల్")</f>
        <v>మసూర్ హోల్</v>
      </c>
      <c r="C3917" s="4" t="str">
        <f>IFERROR(__xludf.DUMMYFUNCTION("GOOGLETRANSLATE(A3917, ""en"", ""hi"")"),"मसूर साबुत")</f>
        <v>मसूर साबुत</v>
      </c>
      <c r="D3917" s="5"/>
      <c r="E3917" s="2" t="s">
        <v>1038</v>
      </c>
      <c r="F3917" s="1">
        <v>8.0</v>
      </c>
      <c r="G3917" s="3" t="s">
        <v>5761</v>
      </c>
    </row>
    <row r="3918">
      <c r="A3918" s="3" t="s">
        <v>9440</v>
      </c>
      <c r="B3918" s="4" t="str">
        <f>IFERROR(__xludf.DUMMYFUNCTION("GOOGLETRANSLATE(A3918, ""en"", ""te"")"),"మసూర్ మట్కి")</f>
        <v>మసూర్ మట్కి</v>
      </c>
      <c r="C3918" s="4" t="str">
        <f>IFERROR(__xludf.DUMMYFUNCTION("GOOGLETRANSLATE(A3918, ""en"", ""hi"")"),"मसूर मटकी")</f>
        <v>मसूर मटकी</v>
      </c>
      <c r="D3918" s="5"/>
      <c r="E3918" s="2" t="s">
        <v>1038</v>
      </c>
      <c r="F3918" s="1">
        <v>8.0</v>
      </c>
      <c r="G3918" s="3" t="s">
        <v>5761</v>
      </c>
    </row>
    <row r="3919">
      <c r="A3919" s="3" t="s">
        <v>9441</v>
      </c>
      <c r="B3919" s="4" t="str">
        <f>IFERROR(__xludf.DUMMYFUNCTION("GOOGLETRANSLATE(A3919, ""en"", ""te"")"),"గుర్రపు గ్రాములు")</f>
        <v>గుర్రపు గ్రాములు</v>
      </c>
      <c r="C3919" s="4" t="str">
        <f>IFERROR(__xludf.DUMMYFUNCTION("GOOGLETRANSLATE(A3919, ""en"", ""hi"")"),"चने की दाल")</f>
        <v>चने की दाल</v>
      </c>
      <c r="D3919" s="5"/>
      <c r="E3919" s="2" t="s">
        <v>1038</v>
      </c>
      <c r="F3919" s="1">
        <v>8.0</v>
      </c>
      <c r="G3919" s="3" t="s">
        <v>5761</v>
      </c>
    </row>
    <row r="3920">
      <c r="A3920" s="3" t="s">
        <v>9442</v>
      </c>
      <c r="B3920" s="4" t="str">
        <f>IFERROR(__xludf.DUMMYFUNCTION("GOOGLETRANSLATE(A3920, ""en"", ""te"")"),"లక్ష్మి బ్లాక్‌ఐ పీస్")</f>
        <v>లక్ష్మి బ్లాక్‌ఐ పీస్</v>
      </c>
      <c r="C3920" s="4" t="str">
        <f>IFERROR(__xludf.DUMMYFUNCTION("GOOGLETRANSLATE(A3920, ""en"", ""hi"")"),"लक्ष्मी ब्लैकआई मटर")</f>
        <v>लक्ष्मी ब्लैकआई मटर</v>
      </c>
      <c r="D3920" s="2" t="s">
        <v>9305</v>
      </c>
      <c r="E3920" s="2" t="s">
        <v>1038</v>
      </c>
      <c r="F3920" s="1">
        <v>8.0</v>
      </c>
      <c r="G3920" s="3" t="s">
        <v>7462</v>
      </c>
    </row>
    <row r="3921">
      <c r="A3921" s="3" t="s">
        <v>9443</v>
      </c>
      <c r="B3921" s="4" t="str">
        <f>IFERROR(__xludf.DUMMYFUNCTION("GOOGLETRANSLATE(A3921, ""en"", ""te"")"),"స్వాద్ క్వినోవా")</f>
        <v>స్వాద్ క్వినోవా</v>
      </c>
      <c r="C3921" s="4" t="str">
        <f>IFERROR(__xludf.DUMMYFUNCTION("GOOGLETRANSLATE(A3921, ""en"", ""hi"")"),"स्वाद क्विनोआ")</f>
        <v>स्वाद क्विनोआ</v>
      </c>
      <c r="D3921" s="5"/>
      <c r="E3921" s="2" t="s">
        <v>2649</v>
      </c>
      <c r="F3921" s="1">
        <v>8.0</v>
      </c>
      <c r="G3921" s="3" t="s">
        <v>7518</v>
      </c>
    </row>
    <row r="3922">
      <c r="A3922" s="3" t="s">
        <v>9436</v>
      </c>
      <c r="B3922" s="4" t="str">
        <f>IFERROR(__xludf.DUMMYFUNCTION("GOOGLETRANSLATE(A3922, ""en"", ""te"")"),"స్వాద్ చియా విత్తనాలు")</f>
        <v>స్వాద్ చియా విత్తనాలు</v>
      </c>
      <c r="C3922" s="4" t="str">
        <f>IFERROR(__xludf.DUMMYFUNCTION("GOOGLETRANSLATE(A3922, ""en"", ""hi"")"),"स्वाद चिया सीड्स")</f>
        <v>स्वाद चिया सीड्स</v>
      </c>
      <c r="D3922" s="2" t="s">
        <v>1239</v>
      </c>
      <c r="E3922" s="2" t="s">
        <v>2700</v>
      </c>
      <c r="F3922" s="1">
        <v>8.0</v>
      </c>
      <c r="G3922" s="3" t="s">
        <v>7518</v>
      </c>
    </row>
    <row r="3923">
      <c r="A3923" s="3" t="s">
        <v>9437</v>
      </c>
      <c r="B3923" s="4" t="str">
        <f>IFERROR(__xludf.DUMMYFUNCTION("GOOGLETRANSLATE(A3923, ""en"", ""te"")"),"స్వాద్ పెరల్ బార్లీ")</f>
        <v>స్వాద్ పెరల్ బార్లీ</v>
      </c>
      <c r="C3923" s="4" t="str">
        <f>IFERROR(__xludf.DUMMYFUNCTION("GOOGLETRANSLATE(A3923, ""en"", ""hi"")"),"स्वाद मोती जौ")</f>
        <v>स्वाद मोती जौ</v>
      </c>
      <c r="D3923" s="5"/>
      <c r="E3923" s="2" t="s">
        <v>2649</v>
      </c>
      <c r="F3923" s="1">
        <v>8.0</v>
      </c>
      <c r="G3923" s="3" t="s">
        <v>7518</v>
      </c>
    </row>
    <row r="3924">
      <c r="A3924" s="3" t="s">
        <v>9430</v>
      </c>
      <c r="B3924" s="4" t="str">
        <f>IFERROR(__xludf.DUMMYFUNCTION("GOOGLETRANSLATE(A3924, ""en"", ""te"")"),"స్వాద్ సాఫ్ట్ వైట్ వీట్")</f>
        <v>స్వాద్ సాఫ్ట్ వైట్ వీట్</v>
      </c>
      <c r="C3924" s="4" t="str">
        <f>IFERROR(__xludf.DUMMYFUNCTION("GOOGLETRANSLATE(A3924, ""en"", ""hi"")"),"स्वाद सॉफ्ट व्हाइट व्हीट")</f>
        <v>स्वाद सॉफ्ट व्हाइट व्हीट</v>
      </c>
      <c r="D3924" s="2" t="s">
        <v>9160</v>
      </c>
      <c r="E3924" s="2" t="s">
        <v>67</v>
      </c>
      <c r="F3924" s="1">
        <v>8.0</v>
      </c>
      <c r="G3924" s="3" t="s">
        <v>7518</v>
      </c>
    </row>
    <row r="3925">
      <c r="A3925" s="3" t="s">
        <v>9444</v>
      </c>
      <c r="B3925" s="4" t="str">
        <f>IFERROR(__xludf.DUMMYFUNCTION("GOOGLETRANSLATE(A3925, ""en"", ""te"")"),"మొత్తం పెసలు")</f>
        <v>మొత్తం పెసలు</v>
      </c>
      <c r="C3925" s="4" t="str">
        <f>IFERROR(__xludf.DUMMYFUNCTION("GOOGLETRANSLATE(A3925, ""en"", ""hi"")"),"साबुत मूंग")</f>
        <v>साबुत मूंग</v>
      </c>
      <c r="D3925" s="5"/>
      <c r="E3925" s="2" t="s">
        <v>1038</v>
      </c>
      <c r="F3925" s="1">
        <v>8.0</v>
      </c>
      <c r="G3925" s="3" t="s">
        <v>5761</v>
      </c>
    </row>
    <row r="3926">
      <c r="A3926" s="3" t="s">
        <v>9445</v>
      </c>
      <c r="B3926" s="4" t="str">
        <f>IFERROR(__xludf.DUMMYFUNCTION("GOOGLETRANSLATE(A3926, ""en"", ""te"")"),"ఆసూర్ మట్కి")</f>
        <v>ఆసూర్ మట్కి</v>
      </c>
      <c r="C3926" s="4" t="str">
        <f>IFERROR(__xludf.DUMMYFUNCTION("GOOGLETRANSLATE(A3926, ""en"", ""hi"")"),"आसूर मटकी")</f>
        <v>आसूर मटकी</v>
      </c>
      <c r="D3926" s="2" t="s">
        <v>7523</v>
      </c>
      <c r="E3926" s="2" t="s">
        <v>1038</v>
      </c>
      <c r="F3926" s="1">
        <v>8.0</v>
      </c>
      <c r="G3926" s="3" t="s">
        <v>5761</v>
      </c>
    </row>
    <row r="3927">
      <c r="A3927" s="3" t="s">
        <v>9446</v>
      </c>
      <c r="B3927" s="4" t="str">
        <f>IFERROR(__xludf.DUMMYFUNCTION("GOOGLETRANSLATE(A3927, ""en"", ""te"")"),"దైవి దాలియా రోస్టెడ్")</f>
        <v>దైవి దాలియా రోస్టెడ్</v>
      </c>
      <c r="C3927" s="4" t="str">
        <f>IFERROR(__xludf.DUMMYFUNCTION("GOOGLETRANSLATE(A3927, ""en"", ""hi"")"),"दैवी दलिया भुना हुआ")</f>
        <v>दैवी दलिया भुना हुआ</v>
      </c>
      <c r="D3927" s="2" t="s">
        <v>8787</v>
      </c>
      <c r="E3927" s="2" t="s">
        <v>2649</v>
      </c>
      <c r="F3927" s="1">
        <v>8.0</v>
      </c>
      <c r="G3927" s="3" t="s">
        <v>7518</v>
      </c>
    </row>
    <row r="3928">
      <c r="A3928" s="3" t="s">
        <v>9447</v>
      </c>
      <c r="B3928" s="4" t="str">
        <f>IFERROR(__xludf.DUMMYFUNCTION("GOOGLETRANSLATE(A3928, ""en"", ""te"")"),"రాఘవ్ దాలియా స్ప్లిట్")</f>
        <v>రాఘవ్ దాలియా స్ప్లిట్</v>
      </c>
      <c r="C3928" s="4" t="str">
        <f>IFERROR(__xludf.DUMMYFUNCTION("GOOGLETRANSLATE(A3928, ""en"", ""hi"")"),"राघव डालिया का विभाजन")</f>
        <v>राघव डालिया का विभाजन</v>
      </c>
      <c r="D3928" s="5"/>
      <c r="E3928" s="2" t="s">
        <v>1038</v>
      </c>
      <c r="F3928" s="1">
        <v>8.0</v>
      </c>
      <c r="G3928" s="3" t="s">
        <v>7518</v>
      </c>
    </row>
    <row r="3929">
      <c r="A3929" s="3" t="s">
        <v>9448</v>
      </c>
      <c r="B3929" s="4" t="str">
        <f>IFERROR(__xludf.DUMMYFUNCTION("GOOGLETRANSLATE(A3929, ""en"", ""te"")"),"రాజగారా మొత్తం")</f>
        <v>రాజగారా మొత్తం</v>
      </c>
      <c r="C3929" s="4" t="str">
        <f>IFERROR(__xludf.DUMMYFUNCTION("GOOGLETRANSLATE(A3929, ""en"", ""hi"")"),"राजगारा होल")</f>
        <v>राजगारा होल</v>
      </c>
      <c r="D3929" s="5"/>
      <c r="E3929" s="2" t="s">
        <v>1038</v>
      </c>
      <c r="F3929" s="1">
        <v>8.0</v>
      </c>
      <c r="G3929" s="3" t="s">
        <v>7518</v>
      </c>
    </row>
    <row r="3930">
      <c r="A3930" s="3" t="s">
        <v>9449</v>
      </c>
      <c r="B3930" s="4" t="str">
        <f>IFERROR(__xludf.DUMMYFUNCTION("GOOGLETRANSLATE(A3930, ""en"", ""te"")"),"క్వినోవా వైట్")</f>
        <v>క్వినోవా వైట్</v>
      </c>
      <c r="C3930" s="4" t="str">
        <f>IFERROR(__xludf.DUMMYFUNCTION("GOOGLETRANSLATE(A3930, ""en"", ""hi"")"),"क्विनोआ सफेद")</f>
        <v>क्विनोआ सफेद</v>
      </c>
      <c r="D3930" s="5"/>
      <c r="E3930" s="2" t="s">
        <v>9</v>
      </c>
      <c r="F3930" s="1">
        <v>8.0</v>
      </c>
      <c r="G3930" s="3" t="s">
        <v>7518</v>
      </c>
    </row>
    <row r="3931">
      <c r="A3931" s="3" t="s">
        <v>4252</v>
      </c>
      <c r="B3931" s="4" t="str">
        <f>IFERROR(__xludf.DUMMYFUNCTION("GOOGLETRANSLATE(A3931, ""en"", ""te"")"),"లక్ష్మి మొత్తం మూంగ్")</f>
        <v>లక్ష్మి మొత్తం మూంగ్</v>
      </c>
      <c r="C3931" s="4" t="str">
        <f>IFERROR(__xludf.DUMMYFUNCTION("GOOGLETRANSLATE(A3931, ""en"", ""hi"")"),"लक्ष्मी साबुत मूंग")</f>
        <v>लक्ष्मी साबुत मूंग</v>
      </c>
      <c r="D3931" s="5"/>
      <c r="E3931" s="2" t="s">
        <v>1038</v>
      </c>
      <c r="F3931" s="1">
        <v>8.0</v>
      </c>
      <c r="G3931" s="3" t="s">
        <v>71</v>
      </c>
    </row>
    <row r="3932">
      <c r="A3932" s="3" t="s">
        <v>6404</v>
      </c>
      <c r="B3932" s="4" t="str">
        <f>IFERROR(__xludf.DUMMYFUNCTION("GOOGLETRANSLATE(A3932, ""en"", ""te"")"),"స్వాద్ హోల్ మూంగ్")</f>
        <v>స్వాద్ హోల్ మూంగ్</v>
      </c>
      <c r="C3932" s="4" t="str">
        <f>IFERROR(__xludf.DUMMYFUNCTION("GOOGLETRANSLATE(A3932, ""en"", ""hi"")"),"स्वाद साबुत मूंग")</f>
        <v>स्वाद साबुत मूंग</v>
      </c>
      <c r="D3932" s="5"/>
      <c r="E3932" s="2" t="s">
        <v>1038</v>
      </c>
      <c r="F3932" s="1">
        <v>8.0</v>
      </c>
      <c r="G3932" s="3" t="s">
        <v>71</v>
      </c>
    </row>
    <row r="3933">
      <c r="A3933" s="3" t="s">
        <v>9450</v>
      </c>
      <c r="B3933" s="4" t="str">
        <f>IFERROR(__xludf.DUMMYFUNCTION("GOOGLETRANSLATE(A3933, ""en"", ""te"")"),"డామి హోల్ మూంగ్")</f>
        <v>డామి హోల్ మూంగ్</v>
      </c>
      <c r="C3933" s="4" t="str">
        <f>IFERROR(__xludf.DUMMYFUNCTION("GOOGLETRANSLATE(A3933, ""en"", ""hi"")"),"दामी साबुत मूंग")</f>
        <v>दामी साबुत मूंग</v>
      </c>
      <c r="D3933" s="5"/>
      <c r="E3933" s="2" t="s">
        <v>1038</v>
      </c>
      <c r="F3933" s="1">
        <v>8.0</v>
      </c>
      <c r="G3933" s="3" t="s">
        <v>71</v>
      </c>
    </row>
    <row r="3934">
      <c r="A3934" s="3" t="s">
        <v>9451</v>
      </c>
      <c r="B3934" s="4" t="str">
        <f>IFERROR(__xludf.DUMMYFUNCTION("GOOGLETRANSLATE(A3934, ""en"", ""te"")"),"మంత్ర ఆర్గానిక్ కాబూలీ చనా")</f>
        <v>మంత్ర ఆర్గానిక్ కాబూలీ చనా</v>
      </c>
      <c r="C3934" s="4" t="str">
        <f>IFERROR(__xludf.DUMMYFUNCTION("GOOGLETRANSLATE(A3934, ""en"", ""hi"")"),"मंत्रा ऑर्गेनिक काबुली चना")</f>
        <v>मंत्रा ऑर्गेनिक काबुली चना</v>
      </c>
      <c r="D3934" s="5"/>
      <c r="E3934" s="2" t="s">
        <v>1038</v>
      </c>
      <c r="F3934" s="1">
        <v>8.0</v>
      </c>
      <c r="G3934" s="3" t="s">
        <v>76</v>
      </c>
    </row>
    <row r="3935">
      <c r="A3935" s="3" t="s">
        <v>9452</v>
      </c>
      <c r="B3935" s="4" t="str">
        <f>IFERROR(__xludf.DUMMYFUNCTION("GOOGLETRANSLATE(A3935, ""en"", ""te"")"),"మంత్ర ఆర్గానిక్ బ్రౌన్ చనా")</f>
        <v>మంత్ర ఆర్గానిక్ బ్రౌన్ చనా</v>
      </c>
      <c r="C3935" s="4" t="str">
        <f>IFERROR(__xludf.DUMMYFUNCTION("GOOGLETRANSLATE(A3935, ""en"", ""hi"")"),"मंत्रा ऑर्गेनिक ब्राउन चना")</f>
        <v>मंत्रा ऑर्गेनिक ब्राउन चना</v>
      </c>
      <c r="D3935" s="2" t="s">
        <v>3861</v>
      </c>
      <c r="E3935" s="2" t="s">
        <v>1038</v>
      </c>
      <c r="F3935" s="1">
        <v>8.0</v>
      </c>
      <c r="G3935" s="3" t="s">
        <v>76</v>
      </c>
    </row>
    <row r="3936">
      <c r="A3936" s="3" t="s">
        <v>9453</v>
      </c>
      <c r="B3936" s="4" t="str">
        <f>IFERROR(__xludf.DUMMYFUNCTION("GOOGLETRANSLATE(A3936, ""en"", ""te"")"),"లక్ష్మి దాలియా")</f>
        <v>లక్ష్మి దాలియా</v>
      </c>
      <c r="C3936" s="4" t="str">
        <f>IFERROR(__xludf.DUMMYFUNCTION("GOOGLETRANSLATE(A3936, ""en"", ""hi"")"),"लक्ष्मी डालिया")</f>
        <v>लक्ष्मी डालिया</v>
      </c>
      <c r="D3936" s="5"/>
      <c r="E3936" s="2" t="s">
        <v>1038</v>
      </c>
      <c r="F3936" s="1">
        <v>8.0</v>
      </c>
      <c r="G3936" s="3" t="s">
        <v>85</v>
      </c>
    </row>
    <row r="3937">
      <c r="A3937" s="3" t="s">
        <v>6268</v>
      </c>
      <c r="B3937" s="4" t="str">
        <f>IFERROR(__xludf.DUMMYFUNCTION("GOOGLETRANSLATE(A3937, ""en"", ""te"")"),"స్వద్ చనా దాల్")</f>
        <v>స్వద్ చనా దాల్</v>
      </c>
      <c r="C3937" s="4" t="str">
        <f>IFERROR(__xludf.DUMMYFUNCTION("GOOGLETRANSLATE(A3937, ""en"", ""hi"")"),"स्वाद चना दाल")</f>
        <v>स्वाद चना दाल</v>
      </c>
      <c r="D3937" s="2" t="s">
        <v>3861</v>
      </c>
      <c r="E3937" s="2" t="s">
        <v>1038</v>
      </c>
      <c r="F3937" s="1">
        <v>8.0</v>
      </c>
      <c r="G3937" s="3" t="s">
        <v>85</v>
      </c>
    </row>
    <row r="3938">
      <c r="A3938" s="3" t="s">
        <v>9454</v>
      </c>
      <c r="B3938" s="4" t="str">
        <f>IFERROR(__xludf.DUMMYFUNCTION("GOOGLETRANSLATE(A3938, ""en"", ""te"")"),"దైవి దలియా (వేయించినది)")</f>
        <v>దైవి దలియా (వేయించినది)</v>
      </c>
      <c r="C3938" s="4" t="str">
        <f>IFERROR(__xludf.DUMMYFUNCTION("GOOGLETRANSLATE(A3938, ""en"", ""hi"")"),"दैवी दलिया (भुना हुआ)")</f>
        <v>दैवी दलिया (भुना हुआ)</v>
      </c>
      <c r="D3938" s="2" t="s">
        <v>8787</v>
      </c>
      <c r="E3938" s="2" t="s">
        <v>2649</v>
      </c>
      <c r="F3938" s="1">
        <v>8.0</v>
      </c>
      <c r="G3938" s="3" t="s">
        <v>85</v>
      </c>
    </row>
    <row r="3939">
      <c r="A3939" s="3" t="s">
        <v>9447</v>
      </c>
      <c r="B3939" s="4" t="str">
        <f>IFERROR(__xludf.DUMMYFUNCTION("GOOGLETRANSLATE(A3939, ""en"", ""te"")"),"రాఘవ్ దాలియా స్ప్లిట్")</f>
        <v>రాఘవ్ దాలియా స్ప్లిట్</v>
      </c>
      <c r="C3939" s="4" t="str">
        <f>IFERROR(__xludf.DUMMYFUNCTION("GOOGLETRANSLATE(A3939, ""en"", ""hi"")"),"राघव डालिया का विभाजन")</f>
        <v>राघव डालिया का विभाजन</v>
      </c>
      <c r="D3939" s="5"/>
      <c r="E3939" s="2" t="s">
        <v>1038</v>
      </c>
      <c r="F3939" s="1">
        <v>8.0</v>
      </c>
      <c r="G3939" s="3" t="s">
        <v>85</v>
      </c>
    </row>
    <row r="3940">
      <c r="A3940" s="3" t="s">
        <v>9455</v>
      </c>
      <c r="B3940" s="4" t="str">
        <f>IFERROR(__xludf.DUMMYFUNCTION("GOOGLETRANSLATE(A3940, ""en"", ""te"")"),"రాఘవ్ రాజగిరా హోల్")</f>
        <v>రాఘవ్ రాజగిరా హోల్</v>
      </c>
      <c r="C3940" s="4" t="str">
        <f>IFERROR(__xludf.DUMMYFUNCTION("GOOGLETRANSLATE(A3940, ""en"", ""hi"")"),"राघव राजगीरा होल")</f>
        <v>राघव राजगीरा होल</v>
      </c>
      <c r="D3940" s="5"/>
      <c r="E3940" s="2" t="s">
        <v>2649</v>
      </c>
      <c r="F3940" s="1">
        <v>8.0</v>
      </c>
      <c r="G3940" s="3" t="s">
        <v>85</v>
      </c>
    </row>
    <row r="3941">
      <c r="A3941" s="3" t="s">
        <v>9456</v>
      </c>
      <c r="B3941" s="4" t="str">
        <f>IFERROR(__xludf.DUMMYFUNCTION("GOOGLETRANSLATE(A3941, ""en"", ""te"")"),"రాధే క్వినోవా (తెలుపు)")</f>
        <v>రాధే క్వినోవా (తెలుపు)</v>
      </c>
      <c r="C3941" s="4" t="str">
        <f>IFERROR(__xludf.DUMMYFUNCTION("GOOGLETRANSLATE(A3941, ""en"", ""hi"")"),"राधे क्विनोआ (सफेद)")</f>
        <v>राधे क्विनोआ (सफेद)</v>
      </c>
      <c r="D3941" s="5"/>
      <c r="E3941" s="2" t="s">
        <v>2649</v>
      </c>
      <c r="F3941" s="1">
        <v>8.0</v>
      </c>
      <c r="G3941" s="3" t="s">
        <v>85</v>
      </c>
    </row>
    <row r="3942">
      <c r="A3942" s="3" t="s">
        <v>9367</v>
      </c>
      <c r="B3942" s="4" t="str">
        <f>IFERROR(__xludf.DUMMYFUNCTION("GOOGLETRANSLATE(A3942, ""en"", ""te"")"),"ఆరా ఉరద్ గోటా")</f>
        <v>ఆరా ఉరద్ గోటా</v>
      </c>
      <c r="C3942" s="4" t="str">
        <f>IFERROR(__xludf.DUMMYFUNCTION("GOOGLETRANSLATE(A3942, ""en"", ""hi"")"),"आरा उरद गोटा")</f>
        <v>आरा उरद गोटा</v>
      </c>
      <c r="D3942" s="2" t="s">
        <v>9255</v>
      </c>
      <c r="E3942" s="2" t="s">
        <v>1038</v>
      </c>
      <c r="F3942" s="1">
        <v>8.0</v>
      </c>
      <c r="G3942" s="3" t="s">
        <v>71</v>
      </c>
    </row>
    <row r="3943">
      <c r="A3943" s="3" t="s">
        <v>6354</v>
      </c>
      <c r="B3943" s="4" t="str">
        <f>IFERROR(__xludf.DUMMYFUNCTION("GOOGLETRANSLATE(A3943, ""en"", ""te"")"),"స్వాద్ మల్టీ దాల్ మిక్స్")</f>
        <v>స్వాద్ మల్టీ దాల్ మిక్స్</v>
      </c>
      <c r="C3943" s="4" t="str">
        <f>IFERROR(__xludf.DUMMYFUNCTION("GOOGLETRANSLATE(A3943, ""en"", ""hi"")"),"स्वाद मल्टी दाल मिक्स")</f>
        <v>स्वाद मल्टी दाल मिक्स</v>
      </c>
      <c r="D3943" s="5"/>
      <c r="E3943" s="2" t="s">
        <v>1038</v>
      </c>
      <c r="F3943" s="1">
        <v>8.0</v>
      </c>
      <c r="G3943" s="3" t="s">
        <v>71</v>
      </c>
    </row>
    <row r="3944">
      <c r="A3944" s="3" t="s">
        <v>9444</v>
      </c>
      <c r="B3944" s="4" t="str">
        <f>IFERROR(__xludf.DUMMYFUNCTION("GOOGLETRANSLATE(A3944, ""en"", ""te"")"),"మొత్తం పెసలు")</f>
        <v>మొత్తం పెసలు</v>
      </c>
      <c r="C3944" s="4" t="str">
        <f>IFERROR(__xludf.DUMMYFUNCTION("GOOGLETRANSLATE(A3944, ""en"", ""hi"")"),"साबुत मूंग")</f>
        <v>साबुत मूंग</v>
      </c>
      <c r="D3944" s="5"/>
      <c r="E3944" s="2" t="s">
        <v>1038</v>
      </c>
      <c r="F3944" s="1">
        <v>8.0</v>
      </c>
      <c r="G3944" s="3" t="s">
        <v>71</v>
      </c>
    </row>
    <row r="3945">
      <c r="A3945" s="3" t="s">
        <v>9368</v>
      </c>
      <c r="B3945" s="4" t="str">
        <f>IFERROR(__xludf.DUMMYFUNCTION("GOOGLETRANSLATE(A3945, ""en"", ""te"")"),"24 మంత్ర ఆర్గానిక్ రాజ్మా")</f>
        <v>24 మంత్ర ఆర్గానిక్ రాజ్మా</v>
      </c>
      <c r="C3945" s="4" t="str">
        <f>IFERROR(__xludf.DUMMYFUNCTION("GOOGLETRANSLATE(A3945, ""en"", ""hi"")"),"24 मंत्रा ऑर्गेनिक राजमा")</f>
        <v>24 मंत्रा ऑर्गेनिक राजमा</v>
      </c>
      <c r="D3945" s="2" t="s">
        <v>8107</v>
      </c>
      <c r="E3945" s="2" t="s">
        <v>1038</v>
      </c>
      <c r="F3945" s="1">
        <v>8.0</v>
      </c>
      <c r="G3945" s="3" t="s">
        <v>76</v>
      </c>
    </row>
    <row r="3946">
      <c r="A3946" s="3" t="s">
        <v>9457</v>
      </c>
      <c r="B3946" s="4" t="str">
        <f>IFERROR(__xludf.DUMMYFUNCTION("GOOGLETRANSLATE(A3946, ""en"", ""te"")"),"24 మంత్ర సేంద్రీయ కాబూలీ చానా")</f>
        <v>24 మంత్ర సేంద్రీయ కాబూలీ చానా</v>
      </c>
      <c r="C3946" s="4" t="str">
        <f>IFERROR(__xludf.DUMMYFUNCTION("GOOGLETRANSLATE(A3946, ""en"", ""hi"")"),"24 मंत्र ऑर्गेनिक काबुली चना")</f>
        <v>24 मंत्र ऑर्गेनिक काबुली चना</v>
      </c>
      <c r="D3946" s="5"/>
      <c r="E3946" s="2" t="s">
        <v>1038</v>
      </c>
      <c r="F3946" s="1">
        <v>8.0</v>
      </c>
      <c r="G3946" s="3" t="s">
        <v>76</v>
      </c>
    </row>
    <row r="3947">
      <c r="A3947" s="3" t="s">
        <v>9372</v>
      </c>
      <c r="B3947" s="4" t="str">
        <f>IFERROR(__xludf.DUMMYFUNCTION("GOOGLETRANSLATE(A3947, ""en"", ""te"")"),"24 మంత్ర ఆర్గానిక్ బ్రౌన్ చనా")</f>
        <v>24 మంత్ర ఆర్గానిక్ బ్రౌన్ చనా</v>
      </c>
      <c r="C3947" s="4" t="str">
        <f>IFERROR(__xludf.DUMMYFUNCTION("GOOGLETRANSLATE(A3947, ""en"", ""hi"")"),"24 मंत्रा ऑर्गेनिक ब्राउन चना")</f>
        <v>24 मंत्रा ऑर्गेनिक ब्राउन चना</v>
      </c>
      <c r="D3947" s="2" t="s">
        <v>3861</v>
      </c>
      <c r="E3947" s="2" t="s">
        <v>1038</v>
      </c>
      <c r="F3947" s="1">
        <v>8.0</v>
      </c>
      <c r="G3947" s="3" t="s">
        <v>76</v>
      </c>
    </row>
    <row r="3948">
      <c r="A3948" s="3" t="s">
        <v>6701</v>
      </c>
      <c r="B3948" s="4" t="str">
        <f>IFERROR(__xludf.DUMMYFUNCTION("GOOGLETRANSLATE(A3948, ""en"", ""te"")"),"వటానా గ్రీన్")</f>
        <v>వటానా గ్రీన్</v>
      </c>
      <c r="C3948" s="4" t="str">
        <f>IFERROR(__xludf.DUMMYFUNCTION("GOOGLETRANSLATE(A3948, ""en"", ""hi"")"),"वटाना ग्रीन")</f>
        <v>वटाना ग्रीन</v>
      </c>
      <c r="D3948" s="5"/>
      <c r="E3948" s="2" t="s">
        <v>1038</v>
      </c>
      <c r="F3948" s="1">
        <v>8.0</v>
      </c>
      <c r="G3948" s="3" t="s">
        <v>85</v>
      </c>
    </row>
    <row r="3949">
      <c r="A3949" s="3" t="s">
        <v>9458</v>
      </c>
      <c r="B3949" s="4" t="str">
        <f>IFERROR(__xludf.DUMMYFUNCTION("GOOGLETRANSLATE(A3949, ""en"", ""te"")"),"నవధన్")</f>
        <v>నవధన్</v>
      </c>
      <c r="C3949" s="4" t="str">
        <f>IFERROR(__xludf.DUMMYFUNCTION("GOOGLETRANSLATE(A3949, ""en"", ""hi"")"),"नवधन")</f>
        <v>नवधन</v>
      </c>
      <c r="D3949" s="5"/>
      <c r="E3949" s="2" t="s">
        <v>67</v>
      </c>
      <c r="F3949" s="1">
        <v>8.0</v>
      </c>
      <c r="G3949" s="3" t="s">
        <v>85</v>
      </c>
    </row>
    <row r="3950">
      <c r="A3950" s="3" t="s">
        <v>6360</v>
      </c>
      <c r="B3950" s="4" t="str">
        <f>IFERROR(__xludf.DUMMYFUNCTION("GOOGLETRANSLATE(A3950, ""en"", ""te"")"),"స్వద్ నవధాన్")</f>
        <v>స్వద్ నవధాన్</v>
      </c>
      <c r="C3950" s="4" t="str">
        <f>IFERROR(__xludf.DUMMYFUNCTION("GOOGLETRANSLATE(A3950, ""en"", ""hi"")"),"स्वाद नवधन")</f>
        <v>स्वाद नवधन</v>
      </c>
      <c r="D3950" s="5"/>
      <c r="E3950" s="2" t="s">
        <v>67</v>
      </c>
      <c r="F3950" s="1">
        <v>8.0</v>
      </c>
      <c r="G3950" s="3" t="s">
        <v>85</v>
      </c>
    </row>
    <row r="3951">
      <c r="A3951" s="3" t="s">
        <v>9459</v>
      </c>
      <c r="B3951" s="4" t="str">
        <f>IFERROR(__xludf.DUMMYFUNCTION("GOOGLETRANSLATE(A3951, ""en"", ""te"")"),"ఆరా దాలియా")</f>
        <v>ఆరా దాలియా</v>
      </c>
      <c r="C3951" s="4" t="str">
        <f>IFERROR(__xludf.DUMMYFUNCTION("GOOGLETRANSLATE(A3951, ""en"", ""hi"")"),"आरा डालिया")</f>
        <v>आरा डालिया</v>
      </c>
      <c r="D3951" s="5"/>
      <c r="E3951" s="2" t="s">
        <v>1038</v>
      </c>
      <c r="F3951" s="1">
        <v>8.0</v>
      </c>
      <c r="G3951" s="3" t="s">
        <v>85</v>
      </c>
    </row>
    <row r="3952">
      <c r="A3952" s="3" t="s">
        <v>9460</v>
      </c>
      <c r="B3952" s="4" t="str">
        <f>IFERROR(__xludf.DUMMYFUNCTION("GOOGLETRANSLATE(A3952, ""en"", ""te"")"),"స్వాద్ చనా దాలియా")</f>
        <v>స్వాద్ చనా దాలియా</v>
      </c>
      <c r="C3952" s="4" t="str">
        <f>IFERROR(__xludf.DUMMYFUNCTION("GOOGLETRANSLATE(A3952, ""en"", ""hi"")"),"स्वाद चना दलिया")</f>
        <v>स्वाद चना दलिया</v>
      </c>
      <c r="D3952" s="2" t="s">
        <v>1036</v>
      </c>
      <c r="E3952" s="2" t="s">
        <v>1038</v>
      </c>
      <c r="F3952" s="1">
        <v>8.0</v>
      </c>
      <c r="G3952" s="3" t="s">
        <v>85</v>
      </c>
    </row>
    <row r="3953">
      <c r="A3953" s="3" t="s">
        <v>9461</v>
      </c>
      <c r="B3953" s="4" t="str">
        <f>IFERROR(__xludf.DUMMYFUNCTION("GOOGLETRANSLATE(A3953, ""en"", ""te"")"),"దైవి దాలియా (వేయించబడినది)")</f>
        <v>దైవి దాలియా (వేయించబడినది)</v>
      </c>
      <c r="C3953" s="4" t="str">
        <f>IFERROR(__xludf.DUMMYFUNCTION("GOOGLETRANSLATE(A3953, ""en"", ""hi"")"),"दैवी दलिया (भुना हुआ)")</f>
        <v>दैवी दलिया (भुना हुआ)</v>
      </c>
      <c r="D3953" s="2" t="s">
        <v>8787</v>
      </c>
      <c r="E3953" s="2" t="s">
        <v>2649</v>
      </c>
      <c r="F3953" s="1">
        <v>8.0</v>
      </c>
      <c r="G3953" s="3" t="s">
        <v>85</v>
      </c>
    </row>
    <row r="3954">
      <c r="A3954" s="3" t="s">
        <v>9462</v>
      </c>
      <c r="B3954" s="4" t="str">
        <f>IFERROR(__xludf.DUMMYFUNCTION("GOOGLETRANSLATE(A3954, ""en"", ""te"")"),"రాఘవ్ దాలియా")</f>
        <v>రాఘవ్ దాలియా</v>
      </c>
      <c r="C3954" s="4" t="str">
        <f>IFERROR(__xludf.DUMMYFUNCTION("GOOGLETRANSLATE(A3954, ""en"", ""hi"")"),"राघव डालिया")</f>
        <v>राघव डालिया</v>
      </c>
      <c r="D3954" s="2" t="s">
        <v>7830</v>
      </c>
      <c r="E3954" s="2" t="s">
        <v>1038</v>
      </c>
      <c r="F3954" s="1">
        <v>8.0</v>
      </c>
      <c r="G3954" s="3" t="s">
        <v>85</v>
      </c>
    </row>
    <row r="3955">
      <c r="A3955" s="3" t="s">
        <v>9463</v>
      </c>
      <c r="B3955" s="4" t="str">
        <f>IFERROR(__xludf.DUMMYFUNCTION("GOOGLETRANSLATE(A3955, ""en"", ""te"")"),"ఉరద్ గోటా")</f>
        <v>ఉరద్ గోటా</v>
      </c>
      <c r="C3955" s="4" t="str">
        <f>IFERROR(__xludf.DUMMYFUNCTION("GOOGLETRANSLATE(A3955, ""en"", ""hi"")"),"उरद गोटा")</f>
        <v>उरद गोटा</v>
      </c>
      <c r="D3955" s="2" t="s">
        <v>9255</v>
      </c>
      <c r="E3955" s="2" t="s">
        <v>1038</v>
      </c>
      <c r="F3955" s="1">
        <v>8.0</v>
      </c>
      <c r="G3955" s="3" t="s">
        <v>5854</v>
      </c>
    </row>
    <row r="3956">
      <c r="A3956" s="3" t="s">
        <v>9464</v>
      </c>
      <c r="B3956" s="4" t="str">
        <f>IFERROR(__xludf.DUMMYFUNCTION("GOOGLETRANSLATE(A3956, ""en"", ""te"")"),"మల్టీ దాల్ మిక్స్")</f>
        <v>మల్టీ దాల్ మిక్స్</v>
      </c>
      <c r="C3956" s="4" t="str">
        <f>IFERROR(__xludf.DUMMYFUNCTION("GOOGLETRANSLATE(A3956, ""en"", ""hi"")"),"मल्टी दाल मिक्स")</f>
        <v>मल्टी दाल मिक्स</v>
      </c>
      <c r="D3956" s="5"/>
      <c r="E3956" s="2" t="s">
        <v>1038</v>
      </c>
      <c r="F3956" s="1">
        <v>8.0</v>
      </c>
      <c r="G3956" s="3" t="s">
        <v>5854</v>
      </c>
    </row>
    <row r="3957">
      <c r="A3957" s="3" t="s">
        <v>9465</v>
      </c>
      <c r="B3957" s="4" t="str">
        <f>IFERROR(__xludf.DUMMYFUNCTION("GOOGLETRANSLATE(A3957, ""en"", ""te"")"),"24 మంత్ర ఆర్గానిక్ బ్లాక్ గ్రామ్")</f>
        <v>24 మంత్ర ఆర్గానిక్ బ్లాక్ గ్రామ్</v>
      </c>
      <c r="C3957" s="4" t="str">
        <f>IFERROR(__xludf.DUMMYFUNCTION("GOOGLETRANSLATE(A3957, ""en"", ""hi"")"),"24 मंत्रा ऑर्गेनिक ब्लैक ग्राम")</f>
        <v>24 मंत्रा ऑर्गेनिक ब्लैक ग्राम</v>
      </c>
      <c r="D3957" s="5"/>
      <c r="E3957" s="2" t="s">
        <v>1038</v>
      </c>
      <c r="F3957" s="1">
        <v>8.0</v>
      </c>
      <c r="G3957" s="3" t="s">
        <v>5859</v>
      </c>
    </row>
    <row r="3958">
      <c r="A3958" s="3" t="s">
        <v>9466</v>
      </c>
      <c r="B3958" s="4" t="str">
        <f>IFERROR(__xludf.DUMMYFUNCTION("GOOGLETRANSLATE(A3958, ""en"", ""te"")"),"24 మంత్ర ఆర్గానిక్ కిడ్నీ బీన్")</f>
        <v>24 మంత్ర ఆర్గానిక్ కిడ్నీ బీన్</v>
      </c>
      <c r="C3958" s="4" t="str">
        <f>IFERROR(__xludf.DUMMYFUNCTION("GOOGLETRANSLATE(A3958, ""en"", ""hi"")"),"24 मंत्रा ऑर्गेनिक किडनी बीन")</f>
        <v>24 मंत्रा ऑर्गेनिक किडनी बीन</v>
      </c>
      <c r="D3958" s="5"/>
      <c r="E3958" s="2" t="s">
        <v>1038</v>
      </c>
      <c r="F3958" s="1">
        <v>8.0</v>
      </c>
      <c r="G3958" s="3" t="s">
        <v>5859</v>
      </c>
    </row>
    <row r="3959">
      <c r="A3959" s="3" t="s">
        <v>9457</v>
      </c>
      <c r="B3959" s="4" t="str">
        <f>IFERROR(__xludf.DUMMYFUNCTION("GOOGLETRANSLATE(A3959, ""en"", ""te"")"),"24 మంత్ర సేంద్రీయ కాబూలీ చానా")</f>
        <v>24 మంత్ర సేంద్రీయ కాబూలీ చానా</v>
      </c>
      <c r="C3959" s="4" t="str">
        <f>IFERROR(__xludf.DUMMYFUNCTION("GOOGLETRANSLATE(A3959, ""en"", ""hi"")"),"24 मंत्र ऑर्गेनिक काबुली चना")</f>
        <v>24 मंत्र ऑर्गेनिक काबुली चना</v>
      </c>
      <c r="D3959" s="5"/>
      <c r="E3959" s="2" t="s">
        <v>1038</v>
      </c>
      <c r="F3959" s="1">
        <v>8.0</v>
      </c>
      <c r="G3959" s="3" t="s">
        <v>5859</v>
      </c>
    </row>
    <row r="3960">
      <c r="A3960" s="3" t="s">
        <v>6701</v>
      </c>
      <c r="B3960" s="4" t="str">
        <f>IFERROR(__xludf.DUMMYFUNCTION("GOOGLETRANSLATE(A3960, ""en"", ""te"")"),"వటానా గ్రీన్")</f>
        <v>వటానా గ్రీన్</v>
      </c>
      <c r="C3960" s="4" t="str">
        <f>IFERROR(__xludf.DUMMYFUNCTION("GOOGLETRANSLATE(A3960, ""en"", ""hi"")"),"वटाना ग्रीन")</f>
        <v>वटाना ग्रीन</v>
      </c>
      <c r="D3960" s="5"/>
      <c r="E3960" s="2" t="s">
        <v>1038</v>
      </c>
      <c r="F3960" s="1">
        <v>8.0</v>
      </c>
      <c r="G3960" s="3" t="s">
        <v>5989</v>
      </c>
    </row>
    <row r="3961">
      <c r="A3961" s="3" t="s">
        <v>9467</v>
      </c>
      <c r="B3961" s="4" t="str">
        <f>IFERROR(__xludf.DUMMYFUNCTION("GOOGLETRANSLATE(A3961, ""en"", ""te"")"),"స్వద్ నవ ధన్")</f>
        <v>స్వద్ నవ ధన్</v>
      </c>
      <c r="C3961" s="4" t="str">
        <f>IFERROR(__xludf.DUMMYFUNCTION("GOOGLETRANSLATE(A3961, ""en"", ""hi"")"),"स्वाद नव धन")</f>
        <v>स्वाद नव धन</v>
      </c>
      <c r="D3961" s="5"/>
      <c r="E3961" s="2" t="s">
        <v>2649</v>
      </c>
      <c r="F3961" s="1">
        <v>8.0</v>
      </c>
      <c r="G3961" s="3" t="s">
        <v>5989</v>
      </c>
    </row>
    <row r="3962">
      <c r="A3962" s="3" t="s">
        <v>9459</v>
      </c>
      <c r="B3962" s="4" t="str">
        <f>IFERROR(__xludf.DUMMYFUNCTION("GOOGLETRANSLATE(A3962, ""en"", ""te"")"),"ఆరా దాలియా")</f>
        <v>ఆరా దాలియా</v>
      </c>
      <c r="C3962" s="4" t="str">
        <f>IFERROR(__xludf.DUMMYFUNCTION("GOOGLETRANSLATE(A3962, ""en"", ""hi"")"),"आरा डालिया")</f>
        <v>आरा डालिया</v>
      </c>
      <c r="D3962" s="5"/>
      <c r="E3962" s="2" t="s">
        <v>1038</v>
      </c>
      <c r="F3962" s="1">
        <v>8.0</v>
      </c>
      <c r="G3962" s="3" t="s">
        <v>5989</v>
      </c>
    </row>
    <row r="3963">
      <c r="A3963" s="3" t="s">
        <v>9453</v>
      </c>
      <c r="B3963" s="4" t="str">
        <f>IFERROR(__xludf.DUMMYFUNCTION("GOOGLETRANSLATE(A3963, ""en"", ""te"")"),"లక్ష్మి దాలియా")</f>
        <v>లక్ష్మి దాలియా</v>
      </c>
      <c r="C3963" s="4" t="str">
        <f>IFERROR(__xludf.DUMMYFUNCTION("GOOGLETRANSLATE(A3963, ""en"", ""hi"")"),"लक्ष्मी डालिया")</f>
        <v>लक्ष्मी डालिया</v>
      </c>
      <c r="D3963" s="5"/>
      <c r="E3963" s="2" t="s">
        <v>1038</v>
      </c>
      <c r="F3963" s="1">
        <v>8.0</v>
      </c>
      <c r="G3963" s="3" t="s">
        <v>5989</v>
      </c>
    </row>
    <row r="3964">
      <c r="A3964" s="3" t="s">
        <v>9460</v>
      </c>
      <c r="B3964" s="4" t="str">
        <f>IFERROR(__xludf.DUMMYFUNCTION("GOOGLETRANSLATE(A3964, ""en"", ""te"")"),"స్వాద్ చనా దాలియా")</f>
        <v>స్వాద్ చనా దాలియా</v>
      </c>
      <c r="C3964" s="4" t="str">
        <f>IFERROR(__xludf.DUMMYFUNCTION("GOOGLETRANSLATE(A3964, ""en"", ""hi"")"),"स्वाद चना दलिया")</f>
        <v>स्वाद चना दलिया</v>
      </c>
      <c r="D3964" s="2" t="s">
        <v>1036</v>
      </c>
      <c r="E3964" s="2" t="s">
        <v>1038</v>
      </c>
      <c r="F3964" s="1">
        <v>8.0</v>
      </c>
      <c r="G3964" s="3" t="s">
        <v>5989</v>
      </c>
    </row>
    <row r="3965">
      <c r="A3965" s="3" t="s">
        <v>6620</v>
      </c>
      <c r="B3965" s="4" t="str">
        <f>IFERROR(__xludf.DUMMYFUNCTION("GOOGLETRANSLATE(A3965, ""en"", ""te"")"),"మినప పప్పు")</f>
        <v>మినప పప్పు</v>
      </c>
      <c r="C3965" s="4" t="str">
        <f>IFERROR(__xludf.DUMMYFUNCTION("GOOGLETRANSLATE(A3965, ""en"", ""hi"")"),"उड़द की दाल")</f>
        <v>उड़द की दाल</v>
      </c>
      <c r="D3965" s="2" t="s">
        <v>9349</v>
      </c>
      <c r="E3965" s="2" t="s">
        <v>1038</v>
      </c>
      <c r="F3965" s="1">
        <v>8.0</v>
      </c>
      <c r="G3965" s="3" t="s">
        <v>5854</v>
      </c>
    </row>
    <row r="3966">
      <c r="A3966" s="3" t="s">
        <v>9468</v>
      </c>
      <c r="B3966" s="4" t="str">
        <f>IFERROR(__xludf.DUMMYFUNCTION("GOOGLETRANSLATE(A3966, ""en"", ""te"")"),"ముల్ల పప్పు మిక్స్")</f>
        <v>ముల్ల పప్పు మిక్స్</v>
      </c>
      <c r="C3966" s="4" t="str">
        <f>IFERROR(__xludf.DUMMYFUNCTION("GOOGLETRANSLATE(A3966, ""en"", ""hi"")"),"मूला दाल मिक्स")</f>
        <v>मूला दाल मिक्स</v>
      </c>
      <c r="D3966" s="5"/>
      <c r="E3966" s="2" t="s">
        <v>1038</v>
      </c>
      <c r="F3966" s="1">
        <v>8.0</v>
      </c>
      <c r="G3966" s="3" t="s">
        <v>5854</v>
      </c>
    </row>
    <row r="3967">
      <c r="A3967" s="3" t="s">
        <v>9310</v>
      </c>
      <c r="B3967" s="4" t="str">
        <f>IFERROR(__xludf.DUMMYFUNCTION("GOOGLETRANSLATE(A3967, ""en"", ""te"")"),"సేంద్రీయ ఉరద్ బ్లాక్ స్ప్లిట్")</f>
        <v>సేంద్రీయ ఉరద్ బ్లాక్ స్ప్లిట్</v>
      </c>
      <c r="C3967" s="4" t="str">
        <f>IFERROR(__xludf.DUMMYFUNCTION("GOOGLETRANSLATE(A3967, ""en"", ""hi"")"),"ऑर्गेनिक उरद ब्लैक स्प्लिट")</f>
        <v>ऑर्गेनिक उरद ब्लैक स्प्लिट</v>
      </c>
      <c r="D3967" s="2" t="s">
        <v>9311</v>
      </c>
      <c r="E3967" s="2" t="s">
        <v>1038</v>
      </c>
      <c r="F3967" s="1">
        <v>8.0</v>
      </c>
      <c r="G3967" s="3" t="s">
        <v>5859</v>
      </c>
    </row>
    <row r="3968">
      <c r="A3968" s="3" t="s">
        <v>9469</v>
      </c>
      <c r="B3968" s="4" t="str">
        <f>IFERROR(__xludf.DUMMYFUNCTION("GOOGLETRANSLATE(A3968, ""en"", ""te"")"),"24 మంత్ర ఆర్గానిక్ మినప నల్ల మినప గింజలు")</f>
        <v>24 మంత్ర ఆర్గానిక్ మినప నల్ల మినప గింజలు</v>
      </c>
      <c r="C3968" s="4" t="str">
        <f>IFERROR(__xludf.DUMMYFUNCTION("GOOGLETRANSLATE(A3968, ""en"", ""hi"")"),"24 मंत्रा ऑर्गेनिक उड़द काली साबुत")</f>
        <v>24 मंत्रा ऑर्गेनिक उड़द काली साबुत</v>
      </c>
      <c r="D3968" s="2" t="s">
        <v>9309</v>
      </c>
      <c r="E3968" s="2" t="s">
        <v>1038</v>
      </c>
      <c r="F3968" s="1">
        <v>8.0</v>
      </c>
      <c r="G3968" s="3" t="s">
        <v>5859</v>
      </c>
    </row>
    <row r="3969">
      <c r="A3969" s="3" t="s">
        <v>9470</v>
      </c>
      <c r="B3969" s="4" t="str">
        <f>IFERROR(__xludf.DUMMYFUNCTION("GOOGLETRANSLATE(A3969, ""en"", ""te"")"),"ఉరద్ బ్లాక్ హోల్")</f>
        <v>ఉరద్ బ్లాక్ హోల్</v>
      </c>
      <c r="C3969" s="4" t="str">
        <f>IFERROR(__xludf.DUMMYFUNCTION("GOOGLETRANSLATE(A3969, ""en"", ""hi"")"),"उरद ब्लैक होल")</f>
        <v>उरद ब्लैक होल</v>
      </c>
      <c r="D3969" s="2" t="s">
        <v>9309</v>
      </c>
      <c r="E3969" s="2" t="s">
        <v>1038</v>
      </c>
      <c r="F3969" s="1">
        <v>8.0</v>
      </c>
      <c r="G3969" s="3" t="s">
        <v>5859</v>
      </c>
    </row>
    <row r="3970">
      <c r="A3970" s="3" t="s">
        <v>6807</v>
      </c>
      <c r="B3970" s="4" t="str">
        <f>IFERROR(__xludf.DUMMYFUNCTION("GOOGLETRANSLATE(A3970, ""en"", ""te"")"),"పసుపు వటన")</f>
        <v>పసుపు వటన</v>
      </c>
      <c r="C3970" s="4" t="str">
        <f>IFERROR(__xludf.DUMMYFUNCTION("GOOGLETRANSLATE(A3970, ""en"", ""hi"")"),"पीला वटाना")</f>
        <v>पीला वटाना</v>
      </c>
      <c r="D3970" s="2" t="s">
        <v>9471</v>
      </c>
      <c r="E3970" s="2" t="s">
        <v>1038</v>
      </c>
      <c r="F3970" s="1">
        <v>8.0</v>
      </c>
      <c r="G3970" s="3" t="s">
        <v>5989</v>
      </c>
    </row>
    <row r="3971">
      <c r="A3971" s="3" t="s">
        <v>9472</v>
      </c>
      <c r="B3971" s="4" t="str">
        <f>IFERROR(__xludf.DUMMYFUNCTION("GOOGLETRANSLATE(A3971, ""en"", ""te"")"),"లక్ష్మి గ్రీన్ వటానా")</f>
        <v>లక్ష్మి గ్రీన్ వటానా</v>
      </c>
      <c r="C3971" s="4" t="str">
        <f>IFERROR(__xludf.DUMMYFUNCTION("GOOGLETRANSLATE(A3971, ""en"", ""hi"")"),"लक्ष्मी ग्रीन वटाना")</f>
        <v>लक्ष्मी ग्रीन वटाना</v>
      </c>
      <c r="D3971" s="2" t="s">
        <v>9471</v>
      </c>
      <c r="E3971" s="2" t="s">
        <v>1038</v>
      </c>
      <c r="F3971" s="1">
        <v>8.0</v>
      </c>
      <c r="G3971" s="3" t="s">
        <v>5989</v>
      </c>
    </row>
    <row r="3972">
      <c r="A3972" s="3" t="s">
        <v>9473</v>
      </c>
      <c r="B3972" s="4" t="str">
        <f>IFERROR(__xludf.DUMMYFUNCTION("GOOGLETRANSLATE(A3972, ""en"", ""te"")"),"స్వాద్ సాల్టెడ్ వటానా")</f>
        <v>స్వాద్ సాల్టెడ్ వటానా</v>
      </c>
      <c r="C3972" s="4" t="str">
        <f>IFERROR(__xludf.DUMMYFUNCTION("GOOGLETRANSLATE(A3972, ""en"", ""hi"")"),"स्वाद नमकीन वटाना")</f>
        <v>स्वाद नमकीन वटाना</v>
      </c>
      <c r="D3972" s="2" t="s">
        <v>9471</v>
      </c>
      <c r="E3972" s="2" t="s">
        <v>1038</v>
      </c>
      <c r="F3972" s="1">
        <v>8.0</v>
      </c>
      <c r="G3972" s="3" t="s">
        <v>5989</v>
      </c>
    </row>
    <row r="3973">
      <c r="A3973" s="3" t="s">
        <v>9474</v>
      </c>
      <c r="B3973" s="4" t="str">
        <f>IFERROR(__xludf.DUMMYFUNCTION("GOOGLETRANSLATE(A3973, ""en"", ""te"")"),"స్వాద్ వతానా గ్రీన్")</f>
        <v>స్వాద్ వతానా గ్రీన్</v>
      </c>
      <c r="C3973" s="4" t="str">
        <f>IFERROR(__xludf.DUMMYFUNCTION("GOOGLETRANSLATE(A3973, ""en"", ""hi"")"),"स्वाद वटाना ग्रीन")</f>
        <v>स्वाद वटाना ग्रीन</v>
      </c>
      <c r="D3973" s="2" t="s">
        <v>9471</v>
      </c>
      <c r="E3973" s="2" t="s">
        <v>1038</v>
      </c>
      <c r="F3973" s="1">
        <v>8.0</v>
      </c>
      <c r="G3973" s="3" t="s">
        <v>5989</v>
      </c>
    </row>
    <row r="3974">
      <c r="A3974" s="3" t="s">
        <v>9475</v>
      </c>
      <c r="B3974" s="4" t="str">
        <f>IFERROR(__xludf.DUMMYFUNCTION("GOOGLETRANSLATE(A3974, ""en"", ""te"")"),"డాలియా")</f>
        <v>డాలియా</v>
      </c>
      <c r="C3974" s="4" t="str">
        <f>IFERROR(__xludf.DUMMYFUNCTION("GOOGLETRANSLATE(A3974, ""en"", ""hi"")"),"डालिया")</f>
        <v>डालिया</v>
      </c>
      <c r="D3974" s="5"/>
      <c r="E3974" s="2" t="s">
        <v>1038</v>
      </c>
      <c r="F3974" s="1">
        <v>8.0</v>
      </c>
      <c r="G3974" s="3" t="s">
        <v>5989</v>
      </c>
    </row>
    <row r="3975">
      <c r="A3975" s="3" t="s">
        <v>4249</v>
      </c>
      <c r="B3975" s="4" t="str">
        <f>IFERROR(__xludf.DUMMYFUNCTION("GOOGLETRANSLATE(A3975, ""en"", ""te"")"),"లక్ష్మి ఉరద్ దాల్")</f>
        <v>లక్ష్మి ఉరద్ దాల్</v>
      </c>
      <c r="C3975" s="4" t="str">
        <f>IFERROR(__xludf.DUMMYFUNCTION("GOOGLETRANSLATE(A3975, ""en"", ""hi"")"),"लक्ष्मी उड़द दाल")</f>
        <v>लक्ष्मी उड़द दाल</v>
      </c>
      <c r="D3975" s="2" t="s">
        <v>9349</v>
      </c>
      <c r="E3975" s="2" t="s">
        <v>1038</v>
      </c>
      <c r="F3975" s="1">
        <v>8.0</v>
      </c>
      <c r="G3975" s="3" t="s">
        <v>5854</v>
      </c>
    </row>
    <row r="3976">
      <c r="A3976" s="3" t="s">
        <v>9476</v>
      </c>
      <c r="B3976" s="4" t="str">
        <f>IFERROR(__xludf.DUMMYFUNCTION("GOOGLETRANSLATE(A3976, ""en"", ""te"")"),"ఆరా ఉరద్ దాల్")</f>
        <v>ఆరా ఉరద్ దాల్</v>
      </c>
      <c r="C3976" s="4" t="str">
        <f>IFERROR(__xludf.DUMMYFUNCTION("GOOGLETRANSLATE(A3976, ""en"", ""hi"")"),"आरा उड़द दल")</f>
        <v>आरा उड़द दल</v>
      </c>
      <c r="D3976" s="2" t="s">
        <v>9477</v>
      </c>
      <c r="E3976" s="2" t="s">
        <v>1038</v>
      </c>
      <c r="F3976" s="1">
        <v>8.0</v>
      </c>
      <c r="G3976" s="3" t="s">
        <v>5854</v>
      </c>
    </row>
    <row r="3977">
      <c r="A3977" s="3" t="s">
        <v>9478</v>
      </c>
      <c r="B3977" s="4" t="str">
        <f>IFERROR(__xludf.DUMMYFUNCTION("GOOGLETRANSLATE(A3977, ""en"", ""te"")"),"24 మంత్ర ఆర్గానిక్ ఉరద్ బ్లాక్ స్ప్లిట్")</f>
        <v>24 మంత్ర ఆర్గానిక్ ఉరద్ బ్లాక్ స్ప్లిట్</v>
      </c>
      <c r="C3977" s="4" t="str">
        <f>IFERROR(__xludf.DUMMYFUNCTION("GOOGLETRANSLATE(A3977, ""en"", ""hi"")"),"24 मंत्रा ऑर्गेनिक उड़द ब्लैक स्प्लिट")</f>
        <v>24 मंत्रा ऑर्गेनिक उड़द ब्लैक स्प्लिट</v>
      </c>
      <c r="D3977" s="2" t="s">
        <v>9182</v>
      </c>
      <c r="E3977" s="2" t="s">
        <v>1038</v>
      </c>
      <c r="F3977" s="1">
        <v>8.0</v>
      </c>
      <c r="G3977" s="3" t="s">
        <v>5859</v>
      </c>
    </row>
    <row r="3978">
      <c r="A3978" s="3" t="s">
        <v>9479</v>
      </c>
      <c r="B3978" s="4" t="str">
        <f>IFERROR(__xludf.DUMMYFUNCTION("GOOGLETRANSLATE(A3978, ""en"", ""te"")"),"ఆరా ఉరద్ బ్లాక్ హోల్")</f>
        <v>ఆరా ఉరద్ బ్లాక్ హోల్</v>
      </c>
      <c r="C3978" s="4" t="str">
        <f>IFERROR(__xludf.DUMMYFUNCTION("GOOGLETRANSLATE(A3978, ""en"", ""hi"")"),"आरा उरद ब्लैक होल")</f>
        <v>आरा उरद ब्लैक होल</v>
      </c>
      <c r="D3978" s="2" t="s">
        <v>9309</v>
      </c>
      <c r="E3978" s="2" t="s">
        <v>1038</v>
      </c>
      <c r="F3978" s="1">
        <v>8.0</v>
      </c>
      <c r="G3978" s="3" t="s">
        <v>5859</v>
      </c>
    </row>
    <row r="3979">
      <c r="A3979" s="3" t="s">
        <v>9480</v>
      </c>
      <c r="B3979" s="4" t="str">
        <f>IFERROR(__xludf.DUMMYFUNCTION("GOOGLETRANSLATE(A3979, ""en"", ""te"")"),"ఆరా వటానా వైట్")</f>
        <v>ఆరా వటానా వైట్</v>
      </c>
      <c r="C3979" s="4" t="str">
        <f>IFERROR(__xludf.DUMMYFUNCTION("GOOGLETRANSLATE(A3979, ""en"", ""hi"")"),"आरा वटाना व्हाइट")</f>
        <v>आरा वटाना व्हाइट</v>
      </c>
      <c r="D3979" s="2" t="s">
        <v>9471</v>
      </c>
      <c r="E3979" s="2" t="s">
        <v>1038</v>
      </c>
      <c r="F3979" s="1">
        <v>8.0</v>
      </c>
      <c r="G3979" s="3" t="s">
        <v>5989</v>
      </c>
    </row>
    <row r="3980">
      <c r="A3980" s="3" t="s">
        <v>9481</v>
      </c>
      <c r="B3980" s="4" t="str">
        <f>IFERROR(__xludf.DUMMYFUNCTION("GOOGLETRANSLATE(A3980, ""en"", ""te"")"),"లక్ష్మి పసుపు వాతన")</f>
        <v>లక్ష్మి పసుపు వాతన</v>
      </c>
      <c r="C3980" s="4" t="str">
        <f>IFERROR(__xludf.DUMMYFUNCTION("GOOGLETRANSLATE(A3980, ""en"", ""hi"")"),"लक्ष्मी येलो वटाना")</f>
        <v>लक्ष्मी येलो वटाना</v>
      </c>
      <c r="D3980" s="2" t="s">
        <v>9471</v>
      </c>
      <c r="E3980" s="2" t="s">
        <v>1038</v>
      </c>
      <c r="F3980" s="1">
        <v>8.0</v>
      </c>
      <c r="G3980" s="3" t="s">
        <v>5989</v>
      </c>
    </row>
    <row r="3981">
      <c r="A3981" s="3" t="s">
        <v>4249</v>
      </c>
      <c r="B3981" s="4" t="str">
        <f>IFERROR(__xludf.DUMMYFUNCTION("GOOGLETRANSLATE(A3981, ""en"", ""te"")"),"లక్ష్మి ఉరద్ దాల్")</f>
        <v>లక్ష్మి ఉరద్ దాల్</v>
      </c>
      <c r="C3981" s="4" t="str">
        <f>IFERROR(__xludf.DUMMYFUNCTION("GOOGLETRANSLATE(A3981, ""en"", ""hi"")"),"लक्ष्मी उड़द दाल")</f>
        <v>लक्ष्मी उड़द दाल</v>
      </c>
      <c r="D3981" s="2" t="s">
        <v>9349</v>
      </c>
      <c r="E3981" s="2" t="s">
        <v>1038</v>
      </c>
      <c r="F3981" s="1">
        <v>8.0</v>
      </c>
      <c r="G3981" s="3" t="s">
        <v>71</v>
      </c>
    </row>
    <row r="3982">
      <c r="A3982" s="3" t="s">
        <v>9482</v>
      </c>
      <c r="B3982" s="4" t="str">
        <f>IFERROR(__xludf.DUMMYFUNCTION("GOOGLETRANSLATE(A3982, ""en"", ""te"")"),"మినప పప్పు నల్ల మాట్పే బీన్స్")</f>
        <v>మినప పప్పు నల్ల మాట్పే బీన్స్</v>
      </c>
      <c r="C3982" s="4" t="str">
        <f>IFERROR(__xludf.DUMMYFUNCTION("GOOGLETRANSLATE(A3982, ""en"", ""hi"")"),"उड़द दाल काली मटपे बीन्स")</f>
        <v>उड़द दाल काली मटपे बीन्स</v>
      </c>
      <c r="D3982" s="2" t="s">
        <v>9483</v>
      </c>
      <c r="E3982" s="2" t="s">
        <v>1038</v>
      </c>
      <c r="F3982" s="1">
        <v>8.0</v>
      </c>
      <c r="G3982" s="3" t="s">
        <v>71</v>
      </c>
    </row>
    <row r="3983">
      <c r="A3983" s="3" t="s">
        <v>5143</v>
      </c>
      <c r="B3983" s="4" t="str">
        <f>IFERROR(__xludf.DUMMYFUNCTION("GOOGLETRANSLATE(A3983, ""en"", ""te"")"),"సేంద్రీయ మసూర్ పప్పు")</f>
        <v>సేంద్రీయ మసూర్ పప్పు</v>
      </c>
      <c r="C3983" s="4" t="str">
        <f>IFERROR(__xludf.DUMMYFUNCTION("GOOGLETRANSLATE(A3983, ""en"", ""hi"")"),"ऑर्गेनिक मसूर दाल")</f>
        <v>ऑर्गेनिक मसूर दाल</v>
      </c>
      <c r="D3983" s="5"/>
      <c r="E3983" s="2" t="s">
        <v>1038</v>
      </c>
      <c r="F3983" s="1">
        <v>8.0</v>
      </c>
      <c r="G3983" s="3" t="s">
        <v>76</v>
      </c>
    </row>
    <row r="3984">
      <c r="A3984" s="3" t="s">
        <v>9484</v>
      </c>
      <c r="B3984" s="4" t="str">
        <f>IFERROR(__xludf.DUMMYFUNCTION("GOOGLETRANSLATE(A3984, ""en"", ""te"")"),"లక్ష్మి పసుపు పప్పులు")</f>
        <v>లక్ష్మి పసుపు పప్పులు</v>
      </c>
      <c r="C3984" s="4" t="str">
        <f>IFERROR(__xludf.DUMMYFUNCTION("GOOGLETRANSLATE(A3984, ""en"", ""hi"")"),"लक्ष्मी पीली मटर")</f>
        <v>लक्ष्मी पीली मटर</v>
      </c>
      <c r="D3984" s="2" t="s">
        <v>9184</v>
      </c>
      <c r="E3984" s="2" t="s">
        <v>1038</v>
      </c>
      <c r="F3984" s="1">
        <v>8.0</v>
      </c>
      <c r="G3984" s="3" t="s">
        <v>85</v>
      </c>
    </row>
    <row r="3985">
      <c r="A3985" s="3" t="s">
        <v>9480</v>
      </c>
      <c r="B3985" s="4" t="str">
        <f>IFERROR(__xludf.DUMMYFUNCTION("GOOGLETRANSLATE(A3985, ""en"", ""te"")"),"ఆరా వటానా వైట్")</f>
        <v>ఆరా వటానా వైట్</v>
      </c>
      <c r="C3985" s="4" t="str">
        <f>IFERROR(__xludf.DUMMYFUNCTION("GOOGLETRANSLATE(A3985, ""en"", ""hi"")"),"आरा वटाना व्हाइट")</f>
        <v>आरा वटाना व्हाइट</v>
      </c>
      <c r="D3985" s="2" t="s">
        <v>9471</v>
      </c>
      <c r="E3985" s="2" t="s">
        <v>1038</v>
      </c>
      <c r="F3985" s="1">
        <v>8.0</v>
      </c>
      <c r="G3985" s="3" t="s">
        <v>85</v>
      </c>
    </row>
    <row r="3986">
      <c r="A3986" s="3" t="s">
        <v>9481</v>
      </c>
      <c r="B3986" s="4" t="str">
        <f>IFERROR(__xludf.DUMMYFUNCTION("GOOGLETRANSLATE(A3986, ""en"", ""te"")"),"లక్ష్మి పసుపు వాతన")</f>
        <v>లక్ష్మి పసుపు వాతన</v>
      </c>
      <c r="C3986" s="4" t="str">
        <f>IFERROR(__xludf.DUMMYFUNCTION("GOOGLETRANSLATE(A3986, ""en"", ""hi"")"),"लक्ष्मी येलो वटाना")</f>
        <v>लक्ष्मी येलो वटाना</v>
      </c>
      <c r="D3986" s="2" t="s">
        <v>9471</v>
      </c>
      <c r="E3986" s="2" t="s">
        <v>1038</v>
      </c>
      <c r="F3986" s="1">
        <v>8.0</v>
      </c>
      <c r="G3986" s="3" t="s">
        <v>85</v>
      </c>
    </row>
    <row r="3987">
      <c r="A3987" s="3" t="s">
        <v>9472</v>
      </c>
      <c r="B3987" s="4" t="str">
        <f>IFERROR(__xludf.DUMMYFUNCTION("GOOGLETRANSLATE(A3987, ""en"", ""te"")"),"లక్ష్మి గ్రీన్ వటానా")</f>
        <v>లక్ష్మి గ్రీన్ వటానా</v>
      </c>
      <c r="C3987" s="4" t="str">
        <f>IFERROR(__xludf.DUMMYFUNCTION("GOOGLETRANSLATE(A3987, ""en"", ""hi"")"),"लक्ष्मी ग्रीन वटाना")</f>
        <v>लक्ष्मी ग्रीन वटाना</v>
      </c>
      <c r="D3987" s="2" t="s">
        <v>9471</v>
      </c>
      <c r="E3987" s="2" t="s">
        <v>1038</v>
      </c>
      <c r="F3987" s="1">
        <v>8.0</v>
      </c>
      <c r="G3987" s="3" t="s">
        <v>85</v>
      </c>
    </row>
    <row r="3988">
      <c r="A3988" s="3" t="s">
        <v>9473</v>
      </c>
      <c r="B3988" s="4" t="str">
        <f>IFERROR(__xludf.DUMMYFUNCTION("GOOGLETRANSLATE(A3988, ""en"", ""te"")"),"స్వాద్ సాల్టెడ్ వటానా")</f>
        <v>స్వాద్ సాల్టెడ్ వటానా</v>
      </c>
      <c r="C3988" s="4" t="str">
        <f>IFERROR(__xludf.DUMMYFUNCTION("GOOGLETRANSLATE(A3988, ""en"", ""hi"")"),"स्वाद नमकीन वटाना")</f>
        <v>स्वाद नमकीन वटाना</v>
      </c>
      <c r="D3988" s="2" t="s">
        <v>9471</v>
      </c>
      <c r="E3988" s="2" t="s">
        <v>1038</v>
      </c>
      <c r="F3988" s="1">
        <v>8.0</v>
      </c>
      <c r="G3988" s="3" t="s">
        <v>85</v>
      </c>
    </row>
    <row r="3989">
      <c r="A3989" s="3" t="s">
        <v>9485</v>
      </c>
      <c r="B3989" s="4" t="str">
        <f>IFERROR(__xludf.DUMMYFUNCTION("GOOGLETRANSLATE(A3989, ""en"", ""te"")"),"Daui Urad Dal Split")</f>
        <v>Daui Urad Dal Split</v>
      </c>
      <c r="C3989" s="4" t="str">
        <f>IFERROR(__xludf.DUMMYFUNCTION("GOOGLETRANSLATE(A3989, ""en"", ""hi"")"),"Daui Urad Dal Split")</f>
        <v>Daui Urad Dal Split</v>
      </c>
      <c r="D3989" s="2" t="s">
        <v>3379</v>
      </c>
      <c r="E3989" s="2" t="s">
        <v>1038</v>
      </c>
      <c r="F3989" s="1">
        <v>8.0</v>
      </c>
      <c r="G3989" s="3" t="s">
        <v>6556</v>
      </c>
    </row>
    <row r="3990">
      <c r="A3990" s="3" t="s">
        <v>9486</v>
      </c>
      <c r="B3990" s="4" t="str">
        <f>IFERROR(__xludf.DUMMYFUNCTION("GOOGLETRANSLATE(A3990, ""en"", ""te"")"),"24 మంత్ర ఆర్గానిక్ ఉరద్ వైట్ స్ప్లిట్")</f>
        <v>24 మంత్ర ఆర్గానిక్ ఉరద్ వైట్ స్ప్లిట్</v>
      </c>
      <c r="C3990" s="4" t="str">
        <f>IFERROR(__xludf.DUMMYFUNCTION("GOOGLETRANSLATE(A3990, ""en"", ""hi"")"),"24 मंत्रा ऑर्गेनिक उड़द व्हाइट स्प्लिट")</f>
        <v>24 मंत्रा ऑर्गेनिक उड़द व्हाइट स्प्लिट</v>
      </c>
      <c r="D3990" s="5"/>
      <c r="E3990" s="2" t="s">
        <v>1038</v>
      </c>
      <c r="F3990" s="1">
        <v>8.0</v>
      </c>
      <c r="G3990" s="3" t="s">
        <v>6605</v>
      </c>
    </row>
    <row r="3991">
      <c r="A3991" s="3" t="s">
        <v>9487</v>
      </c>
      <c r="B3991" s="4" t="str">
        <f>IFERROR(__xludf.DUMMYFUNCTION("GOOGLETRANSLATE(A3991, ""en"", ""te"")"),"24 మంత్ర ఆర్గానిక్ ఉరద్ వైట్ హోల్")</f>
        <v>24 మంత్ర ఆర్గానిక్ ఉరద్ వైట్ హోల్</v>
      </c>
      <c r="C3991" s="4" t="str">
        <f>IFERROR(__xludf.DUMMYFUNCTION("GOOGLETRANSLATE(A3991, ""en"", ""hi"")"),"24 मंत्रा ऑर्गेनिक उड़द सफेद साबुत")</f>
        <v>24 मंत्रा ऑर्गेनिक उड़द सफेद साबुत</v>
      </c>
      <c r="D3991" s="2" t="s">
        <v>9309</v>
      </c>
      <c r="E3991" s="2" t="s">
        <v>1038</v>
      </c>
      <c r="F3991" s="1">
        <v>8.0</v>
      </c>
      <c r="G3991" s="3" t="s">
        <v>6605</v>
      </c>
    </row>
    <row r="3992">
      <c r="A3992" s="3" t="s">
        <v>9488</v>
      </c>
      <c r="B3992" s="4" t="str">
        <f>IFERROR(__xludf.DUMMYFUNCTION("GOOGLETRANSLATE(A3992, ""en"", ""te"")"),"లక్ష్మి ఉరద్ వైట్ స్ప్లిట్")</f>
        <v>లక్ష్మి ఉరద్ వైట్ స్ప్లిట్</v>
      </c>
      <c r="C3992" s="4" t="str">
        <f>IFERROR(__xludf.DUMMYFUNCTION("GOOGLETRANSLATE(A3992, ""en"", ""hi"")"),"लक्ष्मी उड़द व्हाइट स्प्लिट")</f>
        <v>लक्ष्मी उड़द व्हाइट स्प्लिट</v>
      </c>
      <c r="D3992" s="2" t="s">
        <v>9309</v>
      </c>
      <c r="E3992" s="2" t="s">
        <v>1038</v>
      </c>
      <c r="F3992" s="1">
        <v>8.0</v>
      </c>
      <c r="G3992" s="3" t="s">
        <v>6605</v>
      </c>
    </row>
    <row r="3993">
      <c r="A3993" s="3" t="s">
        <v>9379</v>
      </c>
      <c r="B3993" s="4" t="str">
        <f>IFERROR(__xludf.DUMMYFUNCTION("GOOGLETRANSLATE(A3993, ""en"", ""te"")"),"ఆరా మసూర్ దల్")</f>
        <v>ఆరా మసూర్ దల్</v>
      </c>
      <c r="C3993" s="4" t="str">
        <f>IFERROR(__xludf.DUMMYFUNCTION("GOOGLETRANSLATE(A3993, ""en"", ""hi"")"),"आरा मसूर दाल")</f>
        <v>आरा मसूर दाल</v>
      </c>
      <c r="D3993" s="5"/>
      <c r="E3993" s="2" t="s">
        <v>1038</v>
      </c>
      <c r="F3993" s="1">
        <v>8.0</v>
      </c>
      <c r="G3993" s="3" t="s">
        <v>6605</v>
      </c>
    </row>
    <row r="3994">
      <c r="A3994" s="3" t="s">
        <v>9484</v>
      </c>
      <c r="B3994" s="4" t="str">
        <f>IFERROR(__xludf.DUMMYFUNCTION("GOOGLETRANSLATE(A3994, ""en"", ""te"")"),"లక్ష్మి పసుపు పప్పులు")</f>
        <v>లక్ష్మి పసుపు పప్పులు</v>
      </c>
      <c r="C3994" s="4" t="str">
        <f>IFERROR(__xludf.DUMMYFUNCTION("GOOGLETRANSLATE(A3994, ""en"", ""hi"")"),"लक्ष्मी पीली मटर")</f>
        <v>लक्ष्मी पीली मटर</v>
      </c>
      <c r="D3994" s="2" t="s">
        <v>9184</v>
      </c>
      <c r="E3994" s="2" t="s">
        <v>1038</v>
      </c>
      <c r="F3994" s="1">
        <v>8.0</v>
      </c>
      <c r="G3994" s="3" t="s">
        <v>6628</v>
      </c>
    </row>
    <row r="3995">
      <c r="A3995" s="3" t="s">
        <v>9480</v>
      </c>
      <c r="B3995" s="4" t="str">
        <f>IFERROR(__xludf.DUMMYFUNCTION("GOOGLETRANSLATE(A3995, ""en"", ""te"")"),"ఆరా వటానా వైట్")</f>
        <v>ఆరా వటానా వైట్</v>
      </c>
      <c r="C3995" s="4" t="str">
        <f>IFERROR(__xludf.DUMMYFUNCTION("GOOGLETRANSLATE(A3995, ""en"", ""hi"")"),"आरा वटाना व्हाइट")</f>
        <v>आरा वटाना व्हाइट</v>
      </c>
      <c r="D3995" s="2" t="s">
        <v>9471</v>
      </c>
      <c r="E3995" s="2" t="s">
        <v>1038</v>
      </c>
      <c r="F3995" s="1">
        <v>8.0</v>
      </c>
      <c r="G3995" s="3" t="s">
        <v>6628</v>
      </c>
    </row>
    <row r="3996">
      <c r="A3996" s="3" t="s">
        <v>9481</v>
      </c>
      <c r="B3996" s="4" t="str">
        <f>IFERROR(__xludf.DUMMYFUNCTION("GOOGLETRANSLATE(A3996, ""en"", ""te"")"),"లక్ష్మి పసుపు వాతన")</f>
        <v>లక్ష్మి పసుపు వాతన</v>
      </c>
      <c r="C3996" s="4" t="str">
        <f>IFERROR(__xludf.DUMMYFUNCTION("GOOGLETRANSLATE(A3996, ""en"", ""hi"")"),"लक्ष्मी येलो वटाना")</f>
        <v>लक्ष्मी येलो वटाना</v>
      </c>
      <c r="D3996" s="2" t="s">
        <v>9471</v>
      </c>
      <c r="E3996" s="2" t="s">
        <v>1038</v>
      </c>
      <c r="F3996" s="1">
        <v>8.0</v>
      </c>
      <c r="G3996" s="3" t="s">
        <v>6628</v>
      </c>
    </row>
    <row r="3997">
      <c r="A3997" s="3" t="s">
        <v>9463</v>
      </c>
      <c r="B3997" s="4" t="str">
        <f>IFERROR(__xludf.DUMMYFUNCTION("GOOGLETRANSLATE(A3997, ""en"", ""te"")"),"ఉరద్ గోటా")</f>
        <v>ఉరద్ గోటా</v>
      </c>
      <c r="C3997" s="4" t="str">
        <f>IFERROR(__xludf.DUMMYFUNCTION("GOOGLETRANSLATE(A3997, ""en"", ""hi"")"),"उरद गोटा")</f>
        <v>उरद गोटा</v>
      </c>
      <c r="D3997" s="2" t="s">
        <v>9255</v>
      </c>
      <c r="E3997" s="2" t="s">
        <v>1038</v>
      </c>
      <c r="F3997" s="1">
        <v>8.0</v>
      </c>
      <c r="G3997" s="3" t="s">
        <v>6556</v>
      </c>
    </row>
    <row r="3998">
      <c r="A3998" s="3" t="s">
        <v>9489</v>
      </c>
      <c r="B3998" s="4" t="str">
        <f>IFERROR(__xludf.DUMMYFUNCTION("GOOGLETRANSLATE(A3998, ""en"", ""te"")"),"రాధే సోయా బీన్")</f>
        <v>రాధే సోయా బీన్</v>
      </c>
      <c r="C3998" s="4" t="str">
        <f>IFERROR(__xludf.DUMMYFUNCTION("GOOGLETRANSLATE(A3998, ""en"", ""hi"")"),"राधे सोयाबीन")</f>
        <v>राधे सोयाबीन</v>
      </c>
      <c r="D3998" s="2" t="s">
        <v>8524</v>
      </c>
      <c r="E3998" s="2" t="s">
        <v>1038</v>
      </c>
      <c r="F3998" s="1">
        <v>8.0</v>
      </c>
      <c r="G3998" s="3" t="s">
        <v>6628</v>
      </c>
    </row>
    <row r="3999">
      <c r="A3999" s="3" t="s">
        <v>9490</v>
      </c>
      <c r="B3999" s="4" t="str">
        <f>IFERROR(__xludf.DUMMYFUNCTION("GOOGLETRANSLATE(A3999, ""en"", ""te"")"),"మినప కాయ మొత్తం")</f>
        <v>మినప కాయ మొత్తం</v>
      </c>
      <c r="C3999" s="4" t="str">
        <f>IFERROR(__xludf.DUMMYFUNCTION("GOOGLETRANSLATE(A3999, ""en"", ""hi"")"),"उड़द संपूर्ण")</f>
        <v>उड़द संपूर्ण</v>
      </c>
      <c r="D3999" s="2" t="s">
        <v>9309</v>
      </c>
      <c r="E3999" s="2" t="s">
        <v>1038</v>
      </c>
      <c r="F3999" s="1">
        <v>8.0</v>
      </c>
      <c r="G3999" s="3" t="s">
        <v>71</v>
      </c>
    </row>
    <row r="4000">
      <c r="A4000" s="3" t="s">
        <v>9491</v>
      </c>
      <c r="B4000" s="4" t="str">
        <f>IFERROR(__xludf.DUMMYFUNCTION("GOOGLETRANSLATE(A4000, ""en"", ""te"")"),"దాల్వి ఉరద్ గోటా")</f>
        <v>దాల్వి ఉరద్ గోటా</v>
      </c>
      <c r="C4000" s="4" t="str">
        <f>IFERROR(__xludf.DUMMYFUNCTION("GOOGLETRANSLATE(A4000, ""en"", ""hi"")"),"दालवी उड़द गोटा")</f>
        <v>दालवी उड़द गोटा</v>
      </c>
      <c r="D4000" s="5"/>
      <c r="E4000" s="2" t="s">
        <v>1038</v>
      </c>
      <c r="F4000" s="1">
        <v>8.0</v>
      </c>
      <c r="G4000" s="3" t="s">
        <v>71</v>
      </c>
    </row>
    <row r="4001">
      <c r="A4001" s="3" t="s">
        <v>9463</v>
      </c>
      <c r="B4001" s="4" t="str">
        <f>IFERROR(__xludf.DUMMYFUNCTION("GOOGLETRANSLATE(A4001, ""en"", ""te"")"),"ఉరద్ గోటా")</f>
        <v>ఉరద్ గోటా</v>
      </c>
      <c r="C4001" s="4" t="str">
        <f>IFERROR(__xludf.DUMMYFUNCTION("GOOGLETRANSLATE(A4001, ""en"", ""hi"")"),"उरद गोटा")</f>
        <v>उरद गोटा</v>
      </c>
      <c r="D4001" s="2" t="s">
        <v>9255</v>
      </c>
      <c r="E4001" s="2" t="s">
        <v>1038</v>
      </c>
      <c r="F4001" s="1">
        <v>8.0</v>
      </c>
      <c r="G4001" s="3" t="s">
        <v>71</v>
      </c>
    </row>
    <row r="4002">
      <c r="A4002" s="3" t="s">
        <v>9345</v>
      </c>
      <c r="B4002" s="4" t="str">
        <f>IFERROR(__xludf.DUMMYFUNCTION("GOOGLETRANSLATE(A4002, ""en"", ""te"")"),"లక్ష్మి ఉరద్ గోటా")</f>
        <v>లక్ష్మి ఉరద్ గోటా</v>
      </c>
      <c r="C4002" s="4" t="str">
        <f>IFERROR(__xludf.DUMMYFUNCTION("GOOGLETRANSLATE(A4002, ""en"", ""hi"")"),"लक्ष्मी उड़द गोटा")</f>
        <v>लक्ष्मी उड़द गोटा</v>
      </c>
      <c r="D4002" s="2" t="s">
        <v>9255</v>
      </c>
      <c r="E4002" s="2" t="s">
        <v>1038</v>
      </c>
      <c r="F4002" s="1">
        <v>8.0</v>
      </c>
      <c r="G4002" s="3" t="s">
        <v>71</v>
      </c>
    </row>
    <row r="4003">
      <c r="A4003" s="3" t="s">
        <v>9346</v>
      </c>
      <c r="B4003" s="4" t="str">
        <f>IFERROR(__xludf.DUMMYFUNCTION("GOOGLETRANSLATE(A4003, ""en"", ""te"")"),"సేంద్రీయ పంచరతన్ పప్పు")</f>
        <v>సేంద్రీయ పంచరతన్ పప్పు</v>
      </c>
      <c r="C4003" s="4" t="str">
        <f>IFERROR(__xludf.DUMMYFUNCTION("GOOGLETRANSLATE(A4003, ""en"", ""hi"")"),"ऑर्गेनिक पंचरतन दाल")</f>
        <v>ऑर्गेनिक पंचरतन दाल</v>
      </c>
      <c r="D4003" s="2" t="s">
        <v>3379</v>
      </c>
      <c r="E4003" s="2" t="s">
        <v>1038</v>
      </c>
      <c r="F4003" s="1">
        <v>8.0</v>
      </c>
      <c r="G4003" s="3" t="s">
        <v>76</v>
      </c>
    </row>
    <row r="4004">
      <c r="A4004" s="3" t="s">
        <v>9347</v>
      </c>
      <c r="B4004" s="4" t="str">
        <f>IFERROR(__xludf.DUMMYFUNCTION("GOOGLETRANSLATE(A4004, ""en"", ""te"")"),"సేంద్రీయ మినప తెల్లని మొత్తం")</f>
        <v>సేంద్రీయ మినప తెల్లని మొత్తం</v>
      </c>
      <c r="C4004" s="4" t="str">
        <f>IFERROR(__xludf.DUMMYFUNCTION("GOOGLETRANSLATE(A4004, ""en"", ""hi"")"),"ऑर्गेनिक उड़द सफेद साबुत")</f>
        <v>ऑर्गेनिक उड़द सफेद साबुत</v>
      </c>
      <c r="D4004" s="2" t="s">
        <v>9309</v>
      </c>
      <c r="E4004" s="2" t="s">
        <v>1038</v>
      </c>
      <c r="F4004" s="1">
        <v>8.0</v>
      </c>
      <c r="G4004" s="3" t="s">
        <v>76</v>
      </c>
    </row>
    <row r="4005">
      <c r="A4005" s="3" t="s">
        <v>9348</v>
      </c>
      <c r="B4005" s="4" t="str">
        <f>IFERROR(__xludf.DUMMYFUNCTION("GOOGLETRANSLATE(A4005, ""en"", ""te"")"),"సేంద్రీయ ఉరద్ వైట్ స్ప్లిట్")</f>
        <v>సేంద్రీయ ఉరద్ వైట్ స్ప్లిట్</v>
      </c>
      <c r="C4005" s="4" t="str">
        <f>IFERROR(__xludf.DUMMYFUNCTION("GOOGLETRANSLATE(A4005, ""en"", ""hi"")"),"ऑर्गेनिक उड़द सफेद स्प्लिट")</f>
        <v>ऑर्गेनिक उड़द सफेद स्प्लिट</v>
      </c>
      <c r="D4005" s="2" t="s">
        <v>9309</v>
      </c>
      <c r="E4005" s="2" t="s">
        <v>1038</v>
      </c>
      <c r="F4005" s="1">
        <v>8.0</v>
      </c>
      <c r="G4005" s="3" t="s">
        <v>76</v>
      </c>
    </row>
    <row r="4006">
      <c r="A4006" s="3" t="s">
        <v>9492</v>
      </c>
      <c r="B4006" s="4" t="str">
        <f>IFERROR(__xludf.DUMMYFUNCTION("GOOGLETRANSLATE(A4006, ""en"", ""te"")"),"సన్నని పోహా")</f>
        <v>సన్నని పోహా</v>
      </c>
      <c r="C4006" s="4" t="str">
        <f>IFERROR(__xludf.DUMMYFUNCTION("GOOGLETRANSLATE(A4006, ""en"", ""hi"")"),"पतला पोहा")</f>
        <v>पतला पोहा</v>
      </c>
      <c r="D4006" s="5"/>
      <c r="E4006" s="2" t="s">
        <v>2649</v>
      </c>
      <c r="F4006" s="1">
        <v>8.0</v>
      </c>
      <c r="G4006" s="3" t="s">
        <v>85</v>
      </c>
    </row>
    <row r="4007">
      <c r="A4007" s="3" t="s">
        <v>9489</v>
      </c>
      <c r="B4007" s="4" t="str">
        <f>IFERROR(__xludf.DUMMYFUNCTION("GOOGLETRANSLATE(A4007, ""en"", ""te"")"),"రాధే సోయా బీన్")</f>
        <v>రాధే సోయా బీన్</v>
      </c>
      <c r="C4007" s="4" t="str">
        <f>IFERROR(__xludf.DUMMYFUNCTION("GOOGLETRANSLATE(A4007, ""en"", ""hi"")"),"राधे सोयाबीन")</f>
        <v>राधे सोयाबीन</v>
      </c>
      <c r="D4007" s="2" t="s">
        <v>8524</v>
      </c>
      <c r="E4007" s="2" t="s">
        <v>1038</v>
      </c>
      <c r="F4007" s="1">
        <v>8.0</v>
      </c>
      <c r="G4007" s="3" t="s">
        <v>85</v>
      </c>
    </row>
    <row r="4008">
      <c r="A4008" s="3" t="s">
        <v>9328</v>
      </c>
      <c r="B4008" s="4" t="str">
        <f>IFERROR(__xludf.DUMMYFUNCTION("GOOGLETRANSLATE(A4008, ""en"", ""te"")"),"లక్ష్మి హోల్ ఉరద్")</f>
        <v>లక్ష్మి హోల్ ఉరద్</v>
      </c>
      <c r="C4008" s="4" t="str">
        <f>IFERROR(__xludf.DUMMYFUNCTION("GOOGLETRANSLATE(A4008, ""en"", ""hi"")"),"लक्ष्मी होल उड़द")</f>
        <v>लक्ष्मी होल उड़द</v>
      </c>
      <c r="D4008" s="2" t="s">
        <v>9309</v>
      </c>
      <c r="E4008" s="2" t="s">
        <v>1038</v>
      </c>
      <c r="F4008" s="1">
        <v>8.0</v>
      </c>
      <c r="G4008" s="3" t="s">
        <v>6856</v>
      </c>
    </row>
    <row r="4009">
      <c r="A4009" s="3" t="s">
        <v>9493</v>
      </c>
      <c r="B4009" s="4" t="str">
        <f>IFERROR(__xludf.DUMMYFUNCTION("GOOGLETRANSLATE(A4009, ""en"", ""te"")"),"దాలి, మొత్తం ఉడకబెట్టిన గింజలు")</f>
        <v>దాలి, మొత్తం ఉడకబెట్టిన గింజలు</v>
      </c>
      <c r="C4009" s="4" t="str">
        <f>IFERROR(__xludf.DUMMYFUNCTION("GOOGLETRANSLATE(A4009, ""en"", ""hi"")"),"डाली होल उड़द")</f>
        <v>डाली होल उड़द</v>
      </c>
      <c r="D4009" s="2" t="s">
        <v>9309</v>
      </c>
      <c r="E4009" s="2" t="s">
        <v>1038</v>
      </c>
      <c r="F4009" s="1">
        <v>8.0</v>
      </c>
      <c r="G4009" s="3" t="s">
        <v>6856</v>
      </c>
    </row>
    <row r="4010">
      <c r="A4010" s="3" t="s">
        <v>9490</v>
      </c>
      <c r="B4010" s="4" t="str">
        <f>IFERROR(__xludf.DUMMYFUNCTION("GOOGLETRANSLATE(A4010, ""en"", ""te"")"),"మినప కాయ మొత్తం")</f>
        <v>మినప కాయ మొత్తం</v>
      </c>
      <c r="C4010" s="4" t="str">
        <f>IFERROR(__xludf.DUMMYFUNCTION("GOOGLETRANSLATE(A4010, ""en"", ""hi"")"),"उड़द संपूर्ण")</f>
        <v>उड़द संपूर्ण</v>
      </c>
      <c r="D4010" s="2" t="s">
        <v>9309</v>
      </c>
      <c r="E4010" s="2" t="s">
        <v>1038</v>
      </c>
      <c r="F4010" s="1">
        <v>8.0</v>
      </c>
      <c r="G4010" s="3" t="s">
        <v>6856</v>
      </c>
    </row>
    <row r="4011">
      <c r="A4011" s="3" t="s">
        <v>9343</v>
      </c>
      <c r="B4011" s="4" t="str">
        <f>IFERROR(__xludf.DUMMYFUNCTION("GOOGLETRANSLATE(A4011, ""en"", ""te"")"),"దైవి ఉరద్ గోటా")</f>
        <v>దైవి ఉరద్ గోటా</v>
      </c>
      <c r="C4011" s="4" t="str">
        <f>IFERROR(__xludf.DUMMYFUNCTION("GOOGLETRANSLATE(A4011, ""en"", ""hi"")"),"दैवी उरद गोटा")</f>
        <v>दैवी उरद गोटा</v>
      </c>
      <c r="D4011" s="2" t="s">
        <v>9255</v>
      </c>
      <c r="E4011" s="2" t="s">
        <v>1038</v>
      </c>
      <c r="F4011" s="1">
        <v>8.0</v>
      </c>
      <c r="G4011" s="3" t="s">
        <v>6856</v>
      </c>
    </row>
    <row r="4012">
      <c r="A4012" s="3" t="s">
        <v>9330</v>
      </c>
      <c r="B4012" s="4" t="str">
        <f>IFERROR(__xludf.DUMMYFUNCTION("GOOGLETRANSLATE(A4012, ""en"", ""te"")"),"ఆరా ఖిచడి మిక్స్")</f>
        <v>ఆరా ఖిచడి మిక్స్</v>
      </c>
      <c r="C4012" s="4" t="str">
        <f>IFERROR(__xludf.DUMMYFUNCTION("GOOGLETRANSLATE(A4012, ""en"", ""hi"")"),"आरा खिचड़ी मिक्स")</f>
        <v>आरा खिचड़ी मिक्स</v>
      </c>
      <c r="D4012" s="2" t="s">
        <v>6469</v>
      </c>
      <c r="E4012" s="2" t="s">
        <v>940</v>
      </c>
      <c r="F4012" s="1">
        <v>8.0</v>
      </c>
      <c r="G4012" s="3" t="s">
        <v>6867</v>
      </c>
    </row>
    <row r="4013">
      <c r="A4013" s="3" t="s">
        <v>9340</v>
      </c>
      <c r="B4013" s="4" t="str">
        <f>IFERROR(__xludf.DUMMYFUNCTION("GOOGLETRANSLATE(A4013, ""en"", ""te"")"),"24 మంత్ర ఆర్గానిక్ టర్ దాల్")</f>
        <v>24 మంత్ర ఆర్గానిక్ టర్ దాల్</v>
      </c>
      <c r="C4013" s="4" t="str">
        <f>IFERROR(__xludf.DUMMYFUNCTION("GOOGLETRANSLATE(A4013, ""en"", ""hi"")"),"24 मंत्रा ऑर्गेनिक तुअर दाल")</f>
        <v>24 मंत्रा ऑर्गेनिक तुअर दाल</v>
      </c>
      <c r="D4013" s="2" t="s">
        <v>3435</v>
      </c>
      <c r="E4013" s="2" t="s">
        <v>1038</v>
      </c>
      <c r="F4013" s="1">
        <v>8.0</v>
      </c>
      <c r="G4013" s="3" t="s">
        <v>6867</v>
      </c>
    </row>
    <row r="4014">
      <c r="A4014" s="3" t="s">
        <v>9494</v>
      </c>
      <c r="B4014" s="4" t="str">
        <f>IFERROR(__xludf.DUMMYFUNCTION("GOOGLETRANSLATE(A4014, ""en"", ""te"")"),"24 మంత్ర ఆర్గానిక్ రెడ్ లెంటిల్స్")</f>
        <v>24 మంత్ర ఆర్గానిక్ రెడ్ లెంటిల్స్</v>
      </c>
      <c r="C4014" s="4" t="str">
        <f>IFERROR(__xludf.DUMMYFUNCTION("GOOGLETRANSLATE(A4014, ""en"", ""hi"")"),"24 मंत्रा ऑर्गेनिक लाल मसूर")</f>
        <v>24 मंत्रा ऑर्गेनिक लाल मसूर</v>
      </c>
      <c r="D4014" s="5"/>
      <c r="E4014" s="2" t="s">
        <v>1038</v>
      </c>
      <c r="F4014" s="1">
        <v>8.0</v>
      </c>
      <c r="G4014" s="3" t="s">
        <v>6867</v>
      </c>
    </row>
    <row r="4015">
      <c r="A4015" s="3" t="s">
        <v>9495</v>
      </c>
      <c r="B4015" s="4" t="str">
        <f>IFERROR(__xludf.DUMMYFUNCTION("GOOGLETRANSLATE(A4015, ""en"", ""te"")"),"24 మంత్ర సేంద్రీయ పంచరతన్ దళ్")</f>
        <v>24 మంత్ర సేంద్రీయ పంచరతన్ దళ్</v>
      </c>
      <c r="C4015" s="4" t="str">
        <f>IFERROR(__xludf.DUMMYFUNCTION("GOOGLETRANSLATE(A4015, ""en"", ""hi"")"),"24 मंत्रा ऑर्गेनिक पंचरतन दाल")</f>
        <v>24 मंत्रा ऑर्गेनिक पंचरतन दाल</v>
      </c>
      <c r="D4015" s="5"/>
      <c r="E4015" s="2" t="s">
        <v>1038</v>
      </c>
      <c r="F4015" s="1">
        <v>8.0</v>
      </c>
      <c r="G4015" s="3" t="s">
        <v>6867</v>
      </c>
    </row>
    <row r="4016">
      <c r="A4016" s="3" t="s">
        <v>3808</v>
      </c>
      <c r="B4016" s="4" t="str">
        <f>IFERROR(__xludf.DUMMYFUNCTION("GOOGLETRANSLATE(A4016, ""en"", ""te"")"),"బెల్లం")</f>
        <v>బెల్లం</v>
      </c>
      <c r="C4016" s="4" t="str">
        <f>IFERROR(__xludf.DUMMYFUNCTION("GOOGLETRANSLATE(A4016, ""en"", ""hi"")"),"गुड़")</f>
        <v>गुड़</v>
      </c>
      <c r="D4016" s="2" t="s">
        <v>7147</v>
      </c>
      <c r="E4016" s="2" t="s">
        <v>4407</v>
      </c>
      <c r="F4016" s="1">
        <v>8.0</v>
      </c>
      <c r="G4016" s="3" t="s">
        <v>6874</v>
      </c>
    </row>
    <row r="4017">
      <c r="A4017" s="3" t="s">
        <v>9329</v>
      </c>
      <c r="B4017" s="4" t="str">
        <f>IFERROR(__xludf.DUMMYFUNCTION("GOOGLETRANSLATE(A4017, ""en"", ""te"")"),"స్వాద్ ఖిచ్డీ మిక్స్")</f>
        <v>స్వాద్ ఖిచ్డీ మిక్స్</v>
      </c>
      <c r="C4017" s="4" t="str">
        <f>IFERROR(__xludf.DUMMYFUNCTION("GOOGLETRANSLATE(A4017, ""en"", ""hi"")"),"स्वाद खिचड़ी मिक्स")</f>
        <v>स्वाद खिचड़ी मिक्स</v>
      </c>
      <c r="D4017" s="5"/>
      <c r="E4017" s="2" t="s">
        <v>940</v>
      </c>
      <c r="F4017" s="1">
        <v>8.0</v>
      </c>
      <c r="G4017" s="3" t="s">
        <v>6867</v>
      </c>
    </row>
    <row r="4018">
      <c r="A4018" s="3" t="s">
        <v>9496</v>
      </c>
      <c r="B4018" s="4" t="str">
        <f>IFERROR(__xludf.DUMMYFUNCTION("GOOGLETRANSLATE(A4018, ""en"", ""te"")"),"24 మంత్ర ఆర్గానిక్ శనగ పప్పు")</f>
        <v>24 మంత్ర ఆర్గానిక్ శనగ పప్పు</v>
      </c>
      <c r="C4018" s="4" t="str">
        <f>IFERROR(__xludf.DUMMYFUNCTION("GOOGLETRANSLATE(A4018, ""en"", ""hi"")"),"24 मंत्रा ऑर्गेनिक चना दाल")</f>
        <v>24 मंत्रा ऑर्गेनिक चना दाल</v>
      </c>
      <c r="D4018" s="2" t="s">
        <v>3379</v>
      </c>
      <c r="E4018" s="2" t="s">
        <v>1038</v>
      </c>
      <c r="F4018" s="1">
        <v>8.0</v>
      </c>
      <c r="G4018" s="3" t="s">
        <v>6867</v>
      </c>
    </row>
    <row r="4019">
      <c r="A4019" s="3" t="s">
        <v>9497</v>
      </c>
      <c r="B4019" s="4" t="str">
        <f>IFERROR(__xludf.DUMMYFUNCTION("GOOGLETRANSLATE(A4019, ""en"", ""te"")"),"సేంద్రీయ పంచరతన్ పప్పు మిశ్రమ కాయధాన్యాలు")</f>
        <v>సేంద్రీయ పంచరతన్ పప్పు మిశ్రమ కాయధాన్యాలు</v>
      </c>
      <c r="C4019" s="4" t="str">
        <f>IFERROR(__xludf.DUMMYFUNCTION("GOOGLETRANSLATE(A4019, ""en"", ""hi"")"),"ऑर्गेनिक पंचरतन दाल मिश्रित मसूर")</f>
        <v>ऑर्गेनिक पंचरतन दाल मिश्रित मसूर</v>
      </c>
      <c r="D4019" s="5"/>
      <c r="E4019" s="2" t="s">
        <v>1038</v>
      </c>
      <c r="F4019" s="1">
        <v>8.0</v>
      </c>
      <c r="G4019" s="3" t="s">
        <v>6867</v>
      </c>
    </row>
    <row r="4020">
      <c r="A4020" s="3" t="s">
        <v>9302</v>
      </c>
      <c r="B4020" s="4" t="str">
        <f>IFERROR(__xludf.DUMMYFUNCTION("GOOGLETRANSLATE(A4020, ""en"", ""te"")"),"కొల్హాపురి బెల్లం")</f>
        <v>కొల్హాపురి బెల్లం</v>
      </c>
      <c r="C4020" s="4" t="str">
        <f>IFERROR(__xludf.DUMMYFUNCTION("GOOGLETRANSLATE(A4020, ""en"", ""hi"")"),"कोल्हापुरी गुड़")</f>
        <v>कोल्हापुरी गुड़</v>
      </c>
      <c r="D4020" s="2" t="s">
        <v>7147</v>
      </c>
      <c r="E4020" s="2" t="s">
        <v>4407</v>
      </c>
      <c r="F4020" s="1">
        <v>8.0</v>
      </c>
      <c r="G4020" s="3" t="s">
        <v>6874</v>
      </c>
    </row>
    <row r="4021">
      <c r="A4021" s="3" t="s">
        <v>9314</v>
      </c>
      <c r="B4021" s="4" t="str">
        <f>IFERROR(__xludf.DUMMYFUNCTION("GOOGLETRANSLATE(A4021, ""en"", ""te"")"),"స్వాద్ ఉరద్ హోల్")</f>
        <v>స్వాద్ ఉరద్ హోల్</v>
      </c>
      <c r="C4021" s="4" t="str">
        <f>IFERROR(__xludf.DUMMYFUNCTION("GOOGLETRANSLATE(A4021, ""en"", ""hi"")"),"स्वाद उड़द होल")</f>
        <v>स्वाद उड़द होल</v>
      </c>
      <c r="D4021" s="2" t="s">
        <v>9309</v>
      </c>
      <c r="E4021" s="2" t="s">
        <v>1038</v>
      </c>
      <c r="F4021" s="1">
        <v>8.0</v>
      </c>
      <c r="G4021" s="3" t="s">
        <v>71</v>
      </c>
    </row>
    <row r="4022">
      <c r="A4022" s="3" t="s">
        <v>9498</v>
      </c>
      <c r="B4022" s="4" t="str">
        <f>IFERROR(__xludf.DUMMYFUNCTION("GOOGLETRANSLATE(A4022, ""en"", ""te"")"),"లక్ష్మి ఉరద్ మొత్తం")</f>
        <v>లక్ష్మి ఉరద్ మొత్తం</v>
      </c>
      <c r="C4022" s="4" t="str">
        <f>IFERROR(__xludf.DUMMYFUNCTION("GOOGLETRANSLATE(A4022, ""en"", ""hi"")"),"लक्ष्मी उड़द पूरी")</f>
        <v>लक्ष्मी उड़द पूरी</v>
      </c>
      <c r="D4022" s="2" t="s">
        <v>9309</v>
      </c>
      <c r="E4022" s="2" t="s">
        <v>1038</v>
      </c>
      <c r="F4022" s="1">
        <v>8.0</v>
      </c>
      <c r="G4022" s="3" t="s">
        <v>71</v>
      </c>
    </row>
    <row r="4023">
      <c r="A4023" s="3" t="s">
        <v>9499</v>
      </c>
      <c r="B4023" s="4" t="str">
        <f>IFERROR(__xludf.DUMMYFUNCTION("GOOGLETRANSLATE(A4023, ""en"", ""te"")"),"దల్వి ఉరద్ హోల్")</f>
        <v>దల్వి ఉరద్ హోల్</v>
      </c>
      <c r="C4023" s="4" t="str">
        <f>IFERROR(__xludf.DUMMYFUNCTION("GOOGLETRANSLATE(A4023, ""en"", ""hi"")"),"दालवी उड़द साबुत")</f>
        <v>दालवी उड़द साबुत</v>
      </c>
      <c r="D4023" s="2" t="s">
        <v>9309</v>
      </c>
      <c r="E4023" s="2" t="s">
        <v>1038</v>
      </c>
      <c r="F4023" s="1">
        <v>8.0</v>
      </c>
      <c r="G4023" s="3" t="s">
        <v>71</v>
      </c>
    </row>
    <row r="4024">
      <c r="A4024" s="3" t="s">
        <v>9500</v>
      </c>
      <c r="B4024" s="4" t="str">
        <f>IFERROR(__xludf.DUMMYFUNCTION("GOOGLETRANSLATE(A4024, ""en"", ""te"")"),"స్వాద్ ఖిచాడి మిక్స్")</f>
        <v>స్వాద్ ఖిచాడి మిక్స్</v>
      </c>
      <c r="C4024" s="4" t="str">
        <f>IFERROR(__xludf.DUMMYFUNCTION("GOOGLETRANSLATE(A4024, ""en"", ""hi"")"),"स्वाद खिचड़ी मिक्स")</f>
        <v>स्वाद खिचड़ी मिक्स</v>
      </c>
      <c r="D4024" s="5"/>
      <c r="E4024" s="2" t="s">
        <v>940</v>
      </c>
      <c r="F4024" s="1">
        <v>8.0</v>
      </c>
      <c r="G4024" s="3" t="s">
        <v>76</v>
      </c>
    </row>
    <row r="4025">
      <c r="A4025" s="3" t="s">
        <v>9330</v>
      </c>
      <c r="B4025" s="4" t="str">
        <f>IFERROR(__xludf.DUMMYFUNCTION("GOOGLETRANSLATE(A4025, ""en"", ""te"")"),"ఆరా ఖిచడి మిక్స్")</f>
        <v>ఆరా ఖిచడి మిక్స్</v>
      </c>
      <c r="C4025" s="4" t="str">
        <f>IFERROR(__xludf.DUMMYFUNCTION("GOOGLETRANSLATE(A4025, ""en"", ""hi"")"),"आरा खिचड़ी मिक्स")</f>
        <v>आरा खिचड़ी मिक्स</v>
      </c>
      <c r="D4025" s="2" t="s">
        <v>6469</v>
      </c>
      <c r="E4025" s="2" t="s">
        <v>940</v>
      </c>
      <c r="F4025" s="1">
        <v>8.0</v>
      </c>
      <c r="G4025" s="3" t="s">
        <v>76</v>
      </c>
    </row>
    <row r="4026">
      <c r="A4026" s="3" t="s">
        <v>9331</v>
      </c>
      <c r="B4026" s="4" t="str">
        <f>IFERROR(__xludf.DUMMYFUNCTION("GOOGLETRANSLATE(A4026, ""en"", ""te"")"),"మంత్ర ఆర్గానిక్ తుర్ దాల్")</f>
        <v>మంత్ర ఆర్గానిక్ తుర్ దాల్</v>
      </c>
      <c r="C4026" s="4" t="str">
        <f>IFERROR(__xludf.DUMMYFUNCTION("GOOGLETRANSLATE(A4026, ""en"", ""hi"")"),"मंत्रा ऑर्गेनिक तुअर दाल")</f>
        <v>मंत्रा ऑर्गेनिक तुअर दाल</v>
      </c>
      <c r="D4026" s="2" t="s">
        <v>3435</v>
      </c>
      <c r="E4026" s="2" t="s">
        <v>1038</v>
      </c>
      <c r="F4026" s="1">
        <v>8.0</v>
      </c>
      <c r="G4026" s="3" t="s">
        <v>76</v>
      </c>
    </row>
    <row r="4027">
      <c r="A4027" s="3" t="s">
        <v>9501</v>
      </c>
      <c r="B4027" s="4" t="str">
        <f>IFERROR(__xludf.DUMMYFUNCTION("GOOGLETRANSLATE(A4027, ""en"", ""te"")"),"ఆర్కిడ్ బెల్లం")</f>
        <v>ఆర్కిడ్ బెల్లం</v>
      </c>
      <c r="C4027" s="4" t="str">
        <f>IFERROR(__xludf.DUMMYFUNCTION("GOOGLETRANSLATE(A4027, ""en"", ""hi"")"),"ऑर्किड गुड़")</f>
        <v>ऑर्किड गुड़</v>
      </c>
      <c r="D4027" s="2" t="s">
        <v>7147</v>
      </c>
      <c r="E4027" s="2" t="s">
        <v>4407</v>
      </c>
      <c r="F4027" s="1">
        <v>8.0</v>
      </c>
      <c r="G4027" s="3" t="s">
        <v>85</v>
      </c>
    </row>
    <row r="4028">
      <c r="A4028" s="3" t="s">
        <v>9302</v>
      </c>
      <c r="B4028" s="4" t="str">
        <f>IFERROR(__xludf.DUMMYFUNCTION("GOOGLETRANSLATE(A4028, ""en"", ""te"")"),"కొల్హాపురి బెల్లం")</f>
        <v>కొల్హాపురి బెల్లం</v>
      </c>
      <c r="C4028" s="4" t="str">
        <f>IFERROR(__xludf.DUMMYFUNCTION("GOOGLETRANSLATE(A4028, ""en"", ""hi"")"),"कोल्हापुरी गुड़")</f>
        <v>कोल्हापुरी गुड़</v>
      </c>
      <c r="D4028" s="2" t="s">
        <v>7147</v>
      </c>
      <c r="E4028" s="2" t="s">
        <v>4407</v>
      </c>
      <c r="F4028" s="1">
        <v>8.0</v>
      </c>
      <c r="G4028" s="3" t="s">
        <v>85</v>
      </c>
    </row>
    <row r="4029">
      <c r="A4029" s="3" t="s">
        <v>9502</v>
      </c>
      <c r="B4029" s="4" t="str">
        <f>IFERROR(__xludf.DUMMYFUNCTION("GOOGLETRANSLATE(A4029, ""en"", ""te"")"),"సేంద్రీయ మినపపప్పు, నల్ల మినుములు")</f>
        <v>సేంద్రీయ మినపపప్పు, నల్ల మినుములు</v>
      </c>
      <c r="C4029" s="4" t="str">
        <f>IFERROR(__xludf.DUMMYFUNCTION("GOOGLETRANSLATE(A4029, ""en"", ""hi"")"),"ऑर्गेनिक उड़द साबुत काला चना")</f>
        <v>ऑर्गेनिक उड़द साबुत काला चना</v>
      </c>
      <c r="D4029" s="2" t="s">
        <v>9309</v>
      </c>
      <c r="E4029" s="2" t="s">
        <v>1038</v>
      </c>
      <c r="F4029" s="1">
        <v>8.0</v>
      </c>
      <c r="G4029" s="3" t="s">
        <v>8413</v>
      </c>
    </row>
    <row r="4030">
      <c r="A4030" s="3" t="s">
        <v>9503</v>
      </c>
      <c r="B4030" s="4" t="str">
        <f>IFERROR(__xludf.DUMMYFUNCTION("GOOGLETRANSLATE(A4030, ""en"", ""te"")"),"దాల్వి ఉరద్ హోల్ బ్లాక్ మాట్పే బీన్స్")</f>
        <v>దాల్వి ఉరద్ హోల్ బ్లాక్ మాట్పే బీన్స్</v>
      </c>
      <c r="C4030" s="4" t="str">
        <f>IFERROR(__xludf.DUMMYFUNCTION("GOOGLETRANSLATE(A4030, ""en"", ""hi"")"),"दालवी उड़द साबुत काली मटपे बीन्स")</f>
        <v>दालवी उड़द साबुत काली मटपे बीन्स</v>
      </c>
      <c r="D4030" s="2" t="s">
        <v>9309</v>
      </c>
      <c r="E4030" s="2" t="s">
        <v>1038</v>
      </c>
      <c r="F4030" s="1">
        <v>8.0</v>
      </c>
      <c r="G4030" s="3" t="s">
        <v>8413</v>
      </c>
    </row>
    <row r="4031">
      <c r="A4031" s="3" t="s">
        <v>9504</v>
      </c>
      <c r="B4031" s="4" t="str">
        <f>IFERROR(__xludf.DUMMYFUNCTION("GOOGLETRANSLATE(A4031, ""en"", ""te"")"),"స్వాద్ వాల్ దాల్ లెంటిల్స్")</f>
        <v>స్వాద్ వాల్ దాల్ లెంటిల్స్</v>
      </c>
      <c r="C4031" s="4" t="str">
        <f>IFERROR(__xludf.DUMMYFUNCTION("GOOGLETRANSLATE(A4031, ""en"", ""hi"")"),"स्वाद वाल दाल मसूर")</f>
        <v>स्वाद वाल दाल मसूर</v>
      </c>
      <c r="D4031" s="2" t="s">
        <v>9505</v>
      </c>
      <c r="E4031" s="2" t="s">
        <v>1038</v>
      </c>
      <c r="F4031" s="1">
        <v>8.0</v>
      </c>
      <c r="G4031" s="3" t="s">
        <v>6897</v>
      </c>
    </row>
    <row r="4032">
      <c r="A4032" s="3" t="s">
        <v>9506</v>
      </c>
      <c r="B4032" s="4" t="str">
        <f>IFERROR(__xludf.DUMMYFUNCTION("GOOGLETRANSLATE(A4032, ""en"", ""te"")"),"దాల్వి ఖిచ్డీ మిక్స్")</f>
        <v>దాల్వి ఖిచ్డీ మిక్స్</v>
      </c>
      <c r="C4032" s="4" t="str">
        <f>IFERROR(__xludf.DUMMYFUNCTION("GOOGLETRANSLATE(A4032, ""en"", ""hi"")"),"दालवी खिचड़ी मिक्स")</f>
        <v>दालवी खिचड़ी मिक्स</v>
      </c>
      <c r="D4032" s="5"/>
      <c r="E4032" s="2" t="s">
        <v>940</v>
      </c>
      <c r="F4032" s="1">
        <v>8.0</v>
      </c>
      <c r="G4032" s="3" t="s">
        <v>6897</v>
      </c>
    </row>
    <row r="4033">
      <c r="A4033" s="3" t="s">
        <v>9507</v>
      </c>
      <c r="B4033" s="4" t="str">
        <f>IFERROR(__xludf.DUMMYFUNCTION("GOOGLETRANSLATE(A4033, ""en"", ""te"")"),"స్వాద్ ఖిచ్డీ మిక్స్ స్ప్లిట్ మూంగ్ కాయధాన్యాలు")</f>
        <v>స్వాద్ ఖిచ్డీ మిక్స్ స్ప్లిట్ మూంగ్ కాయధాన్యాలు</v>
      </c>
      <c r="C4033" s="4" t="str">
        <f>IFERROR(__xludf.DUMMYFUNCTION("GOOGLETRANSLATE(A4033, ""en"", ""hi"")"),"स्वाद खिचड़ी मिक्स स्प्लिट मूंग दाल")</f>
        <v>स्वाद खिचड़ी मिक्स स्प्लिट मूंग दाल</v>
      </c>
      <c r="D4033" s="2" t="s">
        <v>9508</v>
      </c>
      <c r="E4033" s="2" t="s">
        <v>1038</v>
      </c>
      <c r="F4033" s="1">
        <v>8.0</v>
      </c>
      <c r="G4033" s="3" t="s">
        <v>6897</v>
      </c>
    </row>
    <row r="4034">
      <c r="A4034" s="3" t="s">
        <v>3808</v>
      </c>
      <c r="B4034" s="4" t="str">
        <f>IFERROR(__xludf.DUMMYFUNCTION("GOOGLETRANSLATE(A4034, ""en"", ""te"")"),"బెల్లం")</f>
        <v>బెల్లం</v>
      </c>
      <c r="C4034" s="4" t="str">
        <f>IFERROR(__xludf.DUMMYFUNCTION("GOOGLETRANSLATE(A4034, ""en"", ""hi"")"),"गुड़")</f>
        <v>गुड़</v>
      </c>
      <c r="D4034" s="2" t="s">
        <v>7147</v>
      </c>
      <c r="E4034" s="2" t="s">
        <v>4407</v>
      </c>
      <c r="F4034" s="1">
        <v>8.0</v>
      </c>
      <c r="G4034" s="3" t="s">
        <v>6905</v>
      </c>
    </row>
    <row r="4035">
      <c r="A4035" s="3" t="s">
        <v>9509</v>
      </c>
      <c r="B4035" s="4" t="str">
        <f>IFERROR(__xludf.DUMMYFUNCTION("GOOGLETRANSLATE(A4035, ""en"", ""te"")"),"సేంద్రీయ మినప పప్పు చీలిక")</f>
        <v>సేంద్రీయ మినప పప్పు చీలిక</v>
      </c>
      <c r="C4035" s="4" t="str">
        <f>IFERROR(__xludf.DUMMYFUNCTION("GOOGLETRANSLATE(A4035, ""en"", ""hi"")"),"ऑर्गेनिक उड़द दाल स्प्लिट")</f>
        <v>ऑर्गेनिक उड़द दाल स्प्लिट</v>
      </c>
      <c r="D4035" s="2" t="s">
        <v>9309</v>
      </c>
      <c r="E4035" s="2" t="s">
        <v>1038</v>
      </c>
      <c r="F4035" s="1">
        <v>8.0</v>
      </c>
      <c r="G4035" s="3" t="s">
        <v>8413</v>
      </c>
    </row>
    <row r="4036">
      <c r="A4036" s="3" t="s">
        <v>9510</v>
      </c>
      <c r="B4036" s="4" t="str">
        <f>IFERROR(__xludf.DUMMYFUNCTION("GOOGLETRANSLATE(A4036, ""en"", ""te"")"),"దావత్ స్ప్లిట్ బ్లాక్ మట్పే బీన్స్")</f>
        <v>దావత్ స్ప్లిట్ బ్లాక్ మట్పే బీన్స్</v>
      </c>
      <c r="C4036" s="4" t="str">
        <f>IFERROR(__xludf.DUMMYFUNCTION("GOOGLETRANSLATE(A4036, ""en"", ""hi"")"),"दावत स्प्लिट ब्लैक मटपे बीन्स")</f>
        <v>दावत स्प्लिट ब्लैक मटपे बीन्स</v>
      </c>
      <c r="D4036" s="2" t="s">
        <v>9508</v>
      </c>
      <c r="E4036" s="2" t="s">
        <v>1038</v>
      </c>
      <c r="F4036" s="1">
        <v>8.0</v>
      </c>
      <c r="G4036" s="3" t="s">
        <v>8413</v>
      </c>
    </row>
    <row r="4037">
      <c r="A4037" s="3" t="s">
        <v>9511</v>
      </c>
      <c r="B4037" s="4" t="str">
        <f>IFERROR(__xludf.DUMMYFUNCTION("GOOGLETRANSLATE(A4037, ""en"", ""te"")"),"సేంద్రీయ మినపపప్పు మొత్తం")</f>
        <v>సేంద్రీయ మినపపప్పు మొత్తం</v>
      </c>
      <c r="C4037" s="4" t="str">
        <f>IFERROR(__xludf.DUMMYFUNCTION("GOOGLETRANSLATE(A4037, ""en"", ""hi"")"),"ऑर्गेनिक उड़द साबुत")</f>
        <v>ऑर्गेनिक उड़द साबुत</v>
      </c>
      <c r="D4037" s="2" t="s">
        <v>9309</v>
      </c>
      <c r="E4037" s="2" t="s">
        <v>1038</v>
      </c>
      <c r="F4037" s="1">
        <v>8.0</v>
      </c>
      <c r="G4037" s="3" t="s">
        <v>8413</v>
      </c>
    </row>
    <row r="4038">
      <c r="A4038" s="3" t="s">
        <v>9512</v>
      </c>
      <c r="B4038" s="4" t="str">
        <f>IFERROR(__xludf.DUMMYFUNCTION("GOOGLETRANSLATE(A4038, ""en"", ""te"")"),"దావత్ బ్లాక్ మట్పే బీన్స్ మొత్తం")</f>
        <v>దావత్ బ్లాక్ మట్పే బీన్స్ మొత్తం</v>
      </c>
      <c r="C4038" s="4" t="str">
        <f>IFERROR(__xludf.DUMMYFUNCTION("GOOGLETRANSLATE(A4038, ""en"", ""hi"")"),"दावत ब्लैक मैटपे बीन्स साबुत")</f>
        <v>दावत ब्लैक मैटपे बीन्स साबुत</v>
      </c>
      <c r="D4038" s="2" t="s">
        <v>9513</v>
      </c>
      <c r="E4038" s="2" t="s">
        <v>1038</v>
      </c>
      <c r="F4038" s="1">
        <v>8.0</v>
      </c>
      <c r="G4038" s="3" t="s">
        <v>8413</v>
      </c>
    </row>
    <row r="4039">
      <c r="A4039" s="3" t="s">
        <v>9314</v>
      </c>
      <c r="B4039" s="4" t="str">
        <f>IFERROR(__xludf.DUMMYFUNCTION("GOOGLETRANSLATE(A4039, ""en"", ""te"")"),"స్వాద్ ఉరద్ హోల్")</f>
        <v>స్వాద్ ఉరద్ హోల్</v>
      </c>
      <c r="C4039" s="4" t="str">
        <f>IFERROR(__xludf.DUMMYFUNCTION("GOOGLETRANSLATE(A4039, ""en"", ""hi"")"),"स्वाद उड़द होल")</f>
        <v>स्वाद उड़द होल</v>
      </c>
      <c r="D4039" s="2" t="s">
        <v>9309</v>
      </c>
      <c r="E4039" s="2" t="s">
        <v>1038</v>
      </c>
      <c r="F4039" s="1">
        <v>8.0</v>
      </c>
      <c r="G4039" s="3" t="s">
        <v>6897</v>
      </c>
    </row>
    <row r="4040">
      <c r="A4040" s="3" t="s">
        <v>9514</v>
      </c>
      <c r="B4040" s="4" t="str">
        <f>IFERROR(__xludf.DUMMYFUNCTION("GOOGLETRANSLATE(A4040, ""en"", ""te"")"),"దావత్ ఖిచ్డీ మిక్స్")</f>
        <v>దావత్ ఖిచ్డీ మిక్స్</v>
      </c>
      <c r="C4040" s="4" t="str">
        <f>IFERROR(__xludf.DUMMYFUNCTION("GOOGLETRANSLATE(A4040, ""en"", ""hi"")"),"दावत खिचड़ी मिक्स")</f>
        <v>दावत खिचड़ी मिक्स</v>
      </c>
      <c r="D4040" s="2" t="s">
        <v>9515</v>
      </c>
      <c r="E4040" s="2" t="s">
        <v>940</v>
      </c>
      <c r="F4040" s="1">
        <v>8.0</v>
      </c>
      <c r="G4040" s="3" t="s">
        <v>6897</v>
      </c>
    </row>
    <row r="4041">
      <c r="A4041" s="3" t="s">
        <v>9516</v>
      </c>
      <c r="B4041" s="4" t="str">
        <f>IFERROR(__xludf.DUMMYFUNCTION("GOOGLETRANSLATE(A4041, ""en"", ""te"")"),"లోతైన ఆహార ఉత్పత్తులు (ఎరుపు/ఆకుపచ్చ సంచులు)")</f>
        <v>లోతైన ఆహార ఉత్పత్తులు (ఎరుపు/ఆకుపచ్చ సంచులు)</v>
      </c>
      <c r="C4041" s="4" t="str">
        <f>IFERROR(__xludf.DUMMYFUNCTION("GOOGLETRANSLATE(A4041, ""en"", ""hi"")"),"डीप फूड प्रोडक्ट्स (लाल/हरे बैग)")</f>
        <v>डीप फूड प्रोडक्ट्स (लाल/हरे बैग)</v>
      </c>
      <c r="D4041" s="5"/>
      <c r="E4041" s="2" t="s">
        <v>1294</v>
      </c>
      <c r="F4041" s="1">
        <v>8.0</v>
      </c>
      <c r="G4041" s="3" t="s">
        <v>6905</v>
      </c>
    </row>
    <row r="4042">
      <c r="A4042" s="3" t="s">
        <v>9517</v>
      </c>
      <c r="B4042" s="4" t="str">
        <f>IFERROR(__xludf.DUMMYFUNCTION("GOOGLETRANSLATE(A4042, ""en"", ""te"")"),"తెలియని ఎండిన సరుకులు (గోధుమ రంగులో చుట్టబడినవి)")</f>
        <v>తెలియని ఎండిన సరుకులు (గోధుమ రంగులో చుట్టబడినవి)</v>
      </c>
      <c r="C4042" s="4" t="str">
        <f>IFERROR(__xludf.DUMMYFUNCTION("GOOGLETRANSLATE(A4042, ""en"", ""hi"")"),"अज्ञात सूखे सामान (भूरे रंग में लिपटे हुए)")</f>
        <v>अज्ञात सूखे सामान (भूरे रंग में लिपटे हुए)</v>
      </c>
      <c r="D4042" s="5"/>
      <c r="E4042" s="2" t="s">
        <v>2700</v>
      </c>
      <c r="F4042" s="1">
        <v>8.0</v>
      </c>
      <c r="G4042" s="3" t="s">
        <v>6905</v>
      </c>
    </row>
    <row r="4043">
      <c r="A4043" s="3" t="s">
        <v>9518</v>
      </c>
      <c r="B4043" s="4" t="str">
        <f>IFERROR(__xludf.DUMMYFUNCTION("GOOGLETRANSLATE(A4043, ""en"", ""te"")"),"ఆరా రెడ్ కిడ్నీ బీన్స్")</f>
        <v>ఆరా రెడ్ కిడ్నీ బీన్స్</v>
      </c>
      <c r="C4043" s="4" t="str">
        <f>IFERROR(__xludf.DUMMYFUNCTION("GOOGLETRANSLATE(A4043, ""en"", ""hi"")"),"आरा लाल राजमा")</f>
        <v>आरा लाल राजमा</v>
      </c>
      <c r="D4043" s="2" t="s">
        <v>8524</v>
      </c>
      <c r="E4043" s="2" t="s">
        <v>1038</v>
      </c>
      <c r="F4043" s="1">
        <v>8.0</v>
      </c>
      <c r="G4043" s="3" t="s">
        <v>6905</v>
      </c>
    </row>
    <row r="4044">
      <c r="A4044" s="3" t="s">
        <v>9519</v>
      </c>
      <c r="B4044" s="4" t="str">
        <f>IFERROR(__xludf.DUMMYFUNCTION("GOOGLETRANSLATE(A4044, ""en"", ""te"")"),"ఉరద్ స్ప్లిట్")</f>
        <v>ఉరద్ స్ప్లిట్</v>
      </c>
      <c r="C4044" s="4" t="str">
        <f>IFERROR(__xludf.DUMMYFUNCTION("GOOGLETRANSLATE(A4044, ""en"", ""hi"")"),"उरद स्प्लिट")</f>
        <v>उरद स्प्लिट</v>
      </c>
      <c r="D4044" s="5"/>
      <c r="E4044" s="2" t="s">
        <v>1038</v>
      </c>
      <c r="F4044" s="1">
        <v>8.0</v>
      </c>
      <c r="G4044" s="3" t="s">
        <v>8413</v>
      </c>
    </row>
    <row r="4045">
      <c r="A4045" s="3" t="s">
        <v>9520</v>
      </c>
      <c r="B4045" s="4" t="str">
        <f>IFERROR(__xludf.DUMMYFUNCTION("GOOGLETRANSLATE(A4045, ""en"", ""te"")"),"లక్ష్మి ఉరద్ పప్పు చిల్కా")</f>
        <v>లక్ష్మి ఉరద్ పప్పు చిల్కా</v>
      </c>
      <c r="C4045" s="4" t="str">
        <f>IFERROR(__xludf.DUMMYFUNCTION("GOOGLETRANSLATE(A4045, ""en"", ""hi"")"),"लक्ष्मी उड़द दाल छिलका")</f>
        <v>लक्ष्मी उड़द दाल छिलका</v>
      </c>
      <c r="D4045" s="2" t="s">
        <v>3379</v>
      </c>
      <c r="E4045" s="2" t="s">
        <v>1038</v>
      </c>
      <c r="F4045" s="1">
        <v>8.0</v>
      </c>
      <c r="G4045" s="3" t="s">
        <v>8413</v>
      </c>
    </row>
    <row r="4046">
      <c r="A4046" s="3" t="s">
        <v>9521</v>
      </c>
      <c r="B4046" s="4" t="str">
        <f>IFERROR(__xludf.DUMMYFUNCTION("GOOGLETRANSLATE(A4046, ""en"", ""te"")"),"స్వాద్ లిమా బీన్స్")</f>
        <v>స్వాద్ లిమా బీన్స్</v>
      </c>
      <c r="C4046" s="4" t="str">
        <f>IFERROR(__xludf.DUMMYFUNCTION("GOOGLETRANSLATE(A4046, ""en"", ""hi"")"),"स्वाद लीमा बीन्स")</f>
        <v>स्वाद लीमा बीन्स</v>
      </c>
      <c r="D4046" s="2" t="s">
        <v>8524</v>
      </c>
      <c r="E4046" s="2" t="s">
        <v>1038</v>
      </c>
      <c r="F4046" s="1">
        <v>8.0</v>
      </c>
      <c r="G4046" s="3" t="s">
        <v>6897</v>
      </c>
    </row>
    <row r="4047">
      <c r="A4047" s="3" t="s">
        <v>9522</v>
      </c>
      <c r="B4047" s="4" t="str">
        <f>IFERROR(__xludf.DUMMYFUNCTION("GOOGLETRANSLATE(A4047, ""en"", ""te"")"),"బెల్లం ముద్దలు")</f>
        <v>బెల్లం ముద్దలు</v>
      </c>
      <c r="C4047" s="4" t="str">
        <f>IFERROR(__xludf.DUMMYFUNCTION("GOOGLETRANSLATE(A4047, ""en"", ""hi"")"),"गुड़ के टुकड़े")</f>
        <v>गुड़ के टुकड़े</v>
      </c>
      <c r="D4047" s="2" t="s">
        <v>7147</v>
      </c>
      <c r="E4047" s="2" t="s">
        <v>4407</v>
      </c>
      <c r="F4047" s="1">
        <v>8.0</v>
      </c>
      <c r="G4047" s="3" t="s">
        <v>6905</v>
      </c>
    </row>
    <row r="4048">
      <c r="A4048" s="3" t="s">
        <v>9523</v>
      </c>
      <c r="B4048" s="4" t="str">
        <f>IFERROR(__xludf.DUMMYFUNCTION("GOOGLETRANSLATE(A4048, ""en"", ""te"")"),"ముదురు ఎరుపు రంగు కిడ్నీ బీన్స్")</f>
        <v>ముదురు ఎరుపు రంగు కిడ్నీ బీన్స్</v>
      </c>
      <c r="C4048" s="4" t="str">
        <f>IFERROR(__xludf.DUMMYFUNCTION("GOOGLETRANSLATE(A4048, ""en"", ""hi"")"),"गहरे लाल राजमा")</f>
        <v>गहरे लाल राजमा</v>
      </c>
      <c r="D4048" s="2" t="s">
        <v>8524</v>
      </c>
      <c r="E4048" s="2" t="s">
        <v>1038</v>
      </c>
      <c r="F4048" s="1">
        <v>8.0</v>
      </c>
      <c r="G4048" s="3" t="s">
        <v>6905</v>
      </c>
    </row>
    <row r="4049">
      <c r="A4049" s="3" t="s">
        <v>9524</v>
      </c>
      <c r="B4049" s="4" t="str">
        <f>IFERROR(__xludf.DUMMYFUNCTION("GOOGLETRANSLATE(A4049, ""en"", ""te"")"),"లక్ష్మి బాక్స్‌డ్ ఫుడ్ ప్రొడక్ట్")</f>
        <v>లక్ష్మి బాక్స్‌డ్ ఫుడ్ ప్రొడక్ట్</v>
      </c>
      <c r="C4049" s="4" t="str">
        <f>IFERROR(__xludf.DUMMYFUNCTION("GOOGLETRANSLATE(A4049, ""en"", ""hi"")"),"लक्ष्मी डिब्बाबंद खाद्य उत्पाद")</f>
        <v>लक्ष्मी डिब्बाबंद खाद्य उत्पाद</v>
      </c>
      <c r="D4049" s="5"/>
      <c r="E4049" s="2" t="s">
        <v>2279</v>
      </c>
      <c r="F4049" s="1">
        <v>8.0</v>
      </c>
      <c r="G4049" s="3" t="s">
        <v>9525</v>
      </c>
    </row>
    <row r="4050">
      <c r="A4050" s="3" t="s">
        <v>9519</v>
      </c>
      <c r="B4050" s="4" t="str">
        <f>IFERROR(__xludf.DUMMYFUNCTION("GOOGLETRANSLATE(A4050, ""en"", ""te"")"),"ఉరద్ స్ప్లిట్")</f>
        <v>ఉరద్ స్ప్లిట్</v>
      </c>
      <c r="C4050" s="4" t="str">
        <f>IFERROR(__xludf.DUMMYFUNCTION("GOOGLETRANSLATE(A4050, ""en"", ""hi"")"),"उरद स्प्लिट")</f>
        <v>उरद स्प्लिट</v>
      </c>
      <c r="D4050" s="5"/>
      <c r="E4050" s="2" t="s">
        <v>1038</v>
      </c>
      <c r="F4050" s="1">
        <v>8.0</v>
      </c>
      <c r="G4050" s="3" t="s">
        <v>71</v>
      </c>
    </row>
    <row r="4051">
      <c r="A4051" s="3" t="s">
        <v>9315</v>
      </c>
      <c r="B4051" s="4" t="str">
        <f>IFERROR(__xludf.DUMMYFUNCTION("GOOGLETRANSLATE(A4051, ""en"", ""te"")"),"ఆరా తూర్ హోల్")</f>
        <v>ఆరా తూర్ హోల్</v>
      </c>
      <c r="C4051" s="4" t="str">
        <f>IFERROR(__xludf.DUMMYFUNCTION("GOOGLETRANSLATE(A4051, ""en"", ""hi"")"),"आरा तूर होल")</f>
        <v>आरा तूर होल</v>
      </c>
      <c r="D4051" s="5"/>
      <c r="E4051" s="2" t="s">
        <v>1038</v>
      </c>
      <c r="F4051" s="1">
        <v>8.0</v>
      </c>
      <c r="G4051" s="3" t="s">
        <v>76</v>
      </c>
    </row>
    <row r="4052">
      <c r="A4052" s="3" t="s">
        <v>9316</v>
      </c>
      <c r="B4052" s="4" t="str">
        <f>IFERROR(__xludf.DUMMYFUNCTION("GOOGLETRANSLATE(A4052, ""en"", ""te"")"),"స్వాద్ తూర్ హోల్")</f>
        <v>స్వాద్ తూర్ హోల్</v>
      </c>
      <c r="C4052" s="4" t="str">
        <f>IFERROR(__xludf.DUMMYFUNCTION("GOOGLETRANSLATE(A4052, ""en"", ""hi"")"),"स्वाद तूर होल")</f>
        <v>स्वाद तूर होल</v>
      </c>
      <c r="D4052" s="5"/>
      <c r="E4052" s="2" t="s">
        <v>1038</v>
      </c>
      <c r="F4052" s="1">
        <v>8.0</v>
      </c>
      <c r="G4052" s="3" t="s">
        <v>76</v>
      </c>
    </row>
    <row r="4053">
      <c r="A4053" s="3" t="s">
        <v>9526</v>
      </c>
      <c r="B4053" s="4" t="str">
        <f>IFERROR(__xludf.DUMMYFUNCTION("GOOGLETRANSLATE(A4053, ""en"", ""te"")"),"బెల్లం (ముక్కలు)")</f>
        <v>బెల్లం (ముక్కలు)</v>
      </c>
      <c r="C4053" s="4" t="str">
        <f>IFERROR(__xludf.DUMMYFUNCTION("GOOGLETRANSLATE(A4053, ""en"", ""hi"")"),"गुड़ (टुकड़ों में)")</f>
        <v>गुड़ (टुकड़ों में)</v>
      </c>
      <c r="D4053" s="2" t="s">
        <v>7147</v>
      </c>
      <c r="E4053" s="2" t="s">
        <v>4407</v>
      </c>
      <c r="F4053" s="1">
        <v>8.0</v>
      </c>
      <c r="G4053" s="3" t="s">
        <v>85</v>
      </c>
    </row>
    <row r="4054">
      <c r="A4054" s="3" t="s">
        <v>9527</v>
      </c>
      <c r="B4054" s="4" t="str">
        <f>IFERROR(__xludf.DUMMYFUNCTION("GOOGLETRANSLATE(A4054, ""en"", ""te"")"),"టాటా టీ ప్రీమియం")</f>
        <v>టాటా టీ ప్రీమియం</v>
      </c>
      <c r="C4054" s="4" t="str">
        <f>IFERROR(__xludf.DUMMYFUNCTION("GOOGLETRANSLATE(A4054, ""en"", ""hi"")"),"टाटा टी प्रीमियम")</f>
        <v>टाटा टी प्रीमियम</v>
      </c>
      <c r="D4054" s="2" t="s">
        <v>3925</v>
      </c>
      <c r="E4054" s="2" t="s">
        <v>3927</v>
      </c>
      <c r="F4054" s="1">
        <v>8.0</v>
      </c>
      <c r="G4054" s="3" t="s">
        <v>71</v>
      </c>
    </row>
    <row r="4055">
      <c r="A4055" s="3" t="s">
        <v>9528</v>
      </c>
      <c r="B4055" s="4" t="str">
        <f>IFERROR(__xludf.DUMMYFUNCTION("GOOGLETRANSLATE(A4055, ""en"", ""te"")"),"సొసైటీ టీ")</f>
        <v>సొసైటీ టీ</v>
      </c>
      <c r="C4055" s="4" t="str">
        <f>IFERROR(__xludf.DUMMYFUNCTION("GOOGLETRANSLATE(A4055, ""en"", ""hi"")"),"सोसाइटी टी")</f>
        <v>सोसाइटी टी</v>
      </c>
      <c r="D4055" s="2" t="s">
        <v>3925</v>
      </c>
      <c r="E4055" s="2" t="s">
        <v>3927</v>
      </c>
      <c r="F4055" s="1">
        <v>8.0</v>
      </c>
      <c r="G4055" s="3" t="s">
        <v>71</v>
      </c>
    </row>
    <row r="4056">
      <c r="A4056" s="3" t="s">
        <v>9529</v>
      </c>
      <c r="B4056" s="4" t="str">
        <f>IFERROR(__xludf.DUMMYFUNCTION("GOOGLETRANSLATE(A4056, ""en"", ""te"")"),"వాఘ్ బక్రీ ఇన్స్టంట్ టీ")</f>
        <v>వాఘ్ బక్రీ ఇన్స్టంట్ టీ</v>
      </c>
      <c r="C4056" s="4" t="str">
        <f>IFERROR(__xludf.DUMMYFUNCTION("GOOGLETRANSLATE(A4056, ""en"", ""hi"")"),"वाघ बकरी इंस्टेंट टी")</f>
        <v>वाघ बकरी इंस्टेंट टी</v>
      </c>
      <c r="D4056" s="5"/>
      <c r="E4056" s="2" t="s">
        <v>3927</v>
      </c>
      <c r="F4056" s="1">
        <v>8.0</v>
      </c>
      <c r="G4056" s="3" t="s">
        <v>418</v>
      </c>
    </row>
    <row r="4057">
      <c r="A4057" s="3" t="s">
        <v>9530</v>
      </c>
      <c r="B4057" s="4" t="str">
        <f>IFERROR(__xludf.DUMMYFUNCTION("GOOGLETRANSLATE(A4057, ""en"", ""te"")"),"క్విక్ టీ అల్లం")</f>
        <v>క్విక్ టీ అల్లం</v>
      </c>
      <c r="C4057" s="4" t="str">
        <f>IFERROR(__xludf.DUMMYFUNCTION("GOOGLETRANSLATE(A4057, ""en"", ""hi"")"),"क्विक टी जिंजर")</f>
        <v>क्विक टी जिंजर</v>
      </c>
      <c r="D4057" s="2" t="s">
        <v>9531</v>
      </c>
      <c r="E4057" s="2" t="s">
        <v>3927</v>
      </c>
      <c r="F4057" s="1">
        <v>8.0</v>
      </c>
      <c r="G4057" s="3" t="s">
        <v>437</v>
      </c>
    </row>
    <row r="4058">
      <c r="A4058" s="3" t="s">
        <v>9532</v>
      </c>
      <c r="B4058" s="4" t="str">
        <f>IFERROR(__xludf.DUMMYFUNCTION("GOOGLETRANSLATE(A4058, ""en"", ""te"")"),"క్విక్ టీ మసాలా")</f>
        <v>క్విక్ టీ మసాలా</v>
      </c>
      <c r="C4058" s="4" t="str">
        <f>IFERROR(__xludf.DUMMYFUNCTION("GOOGLETRANSLATE(A4058, ""en"", ""hi"")"),"क्विक टी मसाला")</f>
        <v>क्विक टी मसाला</v>
      </c>
      <c r="D4058" s="2" t="s">
        <v>4401</v>
      </c>
      <c r="E4058" s="2" t="s">
        <v>3927</v>
      </c>
      <c r="F4058" s="1">
        <v>8.0</v>
      </c>
      <c r="G4058" s="3" t="s">
        <v>437</v>
      </c>
    </row>
    <row r="4059">
      <c r="A4059" s="3" t="s">
        <v>9533</v>
      </c>
      <c r="B4059" s="4" t="str">
        <f>IFERROR(__xludf.DUMMYFUNCTION("GOOGLETRANSLATE(A4059, ""en"", ""te"")"),"క్విక్ టీ యాలకులు")</f>
        <v>క్విక్ టీ యాలకులు</v>
      </c>
      <c r="C4059" s="4" t="str">
        <f>IFERROR(__xludf.DUMMYFUNCTION("GOOGLETRANSLATE(A4059, ""en"", ""hi"")"),"क्विक टी इलायची")</f>
        <v>क्विक टी इलायची</v>
      </c>
      <c r="D4059" s="5"/>
      <c r="E4059" s="2" t="s">
        <v>3927</v>
      </c>
      <c r="F4059" s="1">
        <v>8.0</v>
      </c>
      <c r="G4059" s="3" t="s">
        <v>437</v>
      </c>
    </row>
    <row r="4060">
      <c r="A4060" s="3" t="s">
        <v>9534</v>
      </c>
      <c r="B4060" s="4" t="str">
        <f>IFERROR(__xludf.DUMMYFUNCTION("GOOGLETRANSLATE(A4060, ""en"", ""te"")"),"క్విక్ టీ గ్రీన్ టీ")</f>
        <v>క్విక్ టీ గ్రీన్ టీ</v>
      </c>
      <c r="C4060" s="4" t="str">
        <f>IFERROR(__xludf.DUMMYFUNCTION("GOOGLETRANSLATE(A4060, ""en"", ""hi"")"),"क्विक टी ग्रीन टी")</f>
        <v>क्विक टी ग्रीन टी</v>
      </c>
      <c r="D4060" s="2" t="s">
        <v>3925</v>
      </c>
      <c r="E4060" s="2" t="s">
        <v>3927</v>
      </c>
      <c r="F4060" s="1">
        <v>8.0</v>
      </c>
      <c r="G4060" s="3" t="s">
        <v>446</v>
      </c>
    </row>
    <row r="4061">
      <c r="A4061" s="3" t="s">
        <v>9529</v>
      </c>
      <c r="B4061" s="4" t="str">
        <f>IFERROR(__xludf.DUMMYFUNCTION("GOOGLETRANSLATE(A4061, ""en"", ""te"")"),"వాఘ్ బక్రీ ఇన్స్టంట్ టీ")</f>
        <v>వాఘ్ బక్రీ ఇన్స్టంట్ టీ</v>
      </c>
      <c r="C4061" s="4" t="str">
        <f>IFERROR(__xludf.DUMMYFUNCTION("GOOGLETRANSLATE(A4061, ""en"", ""hi"")"),"वाघ बकरी इंस्टेंट टी")</f>
        <v>वाघ बकरी इंस्टेंट टी</v>
      </c>
      <c r="D4061" s="5"/>
      <c r="E4061" s="2" t="s">
        <v>3927</v>
      </c>
      <c r="F4061" s="1">
        <v>8.0</v>
      </c>
      <c r="G4061" s="3" t="s">
        <v>446</v>
      </c>
    </row>
    <row r="4062">
      <c r="A4062" s="3" t="s">
        <v>9535</v>
      </c>
      <c r="B4062" s="4" t="str">
        <f>IFERROR(__xludf.DUMMYFUNCTION("GOOGLETRANSLATE(A4062, ""en"", ""te"")"),"PG చిట్కాలు")</f>
        <v>PG చిట్కాలు</v>
      </c>
      <c r="C4062" s="4" t="str">
        <f>IFERROR(__xludf.DUMMYFUNCTION("GOOGLETRANSLATE(A4062, ""en"", ""hi"")"),"पीजी टिप्स")</f>
        <v>पीजी टिप्स</v>
      </c>
      <c r="D4062" s="5"/>
      <c r="E4062" s="2" t="s">
        <v>3927</v>
      </c>
      <c r="F4062" s="1">
        <v>8.0</v>
      </c>
      <c r="G4062" s="3" t="s">
        <v>446</v>
      </c>
    </row>
    <row r="4063">
      <c r="A4063" s="3" t="s">
        <v>9536</v>
      </c>
      <c r="B4063" s="4" t="str">
        <f>IFERROR(__xludf.DUMMYFUNCTION("GOOGLETRANSLATE(A4063, ""en"", ""te"")"),"నిమ్మకాయతో అల్లం క్విక్ టీ")</f>
        <v>నిమ్మకాయతో అల్లం క్విక్ టీ</v>
      </c>
      <c r="C4063" s="4" t="str">
        <f>IFERROR(__xludf.DUMMYFUNCTION("GOOGLETRANSLATE(A4063, ""en"", ""hi"")"),"क्विक टी जिंजर विद लेमन")</f>
        <v>क्विक टी जिंजर विद लेमन</v>
      </c>
      <c r="D4063" s="2" t="s">
        <v>2695</v>
      </c>
      <c r="E4063" s="2" t="s">
        <v>946</v>
      </c>
      <c r="F4063" s="1">
        <v>8.0</v>
      </c>
      <c r="G4063" s="3" t="s">
        <v>446</v>
      </c>
    </row>
    <row r="4064">
      <c r="A4064" s="3" t="s">
        <v>9537</v>
      </c>
      <c r="B4064" s="4" t="str">
        <f>IFERROR(__xludf.DUMMYFUNCTION("GOOGLETRANSLATE(A4064, ""en"", ""te"")"),"తపల్ గ్రీన్ టీ")</f>
        <v>తపల్ గ్రీన్ టీ</v>
      </c>
      <c r="C4064" s="4" t="str">
        <f>IFERROR(__xludf.DUMMYFUNCTION("GOOGLETRANSLATE(A4064, ""en"", ""hi"")"),"तपल ग्रीन टी")</f>
        <v>तपल ग्रीन टी</v>
      </c>
      <c r="D4064" s="5"/>
      <c r="E4064" s="2" t="s">
        <v>3927</v>
      </c>
      <c r="F4064" s="1">
        <v>8.0</v>
      </c>
      <c r="G4064" s="3" t="s">
        <v>492</v>
      </c>
    </row>
    <row r="4065">
      <c r="A4065" s="3" t="s">
        <v>9538</v>
      </c>
      <c r="B4065" s="4" t="str">
        <f>IFERROR(__xludf.DUMMYFUNCTION("GOOGLETRANSLATE(A4065, ""en"", ""te"")"),"వాఘ్ బక్రీ తక్షణ అల్లం టీ")</f>
        <v>వాఘ్ బక్రీ తక్షణ అల్లం టీ</v>
      </c>
      <c r="C4065" s="4" t="str">
        <f>IFERROR(__xludf.DUMMYFUNCTION("GOOGLETRANSLATE(A4065, ""en"", ""hi"")"),"वाघ बकरी इंस्टेंट अदरक चाय")</f>
        <v>वाघ बकरी इंस्टेंट अदरक चाय</v>
      </c>
      <c r="D4065" s="2" t="s">
        <v>9539</v>
      </c>
      <c r="E4065" s="2" t="s">
        <v>3927</v>
      </c>
      <c r="F4065" s="1">
        <v>8.0</v>
      </c>
      <c r="G4065" s="3" t="s">
        <v>497</v>
      </c>
    </row>
    <row r="4066">
      <c r="A4066" s="3" t="s">
        <v>9540</v>
      </c>
      <c r="B4066" s="4" t="str">
        <f>IFERROR(__xludf.DUMMYFUNCTION("GOOGLETRANSLATE(A4066, ""en"", ""te"")"),"క్విక్ టీ లెమన్‌గ్రాస్ అల్లం")</f>
        <v>క్విక్ టీ లెమన్‌గ్రాస్ అల్లం</v>
      </c>
      <c r="C4066" s="4" t="str">
        <f>IFERROR(__xludf.DUMMYFUNCTION("GOOGLETRANSLATE(A4066, ""en"", ""hi"")"),"क्विक टी लेमनग्रास जिंजर")</f>
        <v>क्विक टी लेमनग्रास जिंजर</v>
      </c>
      <c r="D4066" s="2" t="s">
        <v>2695</v>
      </c>
      <c r="E4066" s="2" t="s">
        <v>3927</v>
      </c>
      <c r="F4066" s="1">
        <v>8.0</v>
      </c>
      <c r="G4066" s="3" t="s">
        <v>497</v>
      </c>
    </row>
    <row r="4067">
      <c r="A4067" s="3" t="s">
        <v>9541</v>
      </c>
      <c r="B4067" s="4" t="str">
        <f>IFERROR(__xludf.DUMMYFUNCTION("GOOGLETRANSLATE(A4067, ""en"", ""te"")"),"క్విక్ టీ మద్రాస్ కాఫీ")</f>
        <v>క్విక్ టీ మద్రాస్ కాఫీ</v>
      </c>
      <c r="C4067" s="4" t="str">
        <f>IFERROR(__xludf.DUMMYFUNCTION("GOOGLETRANSLATE(A4067, ""en"", ""hi"")"),"क्विक टी मद्रास कॉफी")</f>
        <v>क्विक टी मद्रास कॉफी</v>
      </c>
      <c r="D4067" s="2" t="s">
        <v>9542</v>
      </c>
      <c r="E4067" s="2" t="s">
        <v>3927</v>
      </c>
      <c r="F4067" s="1">
        <v>8.0</v>
      </c>
      <c r="G4067" s="3" t="s">
        <v>497</v>
      </c>
    </row>
    <row r="4068">
      <c r="A4068" s="3" t="s">
        <v>9543</v>
      </c>
      <c r="B4068" s="4" t="str">
        <f>IFERROR(__xludf.DUMMYFUNCTION("GOOGLETRANSLATE(A4068, ""en"", ""te"")"),"నిర్వాణ తేనె అల్లం టీ")</f>
        <v>నిర్వాణ తేనె అల్లం టీ</v>
      </c>
      <c r="C4068" s="4" t="str">
        <f>IFERROR(__xludf.DUMMYFUNCTION("GOOGLETRANSLATE(A4068, ""en"", ""hi"")"),"निर्वाना हनी जिंजर टी")</f>
        <v>निर्वाना हनी जिंजर टी</v>
      </c>
      <c r="D4068" s="2" t="s">
        <v>2341</v>
      </c>
      <c r="E4068" s="2" t="s">
        <v>3927</v>
      </c>
      <c r="F4068" s="1">
        <v>8.0</v>
      </c>
      <c r="G4068" s="3" t="s">
        <v>508</v>
      </c>
    </row>
    <row r="4069">
      <c r="A4069" s="3" t="s">
        <v>9544</v>
      </c>
      <c r="B4069" s="4" t="str">
        <f>IFERROR(__xludf.DUMMYFUNCTION("GOOGLETRANSLATE(A4069, ""en"", ""te"")"),"సొసైటీ మసాలా టీ")</f>
        <v>సొసైటీ మసాలా టీ</v>
      </c>
      <c r="C4069" s="4" t="str">
        <f>IFERROR(__xludf.DUMMYFUNCTION("GOOGLETRANSLATE(A4069, ""en"", ""hi"")"),"सोसाइटी मसाला चाय")</f>
        <v>सोसाइटी मसाला चाय</v>
      </c>
      <c r="D4069" s="2" t="s">
        <v>4401</v>
      </c>
      <c r="E4069" s="2" t="s">
        <v>3927</v>
      </c>
      <c r="F4069" s="1">
        <v>8.0</v>
      </c>
      <c r="G4069" s="3" t="s">
        <v>76</v>
      </c>
    </row>
    <row r="4070">
      <c r="A4070" s="3" t="s">
        <v>9528</v>
      </c>
      <c r="B4070" s="4" t="str">
        <f>IFERROR(__xludf.DUMMYFUNCTION("GOOGLETRANSLATE(A4070, ""en"", ""te"")"),"సొసైటీ టీ")</f>
        <v>సొసైటీ టీ</v>
      </c>
      <c r="C4070" s="4" t="str">
        <f>IFERROR(__xludf.DUMMYFUNCTION("GOOGLETRANSLATE(A4070, ""en"", ""hi"")"),"सोसाइटी टी")</f>
        <v>सोसाइटी टी</v>
      </c>
      <c r="D4070" s="2" t="s">
        <v>3925</v>
      </c>
      <c r="E4070" s="2" t="s">
        <v>3927</v>
      </c>
      <c r="F4070" s="1">
        <v>8.0</v>
      </c>
      <c r="G4070" s="3" t="s">
        <v>76</v>
      </c>
    </row>
    <row r="4071">
      <c r="A4071" s="3" t="s">
        <v>9545</v>
      </c>
      <c r="B4071" s="4" t="str">
        <f>IFERROR(__xludf.DUMMYFUNCTION("GOOGLETRANSLATE(A4071, ""en"", ""te"")"),"నెస్కేఫ్ క్లాసిక్")</f>
        <v>నెస్కేఫ్ క్లాసిక్</v>
      </c>
      <c r="C4071" s="4" t="str">
        <f>IFERROR(__xludf.DUMMYFUNCTION("GOOGLETRANSLATE(A4071, ""en"", ""hi"")"),"नेस्केफे क्लासिक")</f>
        <v>नेस्केफे क्लासिक</v>
      </c>
      <c r="D4071" s="5"/>
      <c r="E4071" s="2" t="s">
        <v>3927</v>
      </c>
      <c r="F4071" s="1">
        <v>8.0</v>
      </c>
      <c r="G4071" s="3" t="s">
        <v>85</v>
      </c>
    </row>
    <row r="4072">
      <c r="A4072" s="3" t="s">
        <v>9546</v>
      </c>
      <c r="B4072" s="4" t="str">
        <f>IFERROR(__xludf.DUMMYFUNCTION("GOOGLETRANSLATE(A4072, ""en"", ""te"")"),"నెస్కేఫ్ గోల్డ్")</f>
        <v>నెస్కేఫ్ గోల్డ్</v>
      </c>
      <c r="C4072" s="4" t="str">
        <f>IFERROR(__xludf.DUMMYFUNCTION("GOOGLETRANSLATE(A4072, ""en"", ""hi"")"),"नेस्केफे गोल्ड")</f>
        <v>नेस्केफे गोल्ड</v>
      </c>
      <c r="D4072" s="5"/>
      <c r="E4072" s="2" t="s">
        <v>3927</v>
      </c>
      <c r="F4072" s="1">
        <v>8.0</v>
      </c>
      <c r="G4072" s="3" t="s">
        <v>85</v>
      </c>
    </row>
    <row r="4073">
      <c r="A4073" s="3" t="s">
        <v>9547</v>
      </c>
      <c r="B4073" s="4" t="str">
        <f>IFERROR(__xludf.DUMMYFUNCTION("GOOGLETRANSLATE(A4073, ""en"", ""te"")"),"కాంటికో మల్గుడి కాఫీ")</f>
        <v>కాంటికో మల్గుడి కాఫీ</v>
      </c>
      <c r="C4073" s="4" t="str">
        <f>IFERROR(__xludf.DUMMYFUNCTION("GOOGLETRANSLATE(A4073, ""en"", ""hi"")"),"कॉन्टिको मालगुडी कॉफी")</f>
        <v>कॉन्टिको मालगुडी कॉफी</v>
      </c>
      <c r="D4073" s="2" t="s">
        <v>7638</v>
      </c>
      <c r="E4073" s="2" t="s">
        <v>3927</v>
      </c>
      <c r="F4073" s="1">
        <v>8.0</v>
      </c>
      <c r="G4073" s="3" t="s">
        <v>114</v>
      </c>
    </row>
    <row r="4074">
      <c r="A4074" s="3" t="s">
        <v>9548</v>
      </c>
      <c r="B4074" s="4" t="str">
        <f>IFERROR(__xludf.DUMMYFUNCTION("GOOGLETRANSLATE(A4074, ""en"", ""te"")"),"ఆచి చుక్కు కప్పి")</f>
        <v>ఆచి చుక్కు కప్పి</v>
      </c>
      <c r="C4074" s="4" t="str">
        <f>IFERROR(__xludf.DUMMYFUNCTION("GOOGLETRANSLATE(A4074, ""en"", ""hi"")"),"आची चुक्कू कप्पी")</f>
        <v>आची चुक्कू कप्पी</v>
      </c>
      <c r="D4074" s="2" t="s">
        <v>4401</v>
      </c>
      <c r="E4074" s="2" t="s">
        <v>3927</v>
      </c>
      <c r="F4074" s="1">
        <v>8.0</v>
      </c>
      <c r="G4074" s="3" t="s">
        <v>114</v>
      </c>
    </row>
    <row r="4075">
      <c r="A4075" s="3" t="s">
        <v>9549</v>
      </c>
      <c r="B4075" s="4" t="str">
        <f>IFERROR(__xludf.DUMMYFUNCTION("GOOGLETRANSLATE(A4075, ""en"", ""te"")"),"సాబ్ చెరకు చక్కెర")</f>
        <v>సాబ్ చెరకు చక్కెర</v>
      </c>
      <c r="C4075" s="4" t="str">
        <f>IFERROR(__xludf.DUMMYFUNCTION("GOOGLETRANSLATE(A4075, ""en"", ""hi"")"),"साब गन्ना चीनी")</f>
        <v>साब गन्ना चीनी</v>
      </c>
      <c r="D4075" s="2" t="s">
        <v>6000</v>
      </c>
      <c r="E4075" s="2" t="s">
        <v>4407</v>
      </c>
      <c r="F4075" s="1">
        <v>8.0</v>
      </c>
      <c r="G4075" s="3" t="s">
        <v>10</v>
      </c>
    </row>
    <row r="4076">
      <c r="A4076" s="3" t="s">
        <v>6467</v>
      </c>
      <c r="B4076" s="4" t="str">
        <f>IFERROR(__xludf.DUMMYFUNCTION("GOOGLETRANSLATE(A4076, ""en"", ""te"")"),"టాటా టీ గోల్డ్")</f>
        <v>టాటా టీ గోల్డ్</v>
      </c>
      <c r="C4076" s="4" t="str">
        <f>IFERROR(__xludf.DUMMYFUNCTION("GOOGLETRANSLATE(A4076, ""en"", ""hi"")"),"टाटा टी गोल्ड")</f>
        <v>टाटा टी गोल्ड</v>
      </c>
      <c r="D4076" s="5"/>
      <c r="E4076" s="2" t="s">
        <v>3927</v>
      </c>
      <c r="F4076" s="1">
        <v>8.0</v>
      </c>
      <c r="G4076" s="3" t="s">
        <v>518</v>
      </c>
    </row>
    <row r="4077">
      <c r="A4077" s="3" t="s">
        <v>9550</v>
      </c>
      <c r="B4077" s="4" t="str">
        <f>IFERROR(__xludf.DUMMYFUNCTION("GOOGLETRANSLATE(A4077, ""en"", ""te"")"),"టాటా టీ నేచురల్ కేర్")</f>
        <v>టాటా టీ నేచురల్ కేర్</v>
      </c>
      <c r="C4077" s="4" t="str">
        <f>IFERROR(__xludf.DUMMYFUNCTION("GOOGLETRANSLATE(A4077, ""en"", ""hi"")"),"टाटा टी नेचुरल केयर")</f>
        <v>टाटा टी नेचुरल केयर</v>
      </c>
      <c r="D4077" s="5"/>
      <c r="E4077" s="2" t="s">
        <v>3927</v>
      </c>
      <c r="F4077" s="1">
        <v>8.0</v>
      </c>
      <c r="G4077" s="3" t="s">
        <v>518</v>
      </c>
    </row>
    <row r="4078">
      <c r="A4078" s="3" t="s">
        <v>9527</v>
      </c>
      <c r="B4078" s="4" t="str">
        <f>IFERROR(__xludf.DUMMYFUNCTION("GOOGLETRANSLATE(A4078, ""en"", ""te"")"),"టాటా టీ ప్రీమియం")</f>
        <v>టాటా టీ ప్రీమియం</v>
      </c>
      <c r="C4078" s="4" t="str">
        <f>IFERROR(__xludf.DUMMYFUNCTION("GOOGLETRANSLATE(A4078, ""en"", ""hi"")"),"टाटा टी प्रीमियम")</f>
        <v>टाटा टी प्रीमियम</v>
      </c>
      <c r="D4078" s="2" t="s">
        <v>3925</v>
      </c>
      <c r="E4078" s="2" t="s">
        <v>3927</v>
      </c>
      <c r="F4078" s="1">
        <v>8.0</v>
      </c>
      <c r="G4078" s="3" t="s">
        <v>518</v>
      </c>
    </row>
    <row r="4079">
      <c r="A4079" s="3" t="s">
        <v>9528</v>
      </c>
      <c r="B4079" s="4" t="str">
        <f>IFERROR(__xludf.DUMMYFUNCTION("GOOGLETRANSLATE(A4079, ""en"", ""te"")"),"సొసైటీ టీ")</f>
        <v>సొసైటీ టీ</v>
      </c>
      <c r="C4079" s="4" t="str">
        <f>IFERROR(__xludf.DUMMYFUNCTION("GOOGLETRANSLATE(A4079, ""en"", ""hi"")"),"सोसाइटी टी")</f>
        <v>सोसाइटी टी</v>
      </c>
      <c r="D4079" s="2" t="s">
        <v>3925</v>
      </c>
      <c r="E4079" s="2" t="s">
        <v>3927</v>
      </c>
      <c r="F4079" s="1">
        <v>8.0</v>
      </c>
      <c r="G4079" s="3" t="s">
        <v>518</v>
      </c>
    </row>
    <row r="4080">
      <c r="A4080" s="3" t="s">
        <v>4282</v>
      </c>
      <c r="B4080" s="4" t="str">
        <f>IFERROR(__xludf.DUMMYFUNCTION("GOOGLETRANSLATE(A4080, ""en"", ""te"")"),"లిప్టన్ యెల్లో లేబుల్ టీ")</f>
        <v>లిప్టన్ యెల్లో లేబుల్ టీ</v>
      </c>
      <c r="C4080" s="4" t="str">
        <f>IFERROR(__xludf.DUMMYFUNCTION("GOOGLETRANSLATE(A4080, ""en"", ""hi"")"),"लिप्टन येलो लेबल चाय")</f>
        <v>लिप्टन येलो लेबल चाय</v>
      </c>
      <c r="D4080" s="5"/>
      <c r="E4080" s="2" t="s">
        <v>3927</v>
      </c>
      <c r="F4080" s="1">
        <v>8.0</v>
      </c>
      <c r="G4080" s="3" t="s">
        <v>524</v>
      </c>
    </row>
    <row r="4081">
      <c r="A4081" s="3" t="s">
        <v>9551</v>
      </c>
      <c r="B4081" s="4" t="str">
        <f>IFERROR(__xludf.DUMMYFUNCTION("GOOGLETRANSLATE(A4081, ""en"", ""te"")"),"లిప్టన్ డార్జిలింగ్ టీ")</f>
        <v>లిప్టన్ డార్జిలింగ్ టీ</v>
      </c>
      <c r="C4081" s="4" t="str">
        <f>IFERROR(__xludf.DUMMYFUNCTION("GOOGLETRANSLATE(A4081, ""en"", ""hi"")"),"लिप्टन दार्जिलिंग चाय")</f>
        <v>लिप्टन दार्जिलिंग चाय</v>
      </c>
      <c r="D4081" s="2" t="s">
        <v>3925</v>
      </c>
      <c r="E4081" s="2" t="s">
        <v>3927</v>
      </c>
      <c r="F4081" s="1">
        <v>8.0</v>
      </c>
      <c r="G4081" s="3" t="s">
        <v>524</v>
      </c>
    </row>
    <row r="4082">
      <c r="A4082" s="3" t="s">
        <v>9552</v>
      </c>
      <c r="B4082" s="4" t="str">
        <f>IFERROR(__xludf.DUMMYFUNCTION("GOOGLETRANSLATE(A4082, ""en"", ""te"")"),"లిప్టన్ టీ బ్యాగులు")</f>
        <v>లిప్టన్ టీ బ్యాగులు</v>
      </c>
      <c r="C4082" s="4" t="str">
        <f>IFERROR(__xludf.DUMMYFUNCTION("GOOGLETRANSLATE(A4082, ""en"", ""hi"")"),"लिप्टन टी बैग्स")</f>
        <v>लिप्टन टी बैग्स</v>
      </c>
      <c r="D4082" s="5"/>
      <c r="E4082" s="2" t="s">
        <v>3927</v>
      </c>
      <c r="F4082" s="1">
        <v>8.0</v>
      </c>
      <c r="G4082" s="3" t="s">
        <v>524</v>
      </c>
    </row>
    <row r="4083">
      <c r="A4083" s="3" t="s">
        <v>9553</v>
      </c>
      <c r="B4083" s="4" t="str">
        <f>IFERROR(__xludf.DUMMYFUNCTION("GOOGLETRANSLATE(A4083, ""en"", ""te"")"),"నల్ల ఆకు టీ")</f>
        <v>నల్ల ఆకు టీ</v>
      </c>
      <c r="C4083" s="4" t="str">
        <f>IFERROR(__xludf.DUMMYFUNCTION("GOOGLETRANSLATE(A4083, ""en"", ""hi"")"),"काली खुली पत्ती वाली चाय")</f>
        <v>काली खुली पत्ती वाली चाय</v>
      </c>
      <c r="D4083" s="5"/>
      <c r="E4083" s="2" t="s">
        <v>3927</v>
      </c>
      <c r="F4083" s="1">
        <v>8.0</v>
      </c>
      <c r="G4083" s="3" t="s">
        <v>524</v>
      </c>
    </row>
    <row r="4084">
      <c r="A4084" s="3" t="s">
        <v>9544</v>
      </c>
      <c r="B4084" s="4" t="str">
        <f>IFERROR(__xludf.DUMMYFUNCTION("GOOGLETRANSLATE(A4084, ""en"", ""te"")"),"సొసైటీ మసాలా టీ")</f>
        <v>సొసైటీ మసాలా టీ</v>
      </c>
      <c r="C4084" s="4" t="str">
        <f>IFERROR(__xludf.DUMMYFUNCTION("GOOGLETRANSLATE(A4084, ""en"", ""hi"")"),"सोसाइटी मसाला चाय")</f>
        <v>सोसाइटी मसाला चाय</v>
      </c>
      <c r="D4084" s="2" t="s">
        <v>4401</v>
      </c>
      <c r="E4084" s="2" t="s">
        <v>3927</v>
      </c>
      <c r="F4084" s="1">
        <v>8.0</v>
      </c>
      <c r="G4084" s="3" t="s">
        <v>524</v>
      </c>
    </row>
    <row r="4085">
      <c r="A4085" s="3" t="s">
        <v>9554</v>
      </c>
      <c r="B4085" s="4" t="str">
        <f>IFERROR(__xludf.DUMMYFUNCTION("GOOGLETRANSLATE(A4085, ""en"", ""te"")"),"కాంటినెంటల్ స్పెషల్ కాఫీ")</f>
        <v>కాంటినెంటల్ స్పెషల్ కాఫీ</v>
      </c>
      <c r="C4085" s="4" t="str">
        <f>IFERROR(__xludf.DUMMYFUNCTION("GOOGLETRANSLATE(A4085, ""en"", ""hi"")"),"कॉन्टिनेंटल स्पेशल कॉफी")</f>
        <v>कॉन्टिनेंटल स्पेशल कॉफी</v>
      </c>
      <c r="D4085" s="2" t="s">
        <v>8864</v>
      </c>
      <c r="E4085" s="2" t="s">
        <v>3927</v>
      </c>
      <c r="F4085" s="1">
        <v>8.0</v>
      </c>
      <c r="G4085" s="3" t="s">
        <v>530</v>
      </c>
    </row>
    <row r="4086">
      <c r="A4086" s="3" t="s">
        <v>9555</v>
      </c>
      <c r="B4086" s="4" t="str">
        <f>IFERROR(__xludf.DUMMYFUNCTION("GOOGLETRANSLATE(A4086, ""en"", ""te"")"),"నరసు శుద్ధ తక్షణ కాఫీ")</f>
        <v>నరసు శుద్ధ తక్షణ కాఫీ</v>
      </c>
      <c r="C4086" s="4" t="str">
        <f>IFERROR(__xludf.DUMMYFUNCTION("GOOGLETRANSLATE(A4086, ""en"", ""hi"")"),"नरसु की प्योर इंस्टेंट कॉफी")</f>
        <v>नरसु की प्योर इंस्टेंट कॉफी</v>
      </c>
      <c r="D4086" s="2" t="s">
        <v>8864</v>
      </c>
      <c r="E4086" s="2" t="s">
        <v>3927</v>
      </c>
      <c r="F4086" s="1">
        <v>8.0</v>
      </c>
      <c r="G4086" s="3" t="s">
        <v>530</v>
      </c>
    </row>
    <row r="4087">
      <c r="A4087" s="3" t="s">
        <v>9545</v>
      </c>
      <c r="B4087" s="4" t="str">
        <f>IFERROR(__xludf.DUMMYFUNCTION("GOOGLETRANSLATE(A4087, ""en"", ""te"")"),"నెస్కేఫ్ క్లాసిక్")</f>
        <v>నెస్కేఫ్ క్లాసిక్</v>
      </c>
      <c r="C4087" s="4" t="str">
        <f>IFERROR(__xludf.DUMMYFUNCTION("GOOGLETRANSLATE(A4087, ""en"", ""hi"")"),"नेस्केफे क्लासिक")</f>
        <v>नेस्केफे क्लासिक</v>
      </c>
      <c r="D4087" s="5"/>
      <c r="E4087" s="2" t="s">
        <v>3927</v>
      </c>
      <c r="F4087" s="1">
        <v>8.0</v>
      </c>
      <c r="G4087" s="3" t="s">
        <v>530</v>
      </c>
    </row>
    <row r="4088">
      <c r="A4088" s="3" t="s">
        <v>9546</v>
      </c>
      <c r="B4088" s="4" t="str">
        <f>IFERROR(__xludf.DUMMYFUNCTION("GOOGLETRANSLATE(A4088, ""en"", ""te"")"),"నెస్కేఫ్ గోల్డ్")</f>
        <v>నెస్కేఫ్ గోల్డ్</v>
      </c>
      <c r="C4088" s="4" t="str">
        <f>IFERROR(__xludf.DUMMYFUNCTION("GOOGLETRANSLATE(A4088, ""en"", ""hi"")"),"नेस्केफे गोल्ड")</f>
        <v>नेस्केफे गोल्ड</v>
      </c>
      <c r="D4088" s="5"/>
      <c r="E4088" s="2" t="s">
        <v>3927</v>
      </c>
      <c r="F4088" s="1">
        <v>8.0</v>
      </c>
      <c r="G4088" s="3" t="s">
        <v>530</v>
      </c>
    </row>
    <row r="4089">
      <c r="A4089" s="3" t="s">
        <v>9556</v>
      </c>
      <c r="B4089" s="4" t="str">
        <f>IFERROR(__xludf.DUMMYFUNCTION("GOOGLETRANSLATE(A4089, ""en"", ""te"")"),"కూర్గ్ కాఫీ")</f>
        <v>కూర్గ్ కాఫీ</v>
      </c>
      <c r="C4089" s="4" t="str">
        <f>IFERROR(__xludf.DUMMYFUNCTION("GOOGLETRANSLATE(A4089, ""en"", ""hi"")"),"कूर्ग कॉफी")</f>
        <v>कूर्ग कॉफी</v>
      </c>
      <c r="D4089" s="2" t="s">
        <v>8864</v>
      </c>
      <c r="E4089" s="2" t="s">
        <v>3927</v>
      </c>
      <c r="F4089" s="1">
        <v>8.0</v>
      </c>
      <c r="G4089" s="3" t="s">
        <v>449</v>
      </c>
    </row>
    <row r="4090">
      <c r="A4090" s="3" t="s">
        <v>9547</v>
      </c>
      <c r="B4090" s="4" t="str">
        <f>IFERROR(__xludf.DUMMYFUNCTION("GOOGLETRANSLATE(A4090, ""en"", ""te"")"),"కాంటికో మల్గుడి కాఫీ")</f>
        <v>కాంటికో మల్గుడి కాఫీ</v>
      </c>
      <c r="C4090" s="4" t="str">
        <f>IFERROR(__xludf.DUMMYFUNCTION("GOOGLETRANSLATE(A4090, ""en"", ""hi"")"),"कॉन्टिको मालगुडी कॉफी")</f>
        <v>कॉन्टिको मालगुडी कॉफी</v>
      </c>
      <c r="D4090" s="2" t="s">
        <v>7638</v>
      </c>
      <c r="E4090" s="2" t="s">
        <v>3927</v>
      </c>
      <c r="F4090" s="1">
        <v>8.0</v>
      </c>
      <c r="G4090" s="3" t="s">
        <v>449</v>
      </c>
    </row>
    <row r="4091">
      <c r="A4091" s="3" t="s">
        <v>9557</v>
      </c>
      <c r="B4091" s="4" t="str">
        <f>IFERROR(__xludf.DUMMYFUNCTION("GOOGLETRANSLATE(A4091, ""en"", ""te"")"),"ఆచీ చుక్కు మల్లి కప్పి")</f>
        <v>ఆచీ చుక్కు మల్లి కప్పి</v>
      </c>
      <c r="C4091" s="4" t="str">
        <f>IFERROR(__xludf.DUMMYFUNCTION("GOOGLETRANSLATE(A4091, ""en"", ""hi"")"),"आची चुक्कु मल्ली कप्पी")</f>
        <v>आची चुक्कु मल्ली कप्पी</v>
      </c>
      <c r="D4091" s="2" t="s">
        <v>4401</v>
      </c>
      <c r="E4091" s="2" t="s">
        <v>3927</v>
      </c>
      <c r="F4091" s="1">
        <v>8.0</v>
      </c>
      <c r="G4091" s="3" t="s">
        <v>449</v>
      </c>
    </row>
    <row r="4092">
      <c r="A4092" s="3" t="s">
        <v>9558</v>
      </c>
      <c r="B4092" s="4" t="str">
        <f>IFERROR(__xludf.DUMMYFUNCTION("GOOGLETRANSLATE(A4092, ""en"", ""te"")"),"జస్ట్ ఆర్గానిక్ షుగర్")</f>
        <v>జస్ట్ ఆర్గానిక్ షుగర్</v>
      </c>
      <c r="C4092" s="4" t="str">
        <f>IFERROR(__xludf.DUMMYFUNCTION("GOOGLETRANSLATE(A4092, ""en"", ""hi"")"),"जस्ट ऑर्गेनिक शुगर")</f>
        <v>जस्ट ऑर्गेनिक शुगर</v>
      </c>
      <c r="D4092" s="2" t="s">
        <v>6000</v>
      </c>
      <c r="E4092" s="2" t="s">
        <v>4407</v>
      </c>
      <c r="F4092" s="1">
        <v>8.0</v>
      </c>
      <c r="G4092" s="3" t="s">
        <v>453</v>
      </c>
    </row>
    <row r="4093">
      <c r="A4093" s="3" t="s">
        <v>9559</v>
      </c>
      <c r="B4093" s="4" t="str">
        <f>IFERROR(__xludf.DUMMYFUNCTION("GOOGLETRANSLATE(A4093, ""en"", ""te"")"),"బాన్సీ చెరకు చక్కెర బ్రౌన్")</f>
        <v>బాన్సీ చెరకు చక్కెర బ్రౌన్</v>
      </c>
      <c r="C4093" s="4" t="str">
        <f>IFERROR(__xludf.DUMMYFUNCTION("GOOGLETRANSLATE(A4093, ""en"", ""hi"")"),"बंसी गन्ना चीनी भूरा")</f>
        <v>बंसी गन्ना चीनी भूरा</v>
      </c>
      <c r="D4093" s="2" t="s">
        <v>6000</v>
      </c>
      <c r="E4093" s="2" t="s">
        <v>4407</v>
      </c>
      <c r="F4093" s="1">
        <v>8.0</v>
      </c>
      <c r="G4093" s="3" t="s">
        <v>453</v>
      </c>
    </row>
    <row r="4094">
      <c r="A4094" s="3" t="s">
        <v>9560</v>
      </c>
      <c r="B4094" s="4" t="str">
        <f>IFERROR(__xludf.DUMMYFUNCTION("GOOGLETRANSLATE(A4094, ""en"", ""te"")"),"క్విక్ టీ అల్లం టీ")</f>
        <v>క్విక్ టీ అల్లం టీ</v>
      </c>
      <c r="C4094" s="4" t="str">
        <f>IFERROR(__xludf.DUMMYFUNCTION("GOOGLETRANSLATE(A4094, ""en"", ""hi"")"),"क्विक टी जिंजर टी")</f>
        <v>क्विक टी जिंजर टी</v>
      </c>
      <c r="D4094" s="2" t="s">
        <v>2695</v>
      </c>
      <c r="E4094" s="2" t="s">
        <v>3927</v>
      </c>
      <c r="F4094" s="1">
        <v>8.0</v>
      </c>
      <c r="G4094" s="3" t="s">
        <v>437</v>
      </c>
    </row>
    <row r="4095">
      <c r="A4095" s="3" t="s">
        <v>9561</v>
      </c>
      <c r="B4095" s="4" t="str">
        <f>IFERROR(__xludf.DUMMYFUNCTION("GOOGLETRANSLATE(A4095, ""en"", ""te"")"),"క్విక్ టీ మసాలా టీ")</f>
        <v>క్విక్ టీ మసాలా టీ</v>
      </c>
      <c r="C4095" s="4" t="str">
        <f>IFERROR(__xludf.DUMMYFUNCTION("GOOGLETRANSLATE(A4095, ""en"", ""hi"")"),"क्विक टी मसाला चाय")</f>
        <v>क्विक टी मसाला चाय</v>
      </c>
      <c r="D4095" s="2" t="s">
        <v>4401</v>
      </c>
      <c r="E4095" s="2" t="s">
        <v>3927</v>
      </c>
      <c r="F4095" s="1">
        <v>8.0</v>
      </c>
      <c r="G4095" s="3" t="s">
        <v>437</v>
      </c>
    </row>
    <row r="4096">
      <c r="A4096" s="3" t="s">
        <v>9562</v>
      </c>
      <c r="B4096" s="4" t="str">
        <f>IFERROR(__xludf.DUMMYFUNCTION("GOOGLETRANSLATE(A4096, ""en"", ""te"")"),"క్విక్ టీ మసాలా చాయ్")</f>
        <v>క్విక్ టీ మసాలా చాయ్</v>
      </c>
      <c r="C4096" s="4" t="str">
        <f>IFERROR(__xludf.DUMMYFUNCTION("GOOGLETRANSLATE(A4096, ""en"", ""hi"")"),"क्विक टी मसाला चाय")</f>
        <v>क्विक टी मसाला चाय</v>
      </c>
      <c r="D4096" s="2" t="s">
        <v>4401</v>
      </c>
      <c r="E4096" s="2" t="s">
        <v>3927</v>
      </c>
      <c r="F4096" s="1">
        <v>8.0</v>
      </c>
      <c r="G4096" s="3" t="s">
        <v>437</v>
      </c>
    </row>
    <row r="4097">
      <c r="A4097" s="3" t="s">
        <v>9563</v>
      </c>
      <c r="B4097" s="4" t="str">
        <f>IFERROR(__xludf.DUMMYFUNCTION("GOOGLETRANSLATE(A4097, ""en"", ""te"")"),"క్విక్ టీ అల్లం చాయ్")</f>
        <v>క్విక్ టీ అల్లం చాయ్</v>
      </c>
      <c r="C4097" s="4" t="str">
        <f>IFERROR(__xludf.DUMMYFUNCTION("GOOGLETRANSLATE(A4097, ""en"", ""hi"")"),"क्विक टी जिंजर चाय")</f>
        <v>क्विक टी जिंजर चाय</v>
      </c>
      <c r="D4097" s="2" t="s">
        <v>4401</v>
      </c>
      <c r="E4097" s="2" t="s">
        <v>3927</v>
      </c>
      <c r="F4097" s="1">
        <v>8.0</v>
      </c>
      <c r="G4097" s="3" t="s">
        <v>437</v>
      </c>
    </row>
    <row r="4098">
      <c r="A4098" s="3" t="s">
        <v>9535</v>
      </c>
      <c r="B4098" s="4" t="str">
        <f>IFERROR(__xludf.DUMMYFUNCTION("GOOGLETRANSLATE(A4098, ""en"", ""te"")"),"PG చిట్కాలు")</f>
        <v>PG చిట్కాలు</v>
      </c>
      <c r="C4098" s="4" t="str">
        <f>IFERROR(__xludf.DUMMYFUNCTION("GOOGLETRANSLATE(A4098, ""en"", ""hi"")"),"पीजी टिप्स")</f>
        <v>पीजी टिप्स</v>
      </c>
      <c r="D4098" s="5"/>
      <c r="E4098" s="2" t="s">
        <v>3927</v>
      </c>
      <c r="F4098" s="1">
        <v>8.0</v>
      </c>
      <c r="G4098" s="3" t="s">
        <v>437</v>
      </c>
    </row>
    <row r="4099">
      <c r="A4099" s="3" t="s">
        <v>9564</v>
      </c>
      <c r="B4099" s="4" t="str">
        <f>IFERROR(__xludf.DUMMYFUNCTION("GOOGLETRANSLATE(A4099, ""en"", ""te"")"),"క్విక్ టీ టీ బ్యాగులు")</f>
        <v>క్విక్ టీ టీ బ్యాగులు</v>
      </c>
      <c r="C4099" s="4" t="str">
        <f>IFERROR(__xludf.DUMMYFUNCTION("GOOGLETRANSLATE(A4099, ""en"", ""hi"")"),"क्विक टी टी बैग्स")</f>
        <v>क्विक टी टी बैग्स</v>
      </c>
      <c r="D4099" s="5"/>
      <c r="E4099" s="2" t="s">
        <v>3927</v>
      </c>
      <c r="F4099" s="1">
        <v>8.0</v>
      </c>
      <c r="G4099" s="3" t="s">
        <v>437</v>
      </c>
    </row>
    <row r="4100">
      <c r="A4100" s="3" t="s">
        <v>9537</v>
      </c>
      <c r="B4100" s="4" t="str">
        <f>IFERROR(__xludf.DUMMYFUNCTION("GOOGLETRANSLATE(A4100, ""en"", ""te"")"),"తపల్ గ్రీన్ టీ")</f>
        <v>తపల్ గ్రీన్ టీ</v>
      </c>
      <c r="C4100" s="4" t="str">
        <f>IFERROR(__xludf.DUMMYFUNCTION("GOOGLETRANSLATE(A4100, ""en"", ""hi"")"),"तपल ग्रीन टी")</f>
        <v>तपल ग्रीन टी</v>
      </c>
      <c r="D4100" s="5"/>
      <c r="E4100" s="2" t="s">
        <v>3927</v>
      </c>
      <c r="F4100" s="1">
        <v>8.0</v>
      </c>
      <c r="G4100" s="3" t="s">
        <v>437</v>
      </c>
    </row>
    <row r="4101">
      <c r="A4101" s="3" t="s">
        <v>9565</v>
      </c>
      <c r="B4101" s="4" t="str">
        <f>IFERROR(__xludf.DUMMYFUNCTION("GOOGLETRANSLATE(A4101, ""en"", ""te"")"),"వాఘ్ బక్రీ లెమన్‌గ్రాస్ అల్లం టీ")</f>
        <v>వాఘ్ బక్రీ లెమన్‌గ్రాస్ అల్లం టీ</v>
      </c>
      <c r="C4101" s="4" t="str">
        <f>IFERROR(__xludf.DUMMYFUNCTION("GOOGLETRANSLATE(A4101, ""en"", ""hi"")"),"वाघ बकरी लेमनग्रास अदरक चाय")</f>
        <v>वाघ बकरी लेमनग्रास अदरक चाय</v>
      </c>
      <c r="D4101" s="5"/>
      <c r="E4101" s="2" t="s">
        <v>3927</v>
      </c>
      <c r="F4101" s="1">
        <v>8.0</v>
      </c>
      <c r="G4101" s="3" t="s">
        <v>497</v>
      </c>
    </row>
    <row r="4102">
      <c r="A4102" s="3" t="s">
        <v>9566</v>
      </c>
      <c r="B4102" s="4" t="str">
        <f>IFERROR(__xludf.DUMMYFUNCTION("GOOGLETRANSLATE(A4102, ""en"", ""te"")"),"తాజ్ మహల్ టీ")</f>
        <v>తాజ్ మహల్ టీ</v>
      </c>
      <c r="C4102" s="4" t="str">
        <f>IFERROR(__xludf.DUMMYFUNCTION("GOOGLETRANSLATE(A4102, ""en"", ""hi"")"),"ताज महल चाय")</f>
        <v>ताज महल चाय</v>
      </c>
      <c r="D4102" s="2" t="s">
        <v>4401</v>
      </c>
      <c r="E4102" s="2" t="s">
        <v>3927</v>
      </c>
      <c r="F4102" s="1">
        <v>8.0</v>
      </c>
      <c r="G4102" s="3" t="s">
        <v>518</v>
      </c>
    </row>
    <row r="4103">
      <c r="A4103" s="3" t="s">
        <v>9567</v>
      </c>
      <c r="B4103" s="4" t="str">
        <f>IFERROR(__xludf.DUMMYFUNCTION("GOOGLETRANSLATE(A4103, ""en"", ""te"")"),"టాటా గోల్డ్ టీ")</f>
        <v>టాటా గోల్డ్ టీ</v>
      </c>
      <c r="C4103" s="4" t="str">
        <f>IFERROR(__xludf.DUMMYFUNCTION("GOOGLETRANSLATE(A4103, ""en"", ""hi"")"),"टाटा गोल्ड टी")</f>
        <v>टाटा गोल्ड टी</v>
      </c>
      <c r="D4103" s="5"/>
      <c r="E4103" s="2" t="s">
        <v>3927</v>
      </c>
      <c r="F4103" s="1">
        <v>8.0</v>
      </c>
      <c r="G4103" s="3" t="s">
        <v>518</v>
      </c>
    </row>
    <row r="4104">
      <c r="A4104" s="3" t="s">
        <v>9568</v>
      </c>
      <c r="B4104" s="4" t="str">
        <f>IFERROR(__xludf.DUMMYFUNCTION("GOOGLETRANSLATE(A4104, ""en"", ""te"")"),"రెడ్ లేబుల్ నేచురల్ కేర్ టీ")</f>
        <v>రెడ్ లేబుల్ నేచురల్ కేర్ టీ</v>
      </c>
      <c r="C4104" s="4" t="str">
        <f>IFERROR(__xludf.DUMMYFUNCTION("GOOGLETRANSLATE(A4104, ""en"", ""hi"")"),"रेड लेबल नेचुरल केयर टी")</f>
        <v>रेड लेबल नेचुरल केयर टी</v>
      </c>
      <c r="D4104" s="5"/>
      <c r="E4104" s="2" t="s">
        <v>3927</v>
      </c>
      <c r="F4104" s="1">
        <v>8.0</v>
      </c>
      <c r="G4104" s="3" t="s">
        <v>518</v>
      </c>
    </row>
    <row r="4105">
      <c r="A4105" s="3" t="s">
        <v>9569</v>
      </c>
      <c r="B4105" s="4" t="str">
        <f>IFERROR(__xludf.DUMMYFUNCTION("GOOGLETRANSLATE(A4105, ""en"", ""te"")"),"టాటా ప్రీమియం టీ")</f>
        <v>టాటా ప్రీమియం టీ</v>
      </c>
      <c r="C4105" s="4" t="str">
        <f>IFERROR(__xludf.DUMMYFUNCTION("GOOGLETRANSLATE(A4105, ""en"", ""hi"")"),"टाटा प्रीमियम चाय")</f>
        <v>टाटा प्रीमियम चाय</v>
      </c>
      <c r="D4105" s="5"/>
      <c r="E4105" s="2" t="s">
        <v>3927</v>
      </c>
      <c r="F4105" s="1">
        <v>8.0</v>
      </c>
      <c r="G4105" s="3" t="s">
        <v>518</v>
      </c>
    </row>
    <row r="4106">
      <c r="A4106" s="3" t="s">
        <v>9570</v>
      </c>
      <c r="B4106" s="4" t="str">
        <f>IFERROR(__xludf.DUMMYFUNCTION("GOOGLETRANSLATE(A4106, ""en"", ""te"")"),"టెట్లీ చాయ్ టీ")</f>
        <v>టెట్లీ చాయ్ టీ</v>
      </c>
      <c r="C4106" s="4" t="str">
        <f>IFERROR(__xludf.DUMMYFUNCTION("GOOGLETRANSLATE(A4106, ""en"", ""hi"")"),"टेटली चाय")</f>
        <v>टेटली चाय</v>
      </c>
      <c r="D4106" s="2" t="s">
        <v>3925</v>
      </c>
      <c r="E4106" s="2" t="s">
        <v>3927</v>
      </c>
      <c r="F4106" s="1">
        <v>8.0</v>
      </c>
      <c r="G4106" s="3" t="s">
        <v>524</v>
      </c>
    </row>
    <row r="4107">
      <c r="A4107" s="3" t="s">
        <v>9571</v>
      </c>
      <c r="B4107" s="4" t="str">
        <f>IFERROR(__xludf.DUMMYFUNCTION("GOOGLETRANSLATE(A4107, ""en"", ""te"")"),"బ్రూ ఇన్‌స్టంట్ కాఫీ")</f>
        <v>బ్రూ ఇన్‌స్టంట్ కాఫీ</v>
      </c>
      <c r="C4107" s="4" t="str">
        <f>IFERROR(__xludf.DUMMYFUNCTION("GOOGLETRANSLATE(A4107, ""en"", ""hi"")"),"ब्रू इंस्टेंट कॉफी")</f>
        <v>ब्रू इंस्टेंट कॉफी</v>
      </c>
      <c r="D4107" s="2" t="s">
        <v>9572</v>
      </c>
      <c r="E4107" s="2" t="s">
        <v>3927</v>
      </c>
      <c r="F4107" s="1">
        <v>8.0</v>
      </c>
      <c r="G4107" s="3" t="s">
        <v>530</v>
      </c>
    </row>
    <row r="4108">
      <c r="A4108" s="3" t="s">
        <v>9573</v>
      </c>
      <c r="B4108" s="4" t="str">
        <f>IFERROR(__xludf.DUMMYFUNCTION("GOOGLETRANSLATE(A4108, ""en"", ""te"")"),"అరకు భూమి ఇన్‌స్టంట్ కాఫీ")</f>
        <v>అరకు భూమి ఇన్‌స్టంట్ కాఫీ</v>
      </c>
      <c r="C4108" s="4" t="str">
        <f>IFERROR(__xludf.DUMMYFUNCTION("GOOGLETRANSLATE(A4108, ""en"", ""hi"")"),"अराकु बूमी इंस्टेंट कॉफी")</f>
        <v>अराकु बूमी इंस्टेंट कॉफी</v>
      </c>
      <c r="D4108" s="2" t="s">
        <v>9572</v>
      </c>
      <c r="E4108" s="2" t="s">
        <v>3927</v>
      </c>
      <c r="F4108" s="1">
        <v>8.0</v>
      </c>
      <c r="G4108" s="3" t="s">
        <v>530</v>
      </c>
    </row>
    <row r="4109">
      <c r="A4109" s="3" t="s">
        <v>9574</v>
      </c>
      <c r="B4109" s="4" t="str">
        <f>IFERROR(__xludf.DUMMYFUNCTION("GOOGLETRANSLATE(A4109, ""en"", ""te"")"),"నెస్కేఫ్ క్లాసిక్ కాఫీ")</f>
        <v>నెస్కేఫ్ క్లాసిక్ కాఫీ</v>
      </c>
      <c r="C4109" s="4" t="str">
        <f>IFERROR(__xludf.DUMMYFUNCTION("GOOGLETRANSLATE(A4109, ""en"", ""hi"")"),"नेस्केफे क्लासिक कॉफी")</f>
        <v>नेस्केफे क्लासिक कॉफी</v>
      </c>
      <c r="D4109" s="2" t="s">
        <v>8864</v>
      </c>
      <c r="E4109" s="2" t="s">
        <v>3927</v>
      </c>
      <c r="F4109" s="1">
        <v>8.0</v>
      </c>
      <c r="G4109" s="3" t="s">
        <v>530</v>
      </c>
    </row>
    <row r="4110">
      <c r="A4110" s="3" t="s">
        <v>9575</v>
      </c>
      <c r="B4110" s="4" t="str">
        <f>IFERROR(__xludf.DUMMYFUNCTION("GOOGLETRANSLATE(A4110, ""en"", ""te"")"),"నెస్కేఫ్ గోల్డ్ కాఫీ")</f>
        <v>నెస్కేఫ్ గోల్డ్ కాఫీ</v>
      </c>
      <c r="C4110" s="4" t="str">
        <f>IFERROR(__xludf.DUMMYFUNCTION("GOOGLETRANSLATE(A4110, ""en"", ""hi"")"),"नेस्केफे गोल्ड कॉफी")</f>
        <v>नेस्केफे गोल्ड कॉफी</v>
      </c>
      <c r="D4110" s="2" t="s">
        <v>8864</v>
      </c>
      <c r="E4110" s="2" t="s">
        <v>3927</v>
      </c>
      <c r="F4110" s="1">
        <v>8.0</v>
      </c>
      <c r="G4110" s="3" t="s">
        <v>530</v>
      </c>
    </row>
    <row r="4111">
      <c r="A4111" s="3" t="s">
        <v>9576</v>
      </c>
      <c r="B4111" s="4" t="str">
        <f>IFERROR(__xludf.DUMMYFUNCTION("GOOGLETRANSLATE(A4111, ""en"", ""te"")"),"దండేదార్ టీ")</f>
        <v>దండేదార్ టీ</v>
      </c>
      <c r="C4111" s="4" t="str">
        <f>IFERROR(__xludf.DUMMYFUNCTION("GOOGLETRANSLATE(A4111, ""en"", ""hi"")"),"दांडेदार चाय")</f>
        <v>दांडेदार चाय</v>
      </c>
      <c r="D4111" s="2" t="s">
        <v>3925</v>
      </c>
      <c r="E4111" s="2" t="s">
        <v>3927</v>
      </c>
      <c r="F4111" s="1">
        <v>8.0</v>
      </c>
      <c r="G4111" s="3" t="s">
        <v>449</v>
      </c>
    </row>
    <row r="4112">
      <c r="A4112" s="3" t="s">
        <v>9577</v>
      </c>
      <c r="B4112" s="4" t="str">
        <f>IFERROR(__xludf.DUMMYFUNCTION("GOOGLETRANSLATE(A4112, ""en"", ""te"")"),"మాల్గుడి కాఫీ")</f>
        <v>మాల్గుడి కాఫీ</v>
      </c>
      <c r="C4112" s="4" t="str">
        <f>IFERROR(__xludf.DUMMYFUNCTION("GOOGLETRANSLATE(A4112, ""en"", ""hi"")"),"मालगुडी कॉफी")</f>
        <v>मालगुडी कॉफी</v>
      </c>
      <c r="D4112" s="2" t="s">
        <v>8864</v>
      </c>
      <c r="E4112" s="2" t="s">
        <v>3927</v>
      </c>
      <c r="F4112" s="1">
        <v>8.0</v>
      </c>
      <c r="G4112" s="3" t="s">
        <v>449</v>
      </c>
    </row>
    <row r="4113">
      <c r="A4113" s="3" t="s">
        <v>9578</v>
      </c>
      <c r="B4113" s="4" t="str">
        <f>IFERROR(__xludf.DUMMYFUNCTION("GOOGLETRANSLATE(A4113, ""en"", ""te"")"),"ఆచీ చుక్కీ కప్పీ కాఫీ")</f>
        <v>ఆచీ చుక్కీ కప్పీ కాఫీ</v>
      </c>
      <c r="C4113" s="4" t="str">
        <f>IFERROR(__xludf.DUMMYFUNCTION("GOOGLETRANSLATE(A4113, ""en"", ""hi"")"),"आची चुक्की कप्पी कॉफी")</f>
        <v>आची चुक्की कप्पी कॉफी</v>
      </c>
      <c r="D4113" s="2" t="s">
        <v>8864</v>
      </c>
      <c r="E4113" s="2" t="s">
        <v>3927</v>
      </c>
      <c r="F4113" s="1">
        <v>8.0</v>
      </c>
      <c r="G4113" s="3" t="s">
        <v>449</v>
      </c>
    </row>
    <row r="4114">
      <c r="A4114" s="3" t="s">
        <v>9579</v>
      </c>
      <c r="B4114" s="4" t="str">
        <f>IFERROR(__xludf.DUMMYFUNCTION("GOOGLETRANSLATE(A4114, ""en"", ""te"")"),"జస్ట్ ఆర్గానిక్ షుగర్ బ్రౌన్")</f>
        <v>జస్ట్ ఆర్గానిక్ షుగర్ బ్రౌన్</v>
      </c>
      <c r="C4114" s="4" t="str">
        <f>IFERROR(__xludf.DUMMYFUNCTION("GOOGLETRANSLATE(A4114, ""en"", ""hi"")"),"जस्ट ऑर्गेनिक शुगर ब्राउन")</f>
        <v>जस्ट ऑर्गेनिक शुगर ब्राउन</v>
      </c>
      <c r="D4114" s="2" t="s">
        <v>6000</v>
      </c>
      <c r="E4114" s="2" t="s">
        <v>4407</v>
      </c>
      <c r="F4114" s="1">
        <v>8.0</v>
      </c>
      <c r="G4114" s="3" t="s">
        <v>453</v>
      </c>
    </row>
    <row r="4115">
      <c r="A4115" s="3" t="s">
        <v>9580</v>
      </c>
      <c r="B4115" s="4" t="str">
        <f>IFERROR(__xludf.DUMMYFUNCTION("GOOGLETRANSLATE(A4115, ""en"", ""te"")"),"ఆబ్ కేన్ షుగర్ బ్రౌన్")</f>
        <v>ఆబ్ కేన్ షుగర్ బ్రౌన్</v>
      </c>
      <c r="C4115" s="4" t="str">
        <f>IFERROR(__xludf.DUMMYFUNCTION("GOOGLETRANSLATE(A4115, ""en"", ""hi"")"),"आब केन शुगर ब्राउन")</f>
        <v>आब केन शुगर ब्राउन</v>
      </c>
      <c r="D4115" s="2" t="s">
        <v>6000</v>
      </c>
      <c r="E4115" s="2" t="s">
        <v>4407</v>
      </c>
      <c r="F4115" s="1">
        <v>8.0</v>
      </c>
      <c r="G4115" s="3" t="s">
        <v>453</v>
      </c>
    </row>
    <row r="4116">
      <c r="A4116" s="3" t="s">
        <v>9566</v>
      </c>
      <c r="B4116" s="4" t="str">
        <f>IFERROR(__xludf.DUMMYFUNCTION("GOOGLETRANSLATE(A4116, ""en"", ""te"")"),"తాజ్ మహల్ టీ")</f>
        <v>తాజ్ మహల్ టీ</v>
      </c>
      <c r="C4116" s="4" t="str">
        <f>IFERROR(__xludf.DUMMYFUNCTION("GOOGLETRANSLATE(A4116, ""en"", ""hi"")"),"ताज महल चाय")</f>
        <v>ताज महल चाय</v>
      </c>
      <c r="D4116" s="2" t="s">
        <v>4401</v>
      </c>
      <c r="E4116" s="2" t="s">
        <v>3927</v>
      </c>
      <c r="F4116" s="1">
        <v>8.0</v>
      </c>
      <c r="G4116" s="3" t="s">
        <v>508</v>
      </c>
    </row>
    <row r="4117">
      <c r="A4117" s="3" t="s">
        <v>6467</v>
      </c>
      <c r="B4117" s="4" t="str">
        <f>IFERROR(__xludf.DUMMYFUNCTION("GOOGLETRANSLATE(A4117, ""en"", ""te"")"),"టాటా టీ గోల్డ్")</f>
        <v>టాటా టీ గోల్డ్</v>
      </c>
      <c r="C4117" s="4" t="str">
        <f>IFERROR(__xludf.DUMMYFUNCTION("GOOGLETRANSLATE(A4117, ""en"", ""hi"")"),"टाटा टी गोल्ड")</f>
        <v>टाटा टी गोल्ड</v>
      </c>
      <c r="D4117" s="5"/>
      <c r="E4117" s="2" t="s">
        <v>3927</v>
      </c>
      <c r="F4117" s="1">
        <v>8.0</v>
      </c>
      <c r="G4117" s="3" t="s">
        <v>508</v>
      </c>
    </row>
    <row r="4118">
      <c r="A4118" s="3" t="s">
        <v>9568</v>
      </c>
      <c r="B4118" s="4" t="str">
        <f>IFERROR(__xludf.DUMMYFUNCTION("GOOGLETRANSLATE(A4118, ""en"", ""te"")"),"రెడ్ లేబుల్ నేచురల్ కేర్ టీ")</f>
        <v>రెడ్ లేబుల్ నేచురల్ కేర్ టీ</v>
      </c>
      <c r="C4118" s="4" t="str">
        <f>IFERROR(__xludf.DUMMYFUNCTION("GOOGLETRANSLATE(A4118, ""en"", ""hi"")"),"रेड लेबल नेचुरल केयर टी")</f>
        <v>रेड लेबल नेचुरल केयर टी</v>
      </c>
      <c r="D4118" s="5"/>
      <c r="E4118" s="2" t="s">
        <v>3927</v>
      </c>
      <c r="F4118" s="1">
        <v>8.0</v>
      </c>
      <c r="G4118" s="3" t="s">
        <v>508</v>
      </c>
    </row>
    <row r="4119">
      <c r="A4119" s="3" t="s">
        <v>6493</v>
      </c>
      <c r="B4119" s="4" t="str">
        <f>IFERROR(__xludf.DUMMYFUNCTION("GOOGLETRANSLATE(A4119, ""en"", ""te"")"),"టెట్లీ ఏలకుల టీ బ్యాగులు")</f>
        <v>టెట్లీ ఏలకుల టీ బ్యాగులు</v>
      </c>
      <c r="C4119" s="4" t="str">
        <f>IFERROR(__xludf.DUMMYFUNCTION("GOOGLETRANSLATE(A4119, ""en"", ""hi"")"),"टेटली इलायची टी बैग्स")</f>
        <v>टेटली इलायची टी बैग्स</v>
      </c>
      <c r="D4119" s="5"/>
      <c r="E4119" s="2" t="s">
        <v>3927</v>
      </c>
      <c r="F4119" s="1">
        <v>8.0</v>
      </c>
      <c r="G4119" s="3" t="s">
        <v>518</v>
      </c>
    </row>
    <row r="4120">
      <c r="A4120" s="3" t="s">
        <v>9581</v>
      </c>
      <c r="B4120" s="4" t="str">
        <f>IFERROR(__xludf.DUMMYFUNCTION("GOOGLETRANSLATE(A4120, ""en"", ""te"")"),"టెట్లీ అల్లం టీ బ్యాగులు")</f>
        <v>టెట్లీ అల్లం టీ బ్యాగులు</v>
      </c>
      <c r="C4120" s="4" t="str">
        <f>IFERROR(__xludf.DUMMYFUNCTION("GOOGLETRANSLATE(A4120, ""en"", ""hi"")"),"टेटली जिंजर टी बैग्स")</f>
        <v>टेटली जिंजर टी बैग्स</v>
      </c>
      <c r="D4120" s="2" t="s">
        <v>2695</v>
      </c>
      <c r="E4120" s="2" t="s">
        <v>3927</v>
      </c>
      <c r="F4120" s="1">
        <v>8.0</v>
      </c>
      <c r="G4120" s="3" t="s">
        <v>518</v>
      </c>
    </row>
    <row r="4121">
      <c r="A4121" s="3" t="s">
        <v>9582</v>
      </c>
      <c r="B4121" s="4" t="str">
        <f>IFERROR(__xludf.DUMMYFUNCTION("GOOGLETRANSLATE(A4121, ""en"", ""te"")"),"టెట్లీ బ్లాక్ టీ")</f>
        <v>టెట్లీ బ్లాక్ టీ</v>
      </c>
      <c r="C4121" s="4" t="str">
        <f>IFERROR(__xludf.DUMMYFUNCTION("GOOGLETRANSLATE(A4121, ""en"", ""hi"")"),"टेटली ब्लैक टी")</f>
        <v>टेटली ब्लैक टी</v>
      </c>
      <c r="D4121" s="2" t="s">
        <v>3925</v>
      </c>
      <c r="E4121" s="2" t="s">
        <v>3927</v>
      </c>
      <c r="F4121" s="1">
        <v>8.0</v>
      </c>
      <c r="G4121" s="3" t="s">
        <v>518</v>
      </c>
    </row>
    <row r="4122">
      <c r="A4122" s="3" t="s">
        <v>9583</v>
      </c>
      <c r="B4122" s="4" t="str">
        <f>IFERROR(__xludf.DUMMYFUNCTION("GOOGLETRANSLATE(A4122, ""en"", ""te"")"),"టెట్లీ చాయ్ క్లాసిక్")</f>
        <v>టెట్లీ చాయ్ క్లాసిక్</v>
      </c>
      <c r="C4122" s="4" t="str">
        <f>IFERROR(__xludf.DUMMYFUNCTION("GOOGLETRANSLATE(A4122, ""en"", ""hi"")"),"टेटली चाय क्लासिक")</f>
        <v>टेटली चाय क्लासिक</v>
      </c>
      <c r="D4122" s="2" t="s">
        <v>9584</v>
      </c>
      <c r="E4122" s="2" t="s">
        <v>3927</v>
      </c>
      <c r="F4122" s="1">
        <v>8.0</v>
      </c>
      <c r="G4122" s="3" t="s">
        <v>518</v>
      </c>
    </row>
    <row r="4123">
      <c r="A4123" s="3" t="s">
        <v>4282</v>
      </c>
      <c r="B4123" s="4" t="str">
        <f>IFERROR(__xludf.DUMMYFUNCTION("GOOGLETRANSLATE(A4123, ""en"", ""te"")"),"లిప్టన్ యెల్లో లేబుల్ టీ")</f>
        <v>లిప్టన్ యెల్లో లేబుల్ టీ</v>
      </c>
      <c r="C4123" s="4" t="str">
        <f>IFERROR(__xludf.DUMMYFUNCTION("GOOGLETRANSLATE(A4123, ""en"", ""hi"")"),"लिप्टन येलो लेबल चाय")</f>
        <v>लिप्टन येलो लेबल चाय</v>
      </c>
      <c r="D4123" s="5"/>
      <c r="E4123" s="2" t="s">
        <v>3927</v>
      </c>
      <c r="F4123" s="1">
        <v>8.0</v>
      </c>
      <c r="G4123" s="3" t="s">
        <v>518</v>
      </c>
    </row>
    <row r="4124">
      <c r="A4124" s="3" t="s">
        <v>9551</v>
      </c>
      <c r="B4124" s="4" t="str">
        <f>IFERROR(__xludf.DUMMYFUNCTION("GOOGLETRANSLATE(A4124, ""en"", ""te"")"),"లిప్టన్ డార్జిలింగ్ టీ")</f>
        <v>లిప్టన్ డార్జిలింగ్ టీ</v>
      </c>
      <c r="C4124" s="4" t="str">
        <f>IFERROR(__xludf.DUMMYFUNCTION("GOOGLETRANSLATE(A4124, ""en"", ""hi"")"),"लिप्टन दार्जिलिंग चाय")</f>
        <v>लिप्टन दार्जिलिंग चाय</v>
      </c>
      <c r="D4124" s="2" t="s">
        <v>3925</v>
      </c>
      <c r="E4124" s="2" t="s">
        <v>3927</v>
      </c>
      <c r="F4124" s="1">
        <v>8.0</v>
      </c>
      <c r="G4124" s="3" t="s">
        <v>518</v>
      </c>
    </row>
    <row r="4125">
      <c r="A4125" s="3" t="s">
        <v>9571</v>
      </c>
      <c r="B4125" s="4" t="str">
        <f>IFERROR(__xludf.DUMMYFUNCTION("GOOGLETRANSLATE(A4125, ""en"", ""te"")"),"బ్రూ ఇన్‌స్టంట్ కాఫీ")</f>
        <v>బ్రూ ఇన్‌స్టంట్ కాఫీ</v>
      </c>
      <c r="C4125" s="4" t="str">
        <f>IFERROR(__xludf.DUMMYFUNCTION("GOOGLETRANSLATE(A4125, ""en"", ""hi"")"),"ब्रू इंस्टेंट कॉफी")</f>
        <v>ब्रू इंस्टेंट कॉफी</v>
      </c>
      <c r="D4125" s="2" t="s">
        <v>9572</v>
      </c>
      <c r="E4125" s="2" t="s">
        <v>3927</v>
      </c>
      <c r="F4125" s="1">
        <v>8.0</v>
      </c>
      <c r="G4125" s="3" t="s">
        <v>524</v>
      </c>
    </row>
    <row r="4126">
      <c r="A4126" s="3" t="s">
        <v>9585</v>
      </c>
      <c r="B4126" s="4" t="str">
        <f>IFERROR(__xludf.DUMMYFUNCTION("GOOGLETRANSLATE(A4126, ""en"", ""te"")"),"బ్రూ గోల్డ్ కాఫీ")</f>
        <v>బ్రూ గోల్డ్ కాఫీ</v>
      </c>
      <c r="C4126" s="4" t="str">
        <f>IFERROR(__xludf.DUMMYFUNCTION("GOOGLETRANSLATE(A4126, ""en"", ""hi"")"),"ब्रू गोल्ड कॉफी")</f>
        <v>ब्रू गोल्ड कॉफी</v>
      </c>
      <c r="D4126" s="2" t="s">
        <v>8864</v>
      </c>
      <c r="E4126" s="2" t="s">
        <v>3927</v>
      </c>
      <c r="F4126" s="1">
        <v>8.0</v>
      </c>
      <c r="G4126" s="3" t="s">
        <v>524</v>
      </c>
    </row>
    <row r="4127">
      <c r="A4127" s="3" t="s">
        <v>9573</v>
      </c>
      <c r="B4127" s="4" t="str">
        <f>IFERROR(__xludf.DUMMYFUNCTION("GOOGLETRANSLATE(A4127, ""en"", ""te"")"),"అరకు భూమి ఇన్‌స్టంట్ కాఫీ")</f>
        <v>అరకు భూమి ఇన్‌స్టంట్ కాఫీ</v>
      </c>
      <c r="C4127" s="4" t="str">
        <f>IFERROR(__xludf.DUMMYFUNCTION("GOOGLETRANSLATE(A4127, ""en"", ""hi"")"),"अराकु बूमी इंस्टेंट कॉफी")</f>
        <v>अराकु बूमी इंस्टेंट कॉफी</v>
      </c>
      <c r="D4127" s="2" t="s">
        <v>9572</v>
      </c>
      <c r="E4127" s="2" t="s">
        <v>3927</v>
      </c>
      <c r="F4127" s="1">
        <v>8.0</v>
      </c>
      <c r="G4127" s="3" t="s">
        <v>524</v>
      </c>
    </row>
    <row r="4128">
      <c r="A4128" s="3" t="s">
        <v>9586</v>
      </c>
      <c r="B4128" s="4" t="str">
        <f>IFERROR(__xludf.DUMMYFUNCTION("GOOGLETRANSLATE(A4128, ""en"", ""te"")"),"కాంటినెంటల్ స్పెషల్ కాఫీ")</f>
        <v>కాంటినెంటల్ స్పెషల్ కాఫీ</v>
      </c>
      <c r="C4128" s="4" t="str">
        <f>IFERROR(__xludf.DUMMYFUNCTION("GOOGLETRANSLATE(A4128, ""en"", ""hi"")"),"कॉन्टिनेंटल स्पेशले कॉफी")</f>
        <v>कॉन्टिनेंटल स्पेशले कॉफी</v>
      </c>
      <c r="D4128" s="2" t="s">
        <v>8864</v>
      </c>
      <c r="E4128" s="2" t="s">
        <v>3927</v>
      </c>
      <c r="F4128" s="1">
        <v>8.0</v>
      </c>
      <c r="G4128" s="3" t="s">
        <v>524</v>
      </c>
    </row>
    <row r="4129">
      <c r="A4129" s="3" t="s">
        <v>9587</v>
      </c>
      <c r="B4129" s="4" t="str">
        <f>IFERROR(__xludf.DUMMYFUNCTION("GOOGLETRANSLATE(A4129, ""en"", ""te"")"),"నరసుస్ ఇన్‌స్టంట్ కాఫీ")</f>
        <v>నరసుస్ ఇన్‌స్టంట్ కాఫీ</v>
      </c>
      <c r="C4129" s="4" t="str">
        <f>IFERROR(__xludf.DUMMYFUNCTION("GOOGLETRANSLATE(A4129, ""en"", ""hi"")"),"नरसुस इंस्टेंट कॉफी")</f>
        <v>नरसुस इंस्टेंट कॉफी</v>
      </c>
      <c r="D4129" s="2" t="s">
        <v>8864</v>
      </c>
      <c r="E4129" s="2" t="s">
        <v>3927</v>
      </c>
      <c r="F4129" s="1">
        <v>8.0</v>
      </c>
      <c r="G4129" s="3" t="s">
        <v>524</v>
      </c>
    </row>
    <row r="4130">
      <c r="A4130" s="3" t="s">
        <v>9545</v>
      </c>
      <c r="B4130" s="4" t="str">
        <f>IFERROR(__xludf.DUMMYFUNCTION("GOOGLETRANSLATE(A4130, ""en"", ""te"")"),"నెస్కేఫ్ క్లాసిక్")</f>
        <v>నెస్కేఫ్ క్లాసిక్</v>
      </c>
      <c r="C4130" s="4" t="str">
        <f>IFERROR(__xludf.DUMMYFUNCTION("GOOGLETRANSLATE(A4130, ""en"", ""hi"")"),"नेस्केफे क्लासिक")</f>
        <v>नेस्केफे क्लासिक</v>
      </c>
      <c r="D4130" s="5"/>
      <c r="E4130" s="2" t="s">
        <v>3927</v>
      </c>
      <c r="F4130" s="1">
        <v>8.0</v>
      </c>
      <c r="G4130" s="3" t="s">
        <v>524</v>
      </c>
    </row>
    <row r="4131">
      <c r="A4131" s="3" t="s">
        <v>9588</v>
      </c>
      <c r="B4131" s="4" t="str">
        <f>IFERROR(__xludf.DUMMYFUNCTION("GOOGLETRANSLATE(A4131, ""en"", ""te"")"),"నెస్లే ఎవ్రీడే డైరీ వైట్నర్")</f>
        <v>నెస్లే ఎవ్రీడే డైరీ వైట్నర్</v>
      </c>
      <c r="C4131" s="4" t="str">
        <f>IFERROR(__xludf.DUMMYFUNCTION("GOOGLETRANSLATE(A4131, ""en"", ""hi"")"),"नेस्ले एवरीडे डेयरी व्हाइटनर")</f>
        <v>नेस्ले एवरीडे डेयरी व्हाइटनर</v>
      </c>
      <c r="D4131" s="2" t="s">
        <v>9589</v>
      </c>
      <c r="E4131" s="2" t="s">
        <v>2369</v>
      </c>
      <c r="F4131" s="1">
        <v>8.0</v>
      </c>
      <c r="G4131" s="3" t="s">
        <v>530</v>
      </c>
    </row>
    <row r="4132">
      <c r="A4132" s="3" t="s">
        <v>9590</v>
      </c>
      <c r="B4132" s="4" t="str">
        <f>IFERROR(__xludf.DUMMYFUNCTION("GOOGLETRANSLATE(A4132, ""en"", ""te"")"),"దండేబార్ టీ")</f>
        <v>దండేబార్ టీ</v>
      </c>
      <c r="C4132" s="4" t="str">
        <f>IFERROR(__xludf.DUMMYFUNCTION("GOOGLETRANSLATE(A4132, ""en"", ""hi"")"),"दांडेबार चाय")</f>
        <v>दांडेबार चाय</v>
      </c>
      <c r="D4132" s="2" t="s">
        <v>3925</v>
      </c>
      <c r="E4132" s="2" t="s">
        <v>3927</v>
      </c>
      <c r="F4132" s="1">
        <v>8.0</v>
      </c>
      <c r="G4132" s="3" t="s">
        <v>530</v>
      </c>
    </row>
    <row r="4133">
      <c r="A4133" s="3" t="s">
        <v>9556</v>
      </c>
      <c r="B4133" s="4" t="str">
        <f>IFERROR(__xludf.DUMMYFUNCTION("GOOGLETRANSLATE(A4133, ""en"", ""te"")"),"కూర్గ్ కాఫీ")</f>
        <v>కూర్గ్ కాఫీ</v>
      </c>
      <c r="C4133" s="4" t="str">
        <f>IFERROR(__xludf.DUMMYFUNCTION("GOOGLETRANSLATE(A4133, ""en"", ""hi"")"),"कूर्ग कॉफी")</f>
        <v>कूर्ग कॉफी</v>
      </c>
      <c r="D4133" s="2" t="s">
        <v>8864</v>
      </c>
      <c r="E4133" s="2" t="s">
        <v>3927</v>
      </c>
      <c r="F4133" s="1">
        <v>8.0</v>
      </c>
      <c r="G4133" s="3" t="s">
        <v>530</v>
      </c>
    </row>
    <row r="4134">
      <c r="A4134" s="3" t="s">
        <v>9591</v>
      </c>
      <c r="B4134" s="4" t="str">
        <f>IFERROR(__xludf.DUMMYFUNCTION("GOOGLETRANSLATE(A4134, ""en"", ""te"")"),"మాల్గుడి ఫిల్టర్ కాఫీ")</f>
        <v>మాల్గుడి ఫిల్టర్ కాఫీ</v>
      </c>
      <c r="C4134" s="4" t="str">
        <f>IFERROR(__xludf.DUMMYFUNCTION("GOOGLETRANSLATE(A4134, ""en"", ""hi"")"),"मालगुडी फ़िल्टर कॉफ़ी")</f>
        <v>मालगुडी फ़िल्टर कॉफ़ी</v>
      </c>
      <c r="D4134" s="2" t="s">
        <v>8864</v>
      </c>
      <c r="E4134" s="2" t="s">
        <v>3927</v>
      </c>
      <c r="F4134" s="1">
        <v>8.0</v>
      </c>
      <c r="G4134" s="3" t="s">
        <v>530</v>
      </c>
    </row>
    <row r="4135">
      <c r="A4135" s="3" t="s">
        <v>9592</v>
      </c>
      <c r="B4135" s="4" t="str">
        <f>IFERROR(__xludf.DUMMYFUNCTION("GOOGLETRANSLATE(A4135, ""en"", ""te"")"),"కాంటికో మల్గుడి ఫిల్టర్ కాఫీ")</f>
        <v>కాంటికో మల్గుడి ఫిల్టర్ కాఫీ</v>
      </c>
      <c r="C4135" s="4" t="str">
        <f>IFERROR(__xludf.DUMMYFUNCTION("GOOGLETRANSLATE(A4135, ""en"", ""hi"")"),"कॉन्टिको मालगुडी फ़िल्टर कॉफ़ी")</f>
        <v>कॉन्टिको मालगुडी फ़िल्टर कॉफ़ी</v>
      </c>
      <c r="D4135" s="2" t="s">
        <v>8864</v>
      </c>
      <c r="E4135" s="2" t="s">
        <v>3927</v>
      </c>
      <c r="F4135" s="1">
        <v>8.0</v>
      </c>
      <c r="G4135" s="3" t="s">
        <v>530</v>
      </c>
    </row>
    <row r="4136">
      <c r="A4136" s="3" t="s">
        <v>9558</v>
      </c>
      <c r="B4136" s="4" t="str">
        <f>IFERROR(__xludf.DUMMYFUNCTION("GOOGLETRANSLATE(A4136, ""en"", ""te"")"),"జస్ట్ ఆర్గానిక్ షుగర్")</f>
        <v>జస్ట్ ఆర్గానిక్ షుగర్</v>
      </c>
      <c r="C4136" s="4" t="str">
        <f>IFERROR(__xludf.DUMMYFUNCTION("GOOGLETRANSLATE(A4136, ""en"", ""hi"")"),"जस्ट ऑर्गेनिक शुगर")</f>
        <v>जस्ट ऑर्गेनिक शुगर</v>
      </c>
      <c r="D4136" s="2" t="s">
        <v>6000</v>
      </c>
      <c r="E4136" s="2" t="s">
        <v>4407</v>
      </c>
      <c r="F4136" s="1">
        <v>8.0</v>
      </c>
      <c r="G4136" s="3" t="s">
        <v>449</v>
      </c>
    </row>
    <row r="4137">
      <c r="A4137" s="3" t="s">
        <v>9579</v>
      </c>
      <c r="B4137" s="4" t="str">
        <f>IFERROR(__xludf.DUMMYFUNCTION("GOOGLETRANSLATE(A4137, ""en"", ""te"")"),"జస్ట్ ఆర్గానిక్ షుగర్ బ్రౌన్")</f>
        <v>జస్ట్ ఆర్గానిక్ షుగర్ బ్రౌన్</v>
      </c>
      <c r="C4137" s="4" t="str">
        <f>IFERROR(__xludf.DUMMYFUNCTION("GOOGLETRANSLATE(A4137, ""en"", ""hi"")"),"जस्ट ऑर्गेनिक शुगर ब्राउन")</f>
        <v>जस्ट ऑर्गेनिक शुगर ब्राउन</v>
      </c>
      <c r="D4137" s="2" t="s">
        <v>6000</v>
      </c>
      <c r="E4137" s="2" t="s">
        <v>4407</v>
      </c>
      <c r="F4137" s="1">
        <v>8.0</v>
      </c>
      <c r="G4137" s="3" t="s">
        <v>449</v>
      </c>
    </row>
    <row r="4138">
      <c r="A4138" s="3" t="s">
        <v>9593</v>
      </c>
      <c r="B4138" s="4" t="str">
        <f>IFERROR(__xludf.DUMMYFUNCTION("GOOGLETRANSLATE(A4138, ""en"", ""te"")"),"బాన్సీ బ్రాండ్ ఉత్పత్తి")</f>
        <v>బాన్సీ బ్రాండ్ ఉత్పత్తి</v>
      </c>
      <c r="C4138" s="4" t="str">
        <f>IFERROR(__xludf.DUMMYFUNCTION("GOOGLETRANSLATE(A4138, ""en"", ""hi"")"),"बंसी ब्रांड उत्पाद")</f>
        <v>बंसी ब्रांड उत्पाद</v>
      </c>
      <c r="D4138" s="5"/>
      <c r="E4138" s="2" t="s">
        <v>2279</v>
      </c>
      <c r="F4138" s="1">
        <v>8.0</v>
      </c>
      <c r="G4138" s="3" t="s">
        <v>449</v>
      </c>
    </row>
    <row r="4139">
      <c r="A4139" s="3" t="s">
        <v>9568</v>
      </c>
      <c r="B4139" s="4" t="str">
        <f>IFERROR(__xludf.DUMMYFUNCTION("GOOGLETRANSLATE(A4139, ""en"", ""te"")"),"రెడ్ లేబుల్ నేచురల్ కేర్ టీ")</f>
        <v>రెడ్ లేబుల్ నేచురల్ కేర్ టీ</v>
      </c>
      <c r="C4139" s="4" t="str">
        <f>IFERROR(__xludf.DUMMYFUNCTION("GOOGLETRANSLATE(A4139, ""en"", ""hi"")"),"रेड लेबल नेचुरल केयर टी")</f>
        <v>रेड लेबल नेचुरल केयर टी</v>
      </c>
      <c r="D4139" s="5"/>
      <c r="E4139" s="2" t="s">
        <v>3927</v>
      </c>
      <c r="F4139" s="1">
        <v>8.0</v>
      </c>
      <c r="G4139" s="3" t="s">
        <v>463</v>
      </c>
    </row>
    <row r="4140">
      <c r="A4140" s="3" t="s">
        <v>9566</v>
      </c>
      <c r="B4140" s="4" t="str">
        <f>IFERROR(__xludf.DUMMYFUNCTION("GOOGLETRANSLATE(A4140, ""en"", ""te"")"),"తాజ్ మహల్ టీ")</f>
        <v>తాజ్ మహల్ టీ</v>
      </c>
      <c r="C4140" s="4" t="str">
        <f>IFERROR(__xludf.DUMMYFUNCTION("GOOGLETRANSLATE(A4140, ""en"", ""hi"")"),"ताज महल चाय")</f>
        <v>ताज महल चाय</v>
      </c>
      <c r="D4140" s="2" t="s">
        <v>4401</v>
      </c>
      <c r="E4140" s="2" t="s">
        <v>3927</v>
      </c>
      <c r="F4140" s="1">
        <v>8.0</v>
      </c>
      <c r="G4140" s="3" t="s">
        <v>463</v>
      </c>
    </row>
    <row r="4141">
      <c r="A4141" s="3" t="s">
        <v>6467</v>
      </c>
      <c r="B4141" s="4" t="str">
        <f>IFERROR(__xludf.DUMMYFUNCTION("GOOGLETRANSLATE(A4141, ""en"", ""te"")"),"టాటా టీ గోల్డ్")</f>
        <v>టాటా టీ గోల్డ్</v>
      </c>
      <c r="C4141" s="4" t="str">
        <f>IFERROR(__xludf.DUMMYFUNCTION("GOOGLETRANSLATE(A4141, ""en"", ""hi"")"),"टाटा टी गोल्ड")</f>
        <v>टाटा टी गोल्ड</v>
      </c>
      <c r="D4141" s="5"/>
      <c r="E4141" s="2" t="s">
        <v>3927</v>
      </c>
      <c r="F4141" s="1">
        <v>8.0</v>
      </c>
      <c r="G4141" s="3" t="s">
        <v>463</v>
      </c>
    </row>
    <row r="4142">
      <c r="A4142" s="3" t="s">
        <v>9594</v>
      </c>
      <c r="B4142" s="4" t="str">
        <f>IFERROR(__xludf.DUMMYFUNCTION("GOOGLETRANSLATE(A4142, ""en"", ""te"")"),"వాఘ్ బక్రీ మసాలా చాయ్")</f>
        <v>వాఘ్ బక్రీ మసాలా చాయ్</v>
      </c>
      <c r="C4142" s="4" t="str">
        <f>IFERROR(__xludf.DUMMYFUNCTION("GOOGLETRANSLATE(A4142, ""en"", ""hi"")"),"वाघ बकरी मसाला चाय")</f>
        <v>वाघ बकरी मसाला चाय</v>
      </c>
      <c r="D4142" s="2" t="s">
        <v>4401</v>
      </c>
      <c r="E4142" s="2" t="s">
        <v>3927</v>
      </c>
      <c r="F4142" s="1">
        <v>8.0</v>
      </c>
      <c r="G4142" s="3" t="s">
        <v>470</v>
      </c>
    </row>
    <row r="4143">
      <c r="A4143" s="3" t="s">
        <v>6493</v>
      </c>
      <c r="B4143" s="4" t="str">
        <f>IFERROR(__xludf.DUMMYFUNCTION("GOOGLETRANSLATE(A4143, ""en"", ""te"")"),"టెట్లీ ఏలకుల టీ బ్యాగులు")</f>
        <v>టెట్లీ ఏలకుల టీ బ్యాగులు</v>
      </c>
      <c r="C4143" s="4" t="str">
        <f>IFERROR(__xludf.DUMMYFUNCTION("GOOGLETRANSLATE(A4143, ""en"", ""hi"")"),"टेटली इलायची टी बैग्स")</f>
        <v>टेटली इलायची टी बैग्स</v>
      </c>
      <c r="D4143" s="5"/>
      <c r="E4143" s="2" t="s">
        <v>3927</v>
      </c>
      <c r="F4143" s="1">
        <v>8.0</v>
      </c>
      <c r="G4143" s="3" t="s">
        <v>470</v>
      </c>
    </row>
    <row r="4144">
      <c r="A4144" s="3" t="s">
        <v>9581</v>
      </c>
      <c r="B4144" s="4" t="str">
        <f>IFERROR(__xludf.DUMMYFUNCTION("GOOGLETRANSLATE(A4144, ""en"", ""te"")"),"టెట్లీ అల్లం టీ బ్యాగులు")</f>
        <v>టెట్లీ అల్లం టీ బ్యాగులు</v>
      </c>
      <c r="C4144" s="4" t="str">
        <f>IFERROR(__xludf.DUMMYFUNCTION("GOOGLETRANSLATE(A4144, ""en"", ""hi"")"),"टेटली जिंजर टी बैग्स")</f>
        <v>टेटली जिंजर टी बैग्स</v>
      </c>
      <c r="D4144" s="2" t="s">
        <v>2695</v>
      </c>
      <c r="E4144" s="2" t="s">
        <v>3927</v>
      </c>
      <c r="F4144" s="1">
        <v>8.0</v>
      </c>
      <c r="G4144" s="3" t="s">
        <v>470</v>
      </c>
    </row>
    <row r="4145">
      <c r="A4145" s="3" t="s">
        <v>9582</v>
      </c>
      <c r="B4145" s="4" t="str">
        <f>IFERROR(__xludf.DUMMYFUNCTION("GOOGLETRANSLATE(A4145, ""en"", ""te"")"),"టెట్లీ బ్లాక్ టీ")</f>
        <v>టెట్లీ బ్లాక్ టీ</v>
      </c>
      <c r="C4145" s="4" t="str">
        <f>IFERROR(__xludf.DUMMYFUNCTION("GOOGLETRANSLATE(A4145, ""en"", ""hi"")"),"टेटली ब्लैक टी")</f>
        <v>टेटली ब्लैक टी</v>
      </c>
      <c r="D4145" s="2" t="s">
        <v>3925</v>
      </c>
      <c r="E4145" s="2" t="s">
        <v>3927</v>
      </c>
      <c r="F4145" s="1">
        <v>8.0</v>
      </c>
      <c r="G4145" s="3" t="s">
        <v>470</v>
      </c>
    </row>
    <row r="4146">
      <c r="A4146" s="3" t="s">
        <v>9595</v>
      </c>
      <c r="B4146" s="4" t="str">
        <f>IFERROR(__xludf.DUMMYFUNCTION("GOOGLETRANSLATE(A4146, ""en"", ""te"")"),"టెట్లీ మసాలా టీ బ్యాగులు")</f>
        <v>టెట్లీ మసాలా టీ బ్యాగులు</v>
      </c>
      <c r="C4146" s="4" t="str">
        <f>IFERROR(__xludf.DUMMYFUNCTION("GOOGLETRANSLATE(A4146, ""en"", ""hi"")"),"टेटली मसाला टी बैग्स")</f>
        <v>टेटली मसाला टी बैग्स</v>
      </c>
      <c r="D4146" s="2" t="s">
        <v>4401</v>
      </c>
      <c r="E4146" s="2" t="s">
        <v>3927</v>
      </c>
      <c r="F4146" s="1">
        <v>8.0</v>
      </c>
      <c r="G4146" s="3" t="s">
        <v>470</v>
      </c>
    </row>
    <row r="4147">
      <c r="A4147" s="3" t="s">
        <v>9596</v>
      </c>
      <c r="B4147" s="4" t="str">
        <f>IFERROR(__xludf.DUMMYFUNCTION("GOOGLETRANSLATE(A4147, ""en"", ""te"")"),"టెట్లీ చాయ్ ప్రీమియం బ్లాక్ టీ")</f>
        <v>టెట్లీ చాయ్ ప్రీమియం బ్లాక్ టీ</v>
      </c>
      <c r="C4147" s="4" t="str">
        <f>IFERROR(__xludf.DUMMYFUNCTION("GOOGLETRANSLATE(A4147, ""en"", ""hi"")"),"टेटली चाय प्रीमियम ब्लैक टी")</f>
        <v>टेटली चाय प्रीमियम ब्लैक टी</v>
      </c>
      <c r="D4147" s="2" t="s">
        <v>9597</v>
      </c>
      <c r="E4147" s="2" t="s">
        <v>3927</v>
      </c>
      <c r="F4147" s="1">
        <v>8.0</v>
      </c>
      <c r="G4147" s="3" t="s">
        <v>470</v>
      </c>
    </row>
    <row r="4148">
      <c r="A4148" s="3" t="s">
        <v>4282</v>
      </c>
      <c r="B4148" s="4" t="str">
        <f>IFERROR(__xludf.DUMMYFUNCTION("GOOGLETRANSLATE(A4148, ""en"", ""te"")"),"లిప్టన్ యెల్లో లేబుల్ టీ")</f>
        <v>లిప్టన్ యెల్లో లేబుల్ టీ</v>
      </c>
      <c r="C4148" s="4" t="str">
        <f>IFERROR(__xludf.DUMMYFUNCTION("GOOGLETRANSLATE(A4148, ""en"", ""hi"")"),"लिप्टन येलो लेबल चाय")</f>
        <v>लिप्टन येलो लेबल चाय</v>
      </c>
      <c r="D4148" s="5"/>
      <c r="E4148" s="2" t="s">
        <v>3927</v>
      </c>
      <c r="F4148" s="1">
        <v>8.0</v>
      </c>
      <c r="G4148" s="3" t="s">
        <v>470</v>
      </c>
    </row>
    <row r="4149">
      <c r="A4149" s="3" t="s">
        <v>9598</v>
      </c>
      <c r="B4149" s="4" t="str">
        <f>IFERROR(__xludf.DUMMYFUNCTION("GOOGLETRANSLATE(A4149, ""en"", ""te"")"),"బ్రూ గ్రీన్ లేబుల్ కాఫీ")</f>
        <v>బ్రూ గ్రీన్ లేబుల్ కాఫీ</v>
      </c>
      <c r="C4149" s="4" t="str">
        <f>IFERROR(__xludf.DUMMYFUNCTION("GOOGLETRANSLATE(A4149, ""en"", ""hi"")"),"ब्रू ग्रीन लेबल कॉफी")</f>
        <v>ब्रू ग्रीन लेबल कॉफी</v>
      </c>
      <c r="D4149" s="2" t="s">
        <v>9599</v>
      </c>
      <c r="E4149" s="2" t="s">
        <v>3927</v>
      </c>
      <c r="F4149" s="1">
        <v>8.0</v>
      </c>
      <c r="G4149" s="3" t="s">
        <v>475</v>
      </c>
    </row>
    <row r="4150">
      <c r="A4150" s="3" t="s">
        <v>9571</v>
      </c>
      <c r="B4150" s="4" t="str">
        <f>IFERROR(__xludf.DUMMYFUNCTION("GOOGLETRANSLATE(A4150, ""en"", ""te"")"),"బ్రూ ఇన్‌స్టంట్ కాఫీ")</f>
        <v>బ్రూ ఇన్‌స్టంట్ కాఫీ</v>
      </c>
      <c r="C4150" s="4" t="str">
        <f>IFERROR(__xludf.DUMMYFUNCTION("GOOGLETRANSLATE(A4150, ""en"", ""hi"")"),"ब्रू इंस्टेंट कॉफी")</f>
        <v>ब्रू इंस्टेंट कॉफी</v>
      </c>
      <c r="D4150" s="2" t="s">
        <v>9572</v>
      </c>
      <c r="E4150" s="2" t="s">
        <v>3927</v>
      </c>
      <c r="F4150" s="1">
        <v>8.0</v>
      </c>
      <c r="G4150" s="3" t="s">
        <v>475</v>
      </c>
    </row>
    <row r="4151">
      <c r="A4151" s="3" t="s">
        <v>9585</v>
      </c>
      <c r="B4151" s="4" t="str">
        <f>IFERROR(__xludf.DUMMYFUNCTION("GOOGLETRANSLATE(A4151, ""en"", ""te"")"),"బ్రూ గోల్డ్ కాఫీ")</f>
        <v>బ్రూ గోల్డ్ కాఫీ</v>
      </c>
      <c r="C4151" s="4" t="str">
        <f>IFERROR(__xludf.DUMMYFUNCTION("GOOGLETRANSLATE(A4151, ""en"", ""hi"")"),"ब्रू गोल्ड कॉफी")</f>
        <v>ब्रू गोल्ड कॉफी</v>
      </c>
      <c r="D4151" s="2" t="s">
        <v>8864</v>
      </c>
      <c r="E4151" s="2" t="s">
        <v>3927</v>
      </c>
      <c r="F4151" s="1">
        <v>8.0</v>
      </c>
      <c r="G4151" s="3" t="s">
        <v>475</v>
      </c>
    </row>
    <row r="4152">
      <c r="A4152" s="3" t="s">
        <v>9573</v>
      </c>
      <c r="B4152" s="4" t="str">
        <f>IFERROR(__xludf.DUMMYFUNCTION("GOOGLETRANSLATE(A4152, ""en"", ""te"")"),"అరకు భూమి ఇన్‌స్టంట్ కాఫీ")</f>
        <v>అరకు భూమి ఇన్‌స్టంట్ కాఫీ</v>
      </c>
      <c r="C4152" s="4" t="str">
        <f>IFERROR(__xludf.DUMMYFUNCTION("GOOGLETRANSLATE(A4152, ""en"", ""hi"")"),"अराकु बूमी इंस्टेंट कॉफी")</f>
        <v>अराकु बूमी इंस्टेंट कॉफी</v>
      </c>
      <c r="D4152" s="2" t="s">
        <v>9572</v>
      </c>
      <c r="E4152" s="2" t="s">
        <v>3927</v>
      </c>
      <c r="F4152" s="1">
        <v>8.0</v>
      </c>
      <c r="G4152" s="3" t="s">
        <v>475</v>
      </c>
    </row>
    <row r="4153">
      <c r="A4153" s="3" t="s">
        <v>9600</v>
      </c>
      <c r="B4153" s="4" t="str">
        <f>IFERROR(__xludf.DUMMYFUNCTION("GOOGLETRANSLATE(A4153, ""en"", ""te"")"),"హార్లిక్స్")</f>
        <v>హార్లిక్స్</v>
      </c>
      <c r="C4153" s="4" t="str">
        <f>IFERROR(__xludf.DUMMYFUNCTION("GOOGLETRANSLATE(A4153, ""en"", ""hi"")"),"हॉर्लिक्स")</f>
        <v>हॉर्लिक्स</v>
      </c>
      <c r="D4153" s="5"/>
      <c r="E4153" s="2" t="s">
        <v>2369</v>
      </c>
      <c r="F4153" s="1">
        <v>8.0</v>
      </c>
      <c r="G4153" s="3" t="s">
        <v>488</v>
      </c>
    </row>
    <row r="4154">
      <c r="A4154" s="3" t="s">
        <v>9601</v>
      </c>
      <c r="B4154" s="4" t="str">
        <f>IFERROR(__xludf.DUMMYFUNCTION("GOOGLETRANSLATE(A4154, ""en"", ""te"")"),"నేచర్స్ గిఫ్ట్ లెమన్‌గ్రాస్ టీ")</f>
        <v>నేచర్స్ గిఫ్ట్ లెమన్‌గ్రాస్ టీ</v>
      </c>
      <c r="C4154" s="4" t="str">
        <f>IFERROR(__xludf.DUMMYFUNCTION("GOOGLETRANSLATE(A4154, ""en"", ""hi"")"),"नेचर्स गिफ्ट लेमनग्रास टी")</f>
        <v>नेचर्स गिफ्ट लेमनग्रास टी</v>
      </c>
      <c r="D4154" s="5"/>
      <c r="E4154" s="2" t="s">
        <v>3927</v>
      </c>
      <c r="F4154" s="1">
        <v>8.0</v>
      </c>
      <c r="G4154" s="3" t="s">
        <v>488</v>
      </c>
    </row>
    <row r="4155">
      <c r="A4155" s="3" t="s">
        <v>9602</v>
      </c>
      <c r="B4155" s="4" t="str">
        <f>IFERROR(__xludf.DUMMYFUNCTION("GOOGLETRANSLATE(A4155, ""en"", ""te"")"),"కాఫీ మేట్")</f>
        <v>కాఫీ మేట్</v>
      </c>
      <c r="C4155" s="4" t="str">
        <f>IFERROR(__xludf.DUMMYFUNCTION("GOOGLETRANSLATE(A4155, ""en"", ""hi"")"),"कॉफ़ी मेट")</f>
        <v>कॉफ़ी मेट</v>
      </c>
      <c r="D4155" s="2" t="s">
        <v>8864</v>
      </c>
      <c r="E4155" s="2" t="s">
        <v>3927</v>
      </c>
      <c r="F4155" s="1">
        <v>8.0</v>
      </c>
      <c r="G4155" s="3" t="s">
        <v>488</v>
      </c>
    </row>
    <row r="4156">
      <c r="A4156" s="3" t="s">
        <v>9603</v>
      </c>
      <c r="B4156" s="4" t="str">
        <f>IFERROR(__xludf.DUMMYFUNCTION("GOOGLETRANSLATE(A4156, ""en"", ""te"")"),"ప్రతిరోజూ వాడే పాల ఉత్పత్తుల తెల్లబరిచే పదార్థం")</f>
        <v>ప్రతిరోజూ వాడే పాల ఉత్పత్తుల తెల్లబరిచే పదార్థం</v>
      </c>
      <c r="C4156" s="4" t="str">
        <f>IFERROR(__xludf.DUMMYFUNCTION("GOOGLETRANSLATE(A4156, ""en"", ""hi"")"),"रोज़ाना इस्तेमाल होने वाला डेयरी व्हाइटनर")</f>
        <v>रोज़ाना इस्तेमाल होने वाला डेयरी व्हाइटनर</v>
      </c>
      <c r="D4156" s="2" t="s">
        <v>9604</v>
      </c>
      <c r="E4156" s="2" t="s">
        <v>2369</v>
      </c>
      <c r="F4156" s="1">
        <v>8.0</v>
      </c>
      <c r="G4156" s="3" t="s">
        <v>488</v>
      </c>
    </row>
    <row r="4157">
      <c r="A4157" s="3" t="s">
        <v>9605</v>
      </c>
      <c r="B4157" s="4" t="str">
        <f>IFERROR(__xludf.DUMMYFUNCTION("GOOGLETRANSLATE(A4157, ""en"", ""te"")"),"తపల్ దానెదర్ టీ")</f>
        <v>తపల్ దానెదర్ టీ</v>
      </c>
      <c r="C4157" s="4" t="str">
        <f>IFERROR(__xludf.DUMMYFUNCTION("GOOGLETRANSLATE(A4157, ""en"", ""hi"")"),"तपल दानेदार चाय")</f>
        <v>तपल दानेदार चाय</v>
      </c>
      <c r="D4157" s="2" t="s">
        <v>3925</v>
      </c>
      <c r="E4157" s="2" t="s">
        <v>3927</v>
      </c>
      <c r="F4157" s="1">
        <v>8.0</v>
      </c>
      <c r="G4157" s="3" t="s">
        <v>488</v>
      </c>
    </row>
    <row r="4158">
      <c r="A4158" s="3" t="s">
        <v>9556</v>
      </c>
      <c r="B4158" s="4" t="str">
        <f>IFERROR(__xludf.DUMMYFUNCTION("GOOGLETRANSLATE(A4158, ""en"", ""te"")"),"కూర్గ్ కాఫీ")</f>
        <v>కూర్గ్ కాఫీ</v>
      </c>
      <c r="C4158" s="4" t="str">
        <f>IFERROR(__xludf.DUMMYFUNCTION("GOOGLETRANSLATE(A4158, ""en"", ""hi"")"),"कूर्ग कॉफी")</f>
        <v>कूर्ग कॉफी</v>
      </c>
      <c r="D4158" s="2" t="s">
        <v>8864</v>
      </c>
      <c r="E4158" s="2" t="s">
        <v>3927</v>
      </c>
      <c r="F4158" s="1">
        <v>8.0</v>
      </c>
      <c r="G4158" s="3" t="s">
        <v>488</v>
      </c>
    </row>
    <row r="4159">
      <c r="A4159" s="3" t="s">
        <v>9606</v>
      </c>
      <c r="B4159" s="4" t="str">
        <f>IFERROR(__xludf.DUMMYFUNCTION("GOOGLETRANSLATE(A4159, ""en"", ""te"")"),"జియాస్ బ్రౌన్ షుగర్")</f>
        <v>జియాస్ బ్రౌన్ షుగర్</v>
      </c>
      <c r="C4159" s="4" t="str">
        <f>IFERROR(__xludf.DUMMYFUNCTION("GOOGLETRANSLATE(A4159, ""en"", ""hi"")"),"जिया की भूरी चीनी")</f>
        <v>जिया की भूरी चीनी</v>
      </c>
      <c r="D4159" s="2" t="s">
        <v>9607</v>
      </c>
      <c r="E4159" s="2" t="s">
        <v>4407</v>
      </c>
      <c r="F4159" s="1">
        <v>8.0</v>
      </c>
      <c r="G4159" s="3" t="s">
        <v>490</v>
      </c>
    </row>
    <row r="4160">
      <c r="A4160" s="3" t="s">
        <v>9608</v>
      </c>
      <c r="B4160" s="4" t="str">
        <f>IFERROR(__xludf.DUMMYFUNCTION("GOOGLETRANSLATE(A4160, ""en"", ""te"")"),"జస్ట్ ఆర్గానిక్ ఆర్గానిక్ షుగర్")</f>
        <v>జస్ట్ ఆర్గానిక్ ఆర్గానిక్ షుగర్</v>
      </c>
      <c r="C4160" s="4" t="str">
        <f>IFERROR(__xludf.DUMMYFUNCTION("GOOGLETRANSLATE(A4160, ""en"", ""hi"")"),"जस्ट ऑर्गेनिक ऑर्गेनिक शुगर")</f>
        <v>जस्ट ऑर्गेनिक ऑर्गेनिक शुगर</v>
      </c>
      <c r="D4160" s="2" t="s">
        <v>9609</v>
      </c>
      <c r="E4160" s="2" t="s">
        <v>4407</v>
      </c>
      <c r="F4160" s="1">
        <v>8.0</v>
      </c>
      <c r="G4160" s="3" t="s">
        <v>490</v>
      </c>
    </row>
    <row r="4161">
      <c r="A4161" s="3" t="s">
        <v>9610</v>
      </c>
      <c r="B4161" s="4" t="str">
        <f>IFERROR(__xludf.DUMMYFUNCTION("GOOGLETRANSLATE(A4161, ""en"", ""te"")"),"జస్ట్ ఆర్గానిక్ ఆర్గానిక్ షుగర్ బ్రౌన్")</f>
        <v>జస్ట్ ఆర్గానిక్ ఆర్గానిక్ షుగర్ బ్రౌన్</v>
      </c>
      <c r="C4161" s="4" t="str">
        <f>IFERROR(__xludf.DUMMYFUNCTION("GOOGLETRANSLATE(A4161, ""en"", ""hi"")"),"जस्ट ऑर्गेनिक ऑर्गेनिक शुगर ब्राउन")</f>
        <v>जस्ट ऑर्गेनिक ऑर्गेनिक शुगर ब्राउन</v>
      </c>
      <c r="D4161" s="2" t="s">
        <v>6000</v>
      </c>
      <c r="E4161" s="2" t="s">
        <v>4407</v>
      </c>
      <c r="F4161" s="1">
        <v>8.0</v>
      </c>
      <c r="G4161" s="3" t="s">
        <v>490</v>
      </c>
    </row>
    <row r="4162">
      <c r="A4162" s="3" t="s">
        <v>5687</v>
      </c>
      <c r="B4162" s="4" t="str">
        <f>IFERROR(__xludf.DUMMYFUNCTION("GOOGLETRANSLATE(A4162, ""en"", ""te"")"),"రెడ్ లేబుల్ నేచురల్ కేర్")</f>
        <v>రెడ్ లేబుల్ నేచురల్ కేర్</v>
      </c>
      <c r="C4162" s="4" t="str">
        <f>IFERROR(__xludf.DUMMYFUNCTION("GOOGLETRANSLATE(A4162, ""en"", ""hi"")"),"रेड लेबल नेचुरल केयर")</f>
        <v>रेड लेबल नेचुरल केयर</v>
      </c>
      <c r="D4162" s="5"/>
      <c r="E4162" s="2" t="s">
        <v>48</v>
      </c>
      <c r="F4162" s="1">
        <v>8.0</v>
      </c>
      <c r="G4162" s="3" t="s">
        <v>463</v>
      </c>
    </row>
    <row r="4163">
      <c r="A4163" s="3" t="s">
        <v>5689</v>
      </c>
      <c r="B4163" s="4" t="str">
        <f>IFERROR(__xludf.DUMMYFUNCTION("GOOGLETRANSLATE(A4163, ""en"", ""te"")"),"రెడ్ లేబుల్ టీ")</f>
        <v>రెడ్ లేబుల్ టీ</v>
      </c>
      <c r="C4163" s="4" t="str">
        <f>IFERROR(__xludf.DUMMYFUNCTION("GOOGLETRANSLATE(A4163, ""en"", ""hi"")"),"रेड लेबल चाय")</f>
        <v>रेड लेबल चाय</v>
      </c>
      <c r="D4163" s="5"/>
      <c r="E4163" s="2" t="s">
        <v>3927</v>
      </c>
      <c r="F4163" s="1">
        <v>8.0</v>
      </c>
      <c r="G4163" s="3" t="s">
        <v>463</v>
      </c>
    </row>
    <row r="4164">
      <c r="A4164" s="3" t="s">
        <v>9611</v>
      </c>
      <c r="B4164" s="4" t="str">
        <f>IFERROR(__xludf.DUMMYFUNCTION("GOOGLETRANSLATE(A4164, ""en"", ""te"")"),"3 రోజెస్ నేచురల్ కేర్")</f>
        <v>3 రోజెస్ నేచురల్ కేర్</v>
      </c>
      <c r="C4164" s="4" t="str">
        <f>IFERROR(__xludf.DUMMYFUNCTION("GOOGLETRANSLATE(A4164, ""en"", ""hi"")"),"3 रोज़ेज़ नेचुरल केयर")</f>
        <v>3 रोज़ेज़ नेचुरल केयर</v>
      </c>
      <c r="D4164" s="5"/>
      <c r="E4164" s="2" t="s">
        <v>48</v>
      </c>
      <c r="F4164" s="1">
        <v>8.0</v>
      </c>
      <c r="G4164" s="3" t="s">
        <v>463</v>
      </c>
    </row>
    <row r="4165">
      <c r="A4165" s="3" t="s">
        <v>9612</v>
      </c>
      <c r="B4165" s="4" t="str">
        <f>IFERROR(__xludf.DUMMYFUNCTION("GOOGLETRANSLATE(A4165, ""en"", ""te"")"),"వాఘ్ బక్రీ ప్రీమియం టీ బ్యాగ్‌లు")</f>
        <v>వాఘ్ బక్రీ ప్రీమియం టీ బ్యాగ్‌లు</v>
      </c>
      <c r="C4165" s="4" t="str">
        <f>IFERROR(__xludf.DUMMYFUNCTION("GOOGLETRANSLATE(A4165, ""en"", ""hi"")"),"वाघ बकरी प्रीमियम टी बैग्स")</f>
        <v>वाघ बकरी प्रीमियम टी बैग्स</v>
      </c>
      <c r="D4165" s="5"/>
      <c r="E4165" s="2" t="s">
        <v>3927</v>
      </c>
      <c r="F4165" s="1">
        <v>8.0</v>
      </c>
      <c r="G4165" s="3" t="s">
        <v>470</v>
      </c>
    </row>
    <row r="4166">
      <c r="A4166" s="3" t="s">
        <v>9613</v>
      </c>
      <c r="B4166" s="4" t="str">
        <f>IFERROR(__xludf.DUMMYFUNCTION("GOOGLETRANSLATE(A4166, ""en"", ""te"")"),"టెట్లీ మసాలా టీ")</f>
        <v>టెట్లీ మసాలా టీ</v>
      </c>
      <c r="C4166" s="4" t="str">
        <f>IFERROR(__xludf.DUMMYFUNCTION("GOOGLETRANSLATE(A4166, ""en"", ""hi"")"),"टेटली मसाला चाय")</f>
        <v>टेटली मसाला चाय</v>
      </c>
      <c r="D4166" s="2" t="s">
        <v>4401</v>
      </c>
      <c r="E4166" s="2" t="s">
        <v>3927</v>
      </c>
      <c r="F4166" s="1">
        <v>8.0</v>
      </c>
      <c r="G4166" s="3" t="s">
        <v>470</v>
      </c>
    </row>
    <row r="4167">
      <c r="A4167" s="3" t="s">
        <v>9614</v>
      </c>
      <c r="B4167" s="4" t="str">
        <f>IFERROR(__xludf.DUMMYFUNCTION("GOOGLETRANSLATE(A4167, ""en"", ""te"")"),"టెట్లీ ఏలకుల టీ")</f>
        <v>టెట్లీ ఏలకుల టీ</v>
      </c>
      <c r="C4167" s="4" t="str">
        <f>IFERROR(__xludf.DUMMYFUNCTION("GOOGLETRANSLATE(A4167, ""en"", ""hi"")"),"टेटली इलायची चाय")</f>
        <v>टेटली इलायची चाय</v>
      </c>
      <c r="D4167" s="5"/>
      <c r="E4167" s="2" t="s">
        <v>3927</v>
      </c>
      <c r="F4167" s="1">
        <v>8.0</v>
      </c>
      <c r="G4167" s="3" t="s">
        <v>470</v>
      </c>
    </row>
    <row r="4168">
      <c r="A4168" s="3" t="s">
        <v>9615</v>
      </c>
      <c r="B4168" s="4" t="str">
        <f>IFERROR(__xludf.DUMMYFUNCTION("GOOGLETRANSLATE(A4168, ""en"", ""te"")"),"టెట్లీ అల్లం టీ")</f>
        <v>టెట్లీ అల్లం టీ</v>
      </c>
      <c r="C4168" s="4" t="str">
        <f>IFERROR(__xludf.DUMMYFUNCTION("GOOGLETRANSLATE(A4168, ""en"", ""hi"")"),"टेटली अदरक चाय")</f>
        <v>टेटली अदरक चाय</v>
      </c>
      <c r="D4168" s="2" t="s">
        <v>2695</v>
      </c>
      <c r="E4168" s="2" t="s">
        <v>3927</v>
      </c>
      <c r="F4168" s="1">
        <v>8.0</v>
      </c>
      <c r="G4168" s="3" t="s">
        <v>470</v>
      </c>
    </row>
    <row r="4169">
      <c r="A4169" s="3" t="s">
        <v>9616</v>
      </c>
      <c r="B4169" s="4" t="str">
        <f>IFERROR(__xludf.DUMMYFUNCTION("GOOGLETRANSLATE(A4169, ""en"", ""te"")"),"స్వాద్ టీ")</f>
        <v>స్వాద్ టీ</v>
      </c>
      <c r="C4169" s="4" t="str">
        <f>IFERROR(__xludf.DUMMYFUNCTION("GOOGLETRANSLATE(A4169, ""en"", ""hi"")"),"स्वाद चाय")</f>
        <v>स्वाद चाय</v>
      </c>
      <c r="D4169" s="2" t="s">
        <v>3925</v>
      </c>
      <c r="E4169" s="2" t="s">
        <v>3927</v>
      </c>
      <c r="F4169" s="1">
        <v>8.0</v>
      </c>
      <c r="G4169" s="3" t="s">
        <v>470</v>
      </c>
    </row>
    <row r="4170">
      <c r="A4170" s="3" t="s">
        <v>1590</v>
      </c>
      <c r="B4170" s="4" t="str">
        <f>IFERROR(__xludf.DUMMYFUNCTION("GOOGLETRANSLATE(A4170, ""en"", ""te"")"),"బ్రూ గ్రీన్ లేబుల్")</f>
        <v>బ్రూ గ్రీన్ లేబుల్</v>
      </c>
      <c r="C4170" s="4" t="str">
        <f>IFERROR(__xludf.DUMMYFUNCTION("GOOGLETRANSLATE(A4170, ""en"", ""hi"")"),"ब्रू ग्रीन लेबल")</f>
        <v>ब्रू ग्रीन लेबल</v>
      </c>
      <c r="D4170" s="2" t="s">
        <v>9617</v>
      </c>
      <c r="E4170" s="2" t="s">
        <v>3927</v>
      </c>
      <c r="F4170" s="1">
        <v>8.0</v>
      </c>
      <c r="G4170" s="3" t="s">
        <v>475</v>
      </c>
    </row>
    <row r="4171">
      <c r="A4171" s="3" t="s">
        <v>9618</v>
      </c>
      <c r="B4171" s="4" t="str">
        <f>IFERROR(__xludf.DUMMYFUNCTION("GOOGLETRANSLATE(A4171, ""en"", ""te"")"),"కోఫాస్ రాయల్ బ్లెండ్ కాఫీ")</f>
        <v>కోఫాస్ రాయల్ బ్లెండ్ కాఫీ</v>
      </c>
      <c r="C4171" s="4" t="str">
        <f>IFERROR(__xludf.DUMMYFUNCTION("GOOGLETRANSLATE(A4171, ""en"", ""hi"")"),"कोफहास रॉयल ब्लेंड कॉफी")</f>
        <v>कोफहास रॉयल ब्लेंड कॉफी</v>
      </c>
      <c r="D4171" s="2" t="s">
        <v>8864</v>
      </c>
      <c r="E4171" s="2" t="s">
        <v>3927</v>
      </c>
      <c r="F4171" s="1">
        <v>8.0</v>
      </c>
      <c r="G4171" s="3" t="s">
        <v>475</v>
      </c>
    </row>
    <row r="4172">
      <c r="A4172" s="3" t="s">
        <v>9619</v>
      </c>
      <c r="B4172" s="4" t="str">
        <f>IFERROR(__xludf.DUMMYFUNCTION("GOOGLETRANSLATE(A4172, ""en"", ""te"")"),"కోఫాస్ క్లాసిక్ బ్లెండ్ కాఫీ")</f>
        <v>కోఫాస్ క్లాసిక్ బ్లెండ్ కాఫీ</v>
      </c>
      <c r="C4172" s="4" t="str">
        <f>IFERROR(__xludf.DUMMYFUNCTION("GOOGLETRANSLATE(A4172, ""en"", ""hi"")"),"कोफहास क्लासिक ब्लेंड कॉफी")</f>
        <v>कोफहास क्लासिक ब्लेंड कॉफी</v>
      </c>
      <c r="D4172" s="2" t="s">
        <v>8864</v>
      </c>
      <c r="E4172" s="2" t="s">
        <v>3927</v>
      </c>
      <c r="F4172" s="1">
        <v>8.0</v>
      </c>
      <c r="G4172" s="3" t="s">
        <v>475</v>
      </c>
    </row>
    <row r="4173">
      <c r="A4173" s="3" t="s">
        <v>9620</v>
      </c>
      <c r="B4173" s="4" t="str">
        <f>IFERROR(__xludf.DUMMYFUNCTION("GOOGLETRANSLATE(A4173, ""en"", ""te"")"),"జూనియర్ హార్లిక్స్")</f>
        <v>జూనియర్ హార్లిక్స్</v>
      </c>
      <c r="C4173" s="4" t="str">
        <f>IFERROR(__xludf.DUMMYFUNCTION("GOOGLETRANSLATE(A4173, ""en"", ""hi"")"),"जूनियर हॉर्लिक्स")</f>
        <v>जूनियर हॉर्लिक्स</v>
      </c>
      <c r="D4173" s="5"/>
      <c r="E4173" s="2" t="s">
        <v>2369</v>
      </c>
      <c r="F4173" s="1">
        <v>8.0</v>
      </c>
      <c r="G4173" s="3" t="s">
        <v>488</v>
      </c>
    </row>
    <row r="4174">
      <c r="A4174" s="3" t="s">
        <v>9621</v>
      </c>
      <c r="B4174" s="4" t="str">
        <f>IFERROR(__xludf.DUMMYFUNCTION("GOOGLETRANSLATE(A4174, ""en"", ""te"")"),"నెస్లే ఎవ్రీడే")</f>
        <v>నెస్లే ఎవ్రీడే</v>
      </c>
      <c r="C4174" s="4" t="str">
        <f>IFERROR(__xludf.DUMMYFUNCTION("GOOGLETRANSLATE(A4174, ""en"", ""hi"")"),"नेस्ले एवरीडे")</f>
        <v>नेस्ले एवरीडे</v>
      </c>
      <c r="D4174" s="5"/>
      <c r="E4174" s="2" t="s">
        <v>2369</v>
      </c>
      <c r="F4174" s="1">
        <v>8.0</v>
      </c>
      <c r="G4174" s="3" t="s">
        <v>488</v>
      </c>
    </row>
    <row r="4175">
      <c r="A4175" s="3" t="s">
        <v>6448</v>
      </c>
      <c r="B4175" s="4" t="str">
        <f>IFERROR(__xludf.DUMMYFUNCTION("GOOGLETRANSLATE(A4175, ""en"", ""te"")"),"తపల్ దానెదర్")</f>
        <v>తపల్ దానెదర్</v>
      </c>
      <c r="C4175" s="4" t="str">
        <f>IFERROR(__xludf.DUMMYFUNCTION("GOOGLETRANSLATE(A4175, ""en"", ""hi"")"),"तपल दानेदार")</f>
        <v>तपल दानेदार</v>
      </c>
      <c r="D4175" s="2" t="s">
        <v>9622</v>
      </c>
      <c r="E4175" s="2" t="s">
        <v>3927</v>
      </c>
      <c r="F4175" s="1">
        <v>8.0</v>
      </c>
      <c r="G4175" s="3" t="s">
        <v>488</v>
      </c>
    </row>
    <row r="4176">
      <c r="A4176" s="3" t="s">
        <v>9623</v>
      </c>
      <c r="B4176" s="4" t="str">
        <f>IFERROR(__xludf.DUMMYFUNCTION("GOOGLETRANSLATE(A4176, ""en"", ""te"")"),"రెడ్ లేబుల్ స్ట్రాంగ్ టీ")</f>
        <v>రెడ్ లేబుల్ స్ట్రాంగ్ టీ</v>
      </c>
      <c r="C4176" s="4" t="str">
        <f>IFERROR(__xludf.DUMMYFUNCTION("GOOGLETRANSLATE(A4176, ""en"", ""hi"")"),"रेड लेबल स्ट्रॉन्ग टी")</f>
        <v>रेड लेबल स्ट्रॉन्ग टी</v>
      </c>
      <c r="D4176" s="5"/>
      <c r="E4176" s="2" t="s">
        <v>3927</v>
      </c>
      <c r="F4176" s="1">
        <v>8.0</v>
      </c>
      <c r="G4176" s="3" t="s">
        <v>588</v>
      </c>
    </row>
    <row r="4177">
      <c r="A4177" s="3" t="s">
        <v>9568</v>
      </c>
      <c r="B4177" s="4" t="str">
        <f>IFERROR(__xludf.DUMMYFUNCTION("GOOGLETRANSLATE(A4177, ""en"", ""te"")"),"రెడ్ లేబుల్ నేచురల్ కేర్ టీ")</f>
        <v>రెడ్ లేబుల్ నేచురల్ కేర్ టీ</v>
      </c>
      <c r="C4177" s="4" t="str">
        <f>IFERROR(__xludf.DUMMYFUNCTION("GOOGLETRANSLATE(A4177, ""en"", ""hi"")"),"रेड लेबल नेचुरल केयर टी")</f>
        <v>रेड लेबल नेचुरल केयर टी</v>
      </c>
      <c r="D4177" s="5"/>
      <c r="E4177" s="2" t="s">
        <v>3927</v>
      </c>
      <c r="F4177" s="1">
        <v>8.0</v>
      </c>
      <c r="G4177" s="3" t="s">
        <v>588</v>
      </c>
    </row>
    <row r="4178">
      <c r="A4178" s="3" t="s">
        <v>9624</v>
      </c>
      <c r="B4178" s="4" t="str">
        <f>IFERROR(__xludf.DUMMYFUNCTION("GOOGLETRANSLATE(A4178, ""en"", ""te"")"),"3 రోజెస్ నేచురల్ కేర్ టీ")</f>
        <v>3 రోజెస్ నేచురల్ కేర్ టీ</v>
      </c>
      <c r="C4178" s="4" t="str">
        <f>IFERROR(__xludf.DUMMYFUNCTION("GOOGLETRANSLATE(A4178, ""en"", ""hi"")"),"3 रोज़ेज़ नेचुरल केयर टी")</f>
        <v>3 रोज़ेज़ नेचुरल केयर टी</v>
      </c>
      <c r="D4178" s="5"/>
      <c r="E4178" s="2" t="s">
        <v>3927</v>
      </c>
      <c r="F4178" s="1">
        <v>8.0</v>
      </c>
      <c r="G4178" s="3" t="s">
        <v>588</v>
      </c>
    </row>
    <row r="4179">
      <c r="A4179" s="3" t="s">
        <v>9625</v>
      </c>
      <c r="B4179" s="4" t="str">
        <f>IFERROR(__xludf.DUMMYFUNCTION("GOOGLETRANSLATE(A4179, ""en"", ""te"")"),"లక్ష్మి ప్రీమియం టీ")</f>
        <v>లక్ష్మి ప్రీమియం టీ</v>
      </c>
      <c r="C4179" s="4" t="str">
        <f>IFERROR(__xludf.DUMMYFUNCTION("GOOGLETRANSLATE(A4179, ""en"", ""hi"")"),"लक्ष्मी प्रीमियम चाय")</f>
        <v>लक्ष्मी प्रीमियम चाय</v>
      </c>
      <c r="D4179" s="5"/>
      <c r="E4179" s="2" t="s">
        <v>3927</v>
      </c>
      <c r="F4179" s="1">
        <v>8.0</v>
      </c>
      <c r="G4179" s="3" t="s">
        <v>594</v>
      </c>
    </row>
    <row r="4180">
      <c r="A4180" s="3" t="s">
        <v>9594</v>
      </c>
      <c r="B4180" s="4" t="str">
        <f>IFERROR(__xludf.DUMMYFUNCTION("GOOGLETRANSLATE(A4180, ""en"", ""te"")"),"వాఘ్ బక్రీ మసాలా చాయ్")</f>
        <v>వాఘ్ బక్రీ మసాలా చాయ్</v>
      </c>
      <c r="C4180" s="4" t="str">
        <f>IFERROR(__xludf.DUMMYFUNCTION("GOOGLETRANSLATE(A4180, ""en"", ""hi"")"),"वाघ बकरी मसाला चाय")</f>
        <v>वाघ बकरी मसाला चाय</v>
      </c>
      <c r="D4180" s="2" t="s">
        <v>4401</v>
      </c>
      <c r="E4180" s="2" t="s">
        <v>3927</v>
      </c>
      <c r="F4180" s="1">
        <v>8.0</v>
      </c>
      <c r="G4180" s="3" t="s">
        <v>594</v>
      </c>
    </row>
    <row r="4181">
      <c r="A4181" s="3" t="s">
        <v>4404</v>
      </c>
      <c r="B4181" s="4" t="str">
        <f>IFERROR(__xludf.DUMMYFUNCTION("GOOGLETRANSLATE(A4181, ""en"", ""te"")"),"స్వాద్ టీ మసాలా")</f>
        <v>స్వాద్ టీ మసాలా</v>
      </c>
      <c r="C4181" s="4" t="str">
        <f>IFERROR(__xludf.DUMMYFUNCTION("GOOGLETRANSLATE(A4181, ""en"", ""hi"")"),"स्वाद टी मसाला")</f>
        <v>स्वाद टी मसाला</v>
      </c>
      <c r="D4181" s="2" t="s">
        <v>4401</v>
      </c>
      <c r="E4181" s="2" t="s">
        <v>442</v>
      </c>
      <c r="F4181" s="1">
        <v>8.0</v>
      </c>
      <c r="G4181" s="3" t="s">
        <v>594</v>
      </c>
    </row>
    <row r="4182">
      <c r="A4182" s="3" t="s">
        <v>9612</v>
      </c>
      <c r="B4182" s="4" t="str">
        <f>IFERROR(__xludf.DUMMYFUNCTION("GOOGLETRANSLATE(A4182, ""en"", ""te"")"),"వాఘ్ బక్రీ ప్రీమియం టీ బ్యాగ్‌లు")</f>
        <v>వాఘ్ బక్రీ ప్రీమియం టీ బ్యాగ్‌లు</v>
      </c>
      <c r="C4182" s="4" t="str">
        <f>IFERROR(__xludf.DUMMYFUNCTION("GOOGLETRANSLATE(A4182, ""en"", ""hi"")"),"वाघ बकरी प्रीमियम टी बैग्स")</f>
        <v>वाघ बकरी प्रीमियम टी बैग्स</v>
      </c>
      <c r="D4182" s="5"/>
      <c r="E4182" s="2" t="s">
        <v>3927</v>
      </c>
      <c r="F4182" s="1">
        <v>8.0</v>
      </c>
      <c r="G4182" s="3" t="s">
        <v>594</v>
      </c>
    </row>
    <row r="4183">
      <c r="A4183" s="3" t="s">
        <v>9626</v>
      </c>
      <c r="B4183" s="4" t="str">
        <f>IFERROR(__xludf.DUMMYFUNCTION("GOOGLETRANSLATE(A4183, ""en"", ""te"")"),"వాఘ్ బక్రీ మసాలా చాయ్ టీ బ్యాగులు")</f>
        <v>వాఘ్ బక్రీ మసాలా చాయ్ టీ బ్యాగులు</v>
      </c>
      <c r="C4183" s="4" t="str">
        <f>IFERROR(__xludf.DUMMYFUNCTION("GOOGLETRANSLATE(A4183, ""en"", ""hi"")"),"वाघ बकरी मसाला चाय टी बैग")</f>
        <v>वाघ बकरी मसाला चाय टी बैग</v>
      </c>
      <c r="D4183" s="5"/>
      <c r="E4183" s="2" t="s">
        <v>3927</v>
      </c>
      <c r="F4183" s="1">
        <v>8.0</v>
      </c>
      <c r="G4183" s="3" t="s">
        <v>594</v>
      </c>
    </row>
    <row r="4184">
      <c r="A4184" s="3" t="s">
        <v>9627</v>
      </c>
      <c r="B4184" s="4" t="str">
        <f>IFERROR(__xludf.DUMMYFUNCTION("GOOGLETRANSLATE(A4184, ""en"", ""te"")"),"కోథాస్ స్పెషాలిటీ బ్లెండ్ కాఫీ")</f>
        <v>కోథాస్ స్పెషాలిటీ బ్లెండ్ కాఫీ</v>
      </c>
      <c r="C4184" s="4" t="str">
        <f>IFERROR(__xludf.DUMMYFUNCTION("GOOGLETRANSLATE(A4184, ""en"", ""hi"")"),"कोथास स्पेशलिटी ब्लेंड कॉफी")</f>
        <v>कोथास स्पेशलिटी ब्लेंड कॉफी</v>
      </c>
      <c r="D4184" s="5"/>
      <c r="E4184" s="2" t="s">
        <v>3927</v>
      </c>
      <c r="F4184" s="1">
        <v>8.0</v>
      </c>
      <c r="G4184" s="3" t="s">
        <v>600</v>
      </c>
    </row>
    <row r="4185">
      <c r="A4185" s="3" t="s">
        <v>9628</v>
      </c>
      <c r="B4185" s="4" t="str">
        <f>IFERROR(__xludf.DUMMYFUNCTION("GOOGLETRANSLATE(A4185, ""en"", ""te"")"),"కోథాస్ రాయల్ బ్లెండ్ కాఫీ")</f>
        <v>కోథాస్ రాయల్ బ్లెండ్ కాఫీ</v>
      </c>
      <c r="C4185" s="4" t="str">
        <f>IFERROR(__xludf.DUMMYFUNCTION("GOOGLETRANSLATE(A4185, ""en"", ""hi"")"),"कोथास रॉयल ब्लेंड कॉफी")</f>
        <v>कोथास रॉयल ब्लेंड कॉफी</v>
      </c>
      <c r="D4185" s="2" t="s">
        <v>8864</v>
      </c>
      <c r="E4185" s="2" t="s">
        <v>3927</v>
      </c>
      <c r="F4185" s="1">
        <v>8.0</v>
      </c>
      <c r="G4185" s="3" t="s">
        <v>600</v>
      </c>
    </row>
    <row r="4186">
      <c r="A4186" s="3" t="s">
        <v>9629</v>
      </c>
      <c r="B4186" s="4" t="str">
        <f>IFERROR(__xludf.DUMMYFUNCTION("GOOGLETRANSLATE(A4186, ""en"", ""te"")"),"కోథాస్ ఫిల్టర్ కాఫీ")</f>
        <v>కోథాస్ ఫిల్టర్ కాఫీ</v>
      </c>
      <c r="C4186" s="4" t="str">
        <f>IFERROR(__xludf.DUMMYFUNCTION("GOOGLETRANSLATE(A4186, ""en"", ""hi"")"),"कोथास फ़िल्टर कॉफ़ी")</f>
        <v>कोथास फ़िल्टर कॉफ़ी</v>
      </c>
      <c r="D4186" s="2" t="s">
        <v>8864</v>
      </c>
      <c r="E4186" s="2" t="s">
        <v>3927</v>
      </c>
      <c r="F4186" s="1">
        <v>8.0</v>
      </c>
      <c r="G4186" s="3" t="s">
        <v>600</v>
      </c>
    </row>
    <row r="4187">
      <c r="A4187" s="3" t="s">
        <v>9630</v>
      </c>
      <c r="B4187" s="4" t="str">
        <f>IFERROR(__xludf.DUMMYFUNCTION("GOOGLETRANSLATE(A4187, ""en"", ""te"")"),"బూస్ట్ హెల్త్ డ్రింక్")</f>
        <v>బూస్ట్ హెల్త్ డ్రింక్</v>
      </c>
      <c r="C4187" s="4" t="str">
        <f>IFERROR(__xludf.DUMMYFUNCTION("GOOGLETRANSLATE(A4187, ""en"", ""hi"")"),"बूस्ट हेल्थ ड्रिंक")</f>
        <v>बूस्ट हेल्थ ड्रिंक</v>
      </c>
      <c r="D4187" s="5"/>
      <c r="E4187" s="2" t="s">
        <v>2369</v>
      </c>
      <c r="F4187" s="1">
        <v>8.0</v>
      </c>
      <c r="G4187" s="3" t="s">
        <v>608</v>
      </c>
    </row>
    <row r="4188">
      <c r="A4188" s="3" t="s">
        <v>9631</v>
      </c>
      <c r="B4188" s="4" t="str">
        <f>IFERROR(__xludf.DUMMYFUNCTION("GOOGLETRANSLATE(A4188, ""en"", ""te"")"),"హార్లిక్స్ హెల్త్ డ్రింక్")</f>
        <v>హార్లిక్స్ హెల్త్ డ్రింక్</v>
      </c>
      <c r="C4188" s="4" t="str">
        <f>IFERROR(__xludf.DUMMYFUNCTION("GOOGLETRANSLATE(A4188, ""en"", ""hi"")"),"हॉर्लिक्स हेल्थ ड्रिंक")</f>
        <v>हॉर्लिक्स हेल्थ ड्रिंक</v>
      </c>
      <c r="D4188" s="5"/>
      <c r="E4188" s="2" t="s">
        <v>2369</v>
      </c>
      <c r="F4188" s="1">
        <v>8.0</v>
      </c>
      <c r="G4188" s="3" t="s">
        <v>608</v>
      </c>
    </row>
    <row r="4189">
      <c r="A4189" s="3" t="s">
        <v>9632</v>
      </c>
      <c r="B4189" s="4" t="str">
        <f>IFERROR(__xludf.DUMMYFUNCTION("GOOGLETRANSLATE(A4189, ""en"", ""te"")"),"హార్లిక్స్ జూనియర్ హెల్త్ డ్రింక్")</f>
        <v>హార్లిక్స్ జూనియర్ హెల్త్ డ్రింక్</v>
      </c>
      <c r="C4189" s="4" t="str">
        <f>IFERROR(__xludf.DUMMYFUNCTION("GOOGLETRANSLATE(A4189, ""en"", ""hi"")"),"होर्लिक्स जूनियर हेल्थ ड्रिंक")</f>
        <v>होर्लिक्स जूनियर हेल्थ ड्रिंक</v>
      </c>
      <c r="D4189" s="5"/>
      <c r="E4189" s="2" t="s">
        <v>2369</v>
      </c>
      <c r="F4189" s="1">
        <v>8.0</v>
      </c>
      <c r="G4189" s="3" t="s">
        <v>608</v>
      </c>
    </row>
    <row r="4190">
      <c r="A4190" s="3" t="s">
        <v>9588</v>
      </c>
      <c r="B4190" s="4" t="str">
        <f>IFERROR(__xludf.DUMMYFUNCTION("GOOGLETRANSLATE(A4190, ""en"", ""te"")"),"నెస్లే ఎవ్రీడే డైరీ వైట్నర్")</f>
        <v>నెస్లే ఎవ్రీడే డైరీ వైట్నర్</v>
      </c>
      <c r="C4190" s="4" t="str">
        <f>IFERROR(__xludf.DUMMYFUNCTION("GOOGLETRANSLATE(A4190, ""en"", ""hi"")"),"नेस्ले एवरीडे डेयरी व्हाइटनर")</f>
        <v>नेस्ले एवरीडे डेयरी व्हाइटनर</v>
      </c>
      <c r="D4190" s="2" t="s">
        <v>9589</v>
      </c>
      <c r="E4190" s="2" t="s">
        <v>2369</v>
      </c>
      <c r="F4190" s="1">
        <v>8.0</v>
      </c>
      <c r="G4190" s="3" t="s">
        <v>488</v>
      </c>
    </row>
    <row r="4191">
      <c r="A4191" s="3" t="s">
        <v>9633</v>
      </c>
      <c r="B4191" s="4" t="str">
        <f>IFERROR(__xludf.DUMMYFUNCTION("GOOGLETRANSLATE(A4191, ""en"", ""te"")"),"కాఫీ మేట్ క్రీమర్")</f>
        <v>కాఫీ మేట్ క్రీమర్</v>
      </c>
      <c r="C4191" s="4" t="str">
        <f>IFERROR(__xludf.DUMMYFUNCTION("GOOGLETRANSLATE(A4191, ""en"", ""hi"")"),"कॉफी मेट क्रीमर")</f>
        <v>कॉफी मेट क्रीमर</v>
      </c>
      <c r="D4191" s="2" t="s">
        <v>9572</v>
      </c>
      <c r="E4191" s="2" t="s">
        <v>1330</v>
      </c>
      <c r="F4191" s="1">
        <v>8.0</v>
      </c>
      <c r="G4191" s="3" t="s">
        <v>488</v>
      </c>
    </row>
    <row r="4192">
      <c r="A4192" s="3" t="s">
        <v>9606</v>
      </c>
      <c r="B4192" s="4" t="str">
        <f>IFERROR(__xludf.DUMMYFUNCTION("GOOGLETRANSLATE(A4192, ""en"", ""te"")"),"జియాస్ బ్రౌన్ షుగర్")</f>
        <v>జియాస్ బ్రౌన్ షుగర్</v>
      </c>
      <c r="C4192" s="4" t="str">
        <f>IFERROR(__xludf.DUMMYFUNCTION("GOOGLETRANSLATE(A4192, ""en"", ""hi"")"),"जिया की भूरी चीनी")</f>
        <v>जिया की भूरी चीनी</v>
      </c>
      <c r="D4192" s="2" t="s">
        <v>9607</v>
      </c>
      <c r="E4192" s="2" t="s">
        <v>4407</v>
      </c>
      <c r="F4192" s="1">
        <v>8.0</v>
      </c>
      <c r="G4192" s="3" t="s">
        <v>740</v>
      </c>
    </row>
    <row r="4193">
      <c r="A4193" s="3" t="s">
        <v>9634</v>
      </c>
      <c r="B4193" s="4" t="str">
        <f>IFERROR(__xludf.DUMMYFUNCTION("GOOGLETRANSLATE(A4193, ""en"", ""te"")"),"జియాస్ ఆర్గానిక్ షుగర్")</f>
        <v>జియాస్ ఆర్గానిక్ షుగర్</v>
      </c>
      <c r="C4193" s="4" t="str">
        <f>IFERROR(__xludf.DUMMYFUNCTION("GOOGLETRANSLATE(A4193, ""en"", ""hi"")"),"जिया की ऑर्गेनिक चीनी")</f>
        <v>जिया की ऑर्गेनिक चीनी</v>
      </c>
      <c r="D4193" s="2" t="s">
        <v>6000</v>
      </c>
      <c r="E4193" s="2" t="s">
        <v>4407</v>
      </c>
      <c r="F4193" s="1">
        <v>8.0</v>
      </c>
      <c r="G4193" s="3" t="s">
        <v>740</v>
      </c>
    </row>
    <row r="4194">
      <c r="A4194" s="3" t="s">
        <v>5689</v>
      </c>
      <c r="B4194" s="4" t="str">
        <f>IFERROR(__xludf.DUMMYFUNCTION("GOOGLETRANSLATE(A4194, ""en"", ""te"")"),"రెడ్ లేబుల్ టీ")</f>
        <v>రెడ్ లేబుల్ టీ</v>
      </c>
      <c r="C4194" s="4" t="str">
        <f>IFERROR(__xludf.DUMMYFUNCTION("GOOGLETRANSLATE(A4194, ""en"", ""hi"")"),"रेड लेबल चाय")</f>
        <v>रेड लेबल चाय</v>
      </c>
      <c r="D4194" s="5"/>
      <c r="E4194" s="2" t="s">
        <v>3927</v>
      </c>
      <c r="F4194" s="1">
        <v>8.0</v>
      </c>
      <c r="G4194" s="3" t="s">
        <v>588</v>
      </c>
    </row>
    <row r="4195">
      <c r="A4195" s="3" t="s">
        <v>9635</v>
      </c>
      <c r="B4195" s="4" t="str">
        <f>IFERROR(__xludf.DUMMYFUNCTION("GOOGLETRANSLATE(A4195, ""en"", ""te"")"),"వాఘ్ బక్రీ ప్రీమియం లీఫ్ టీ")</f>
        <v>వాఘ్ బక్రీ ప్రీమియం లీఫ్ టీ</v>
      </c>
      <c r="C4195" s="4" t="str">
        <f>IFERROR(__xludf.DUMMYFUNCTION("GOOGLETRANSLATE(A4195, ""en"", ""hi"")"),"वाघ बकरी प्रीमियम लीफ टी")</f>
        <v>वाघ बकरी प्रीमियम लीफ टी</v>
      </c>
      <c r="D4195" s="5"/>
      <c r="E4195" s="2" t="s">
        <v>3927</v>
      </c>
      <c r="F4195" s="1">
        <v>8.0</v>
      </c>
      <c r="G4195" s="3" t="s">
        <v>594</v>
      </c>
    </row>
    <row r="4196">
      <c r="A4196" s="3" t="s">
        <v>9636</v>
      </c>
      <c r="B4196" s="4" t="str">
        <f>IFERROR(__xludf.DUMMYFUNCTION("GOOGLETRANSLATE(A4196, ""en"", ""te"")"),"కోథాస్ క్లాసిక్ బ్లెండ్ కాఫీ")</f>
        <v>కోథాస్ క్లాసిక్ బ్లెండ్ కాఫీ</v>
      </c>
      <c r="C4196" s="4" t="str">
        <f>IFERROR(__xludf.DUMMYFUNCTION("GOOGLETRANSLATE(A4196, ""en"", ""hi"")"),"कोथास क्लासिक ब्लेंड कॉफी")</f>
        <v>कोथास क्लासिक ब्लेंड कॉफी</v>
      </c>
      <c r="D4196" s="2" t="s">
        <v>9599</v>
      </c>
      <c r="E4196" s="2" t="s">
        <v>3927</v>
      </c>
      <c r="F4196" s="1">
        <v>8.0</v>
      </c>
      <c r="G4196" s="3" t="s">
        <v>600</v>
      </c>
    </row>
    <row r="4197">
      <c r="A4197" s="3" t="s">
        <v>9637</v>
      </c>
      <c r="B4197" s="4" t="str">
        <f>IFERROR(__xludf.DUMMYFUNCTION("GOOGLETRANSLATE(A4197, ""en"", ""te"")"),"కోథాస్ ఇన్‌స్టంట్ కాఫీ")</f>
        <v>కోథాస్ ఇన్‌స్టంట్ కాఫీ</v>
      </c>
      <c r="C4197" s="4" t="str">
        <f>IFERROR(__xludf.DUMMYFUNCTION("GOOGLETRANSLATE(A4197, ""en"", ""hi"")"),"कोथास इंस्टेंट कॉफी")</f>
        <v>कोथास इंस्टेंट कॉफी</v>
      </c>
      <c r="D4197" s="2" t="s">
        <v>9599</v>
      </c>
      <c r="E4197" s="2" t="s">
        <v>3927</v>
      </c>
      <c r="F4197" s="1">
        <v>8.0</v>
      </c>
      <c r="G4197" s="3" t="s">
        <v>600</v>
      </c>
    </row>
    <row r="4198">
      <c r="A4198" s="3" t="s">
        <v>9638</v>
      </c>
      <c r="B4198" s="4" t="str">
        <f>IFERROR(__xludf.DUMMYFUNCTION("GOOGLETRANSLATE(A4198, ""en"", ""te"")"),"బ్రూ కాఫీ")</f>
        <v>బ్రూ కాఫీ</v>
      </c>
      <c r="C4198" s="4" t="str">
        <f>IFERROR(__xludf.DUMMYFUNCTION("GOOGLETRANSLATE(A4198, ""en"", ""hi"")"),"ब्रू कॉफ़ी")</f>
        <v>ब्रू कॉफ़ी</v>
      </c>
      <c r="D4198" s="2" t="s">
        <v>8864</v>
      </c>
      <c r="E4198" s="2" t="s">
        <v>3927</v>
      </c>
      <c r="F4198" s="1">
        <v>8.0</v>
      </c>
      <c r="G4198" s="3" t="s">
        <v>600</v>
      </c>
    </row>
    <row r="4199">
      <c r="A4199" s="3" t="s">
        <v>9639</v>
      </c>
      <c r="B4199" s="4" t="str">
        <f>IFERROR(__xludf.DUMMYFUNCTION("GOOGLETRANSLATE(A4199, ""en"", ""te"")"),"కాంప్లాన్ హెల్త్ డ్రింక్")</f>
        <v>కాంప్లాన్ హెల్త్ డ్రింక్</v>
      </c>
      <c r="C4199" s="4" t="str">
        <f>IFERROR(__xludf.DUMMYFUNCTION("GOOGLETRANSLATE(A4199, ""en"", ""hi"")"),"कॉम्प्लान हेल्थ ड्रिंक")</f>
        <v>कॉम्प्लान हेल्थ ड्रिंक</v>
      </c>
      <c r="D4199" s="5"/>
      <c r="E4199" s="2" t="s">
        <v>2369</v>
      </c>
      <c r="F4199" s="1">
        <v>8.0</v>
      </c>
      <c r="G4199" s="3" t="s">
        <v>608</v>
      </c>
    </row>
    <row r="4200">
      <c r="A4200" s="3" t="s">
        <v>9640</v>
      </c>
      <c r="B4200" s="4" t="str">
        <f>IFERROR(__xludf.DUMMYFUNCTION("GOOGLETRANSLATE(A4200, ""en"", ""te"")"),"హార్లిక్స్ చాక్లెట్ హెల్త్ డ్రింక్")</f>
        <v>హార్లిక్స్ చాక్లెట్ హెల్త్ డ్రింక్</v>
      </c>
      <c r="C4200" s="4" t="str">
        <f>IFERROR(__xludf.DUMMYFUNCTION("GOOGLETRANSLATE(A4200, ""en"", ""hi"")"),"हॉर्लिक्स चॉकलेट हेल्थ ड्रिंक")</f>
        <v>हॉर्लिक्स चॉकलेट हेल्थ ड्रिंक</v>
      </c>
      <c r="D4200" s="2" t="s">
        <v>9641</v>
      </c>
      <c r="E4200" s="2" t="s">
        <v>2369</v>
      </c>
      <c r="F4200" s="1">
        <v>8.0</v>
      </c>
      <c r="G4200" s="3" t="s">
        <v>608</v>
      </c>
    </row>
    <row r="4201">
      <c r="A4201" s="3" t="s">
        <v>9642</v>
      </c>
      <c r="B4201" s="4" t="str">
        <f>IFERROR(__xludf.DUMMYFUNCTION("GOOGLETRANSLATE(A4201, ""en"", ""te"")"),"హార్లిక్స్ క్లాసిక్ హెల్త్ డ్రింక్")</f>
        <v>హార్లిక్స్ క్లాసిక్ హెల్త్ డ్రింక్</v>
      </c>
      <c r="C4201" s="4" t="str">
        <f>IFERROR(__xludf.DUMMYFUNCTION("GOOGLETRANSLATE(A4201, ""en"", ""hi"")"),"होर्लिक्स क्लासिक हेल्थ ड्रिंक")</f>
        <v>होर्लिक्स क्लासिक हेल्थ ड्रिंक</v>
      </c>
      <c r="D4201" s="5"/>
      <c r="E4201" s="2" t="s">
        <v>2369</v>
      </c>
      <c r="F4201" s="1">
        <v>8.0</v>
      </c>
      <c r="G4201" s="3" t="s">
        <v>608</v>
      </c>
    </row>
    <row r="4202">
      <c r="A4202" s="3" t="s">
        <v>9620</v>
      </c>
      <c r="B4202" s="4" t="str">
        <f>IFERROR(__xludf.DUMMYFUNCTION("GOOGLETRANSLATE(A4202, ""en"", ""te"")"),"జూనియర్ హార్లిక్స్")</f>
        <v>జూనియర్ హార్లిక్స్</v>
      </c>
      <c r="C4202" s="4" t="str">
        <f>IFERROR(__xludf.DUMMYFUNCTION("GOOGLETRANSLATE(A4202, ""en"", ""hi"")"),"जूनियर हॉर्लिक्स")</f>
        <v>जूनियर हॉर्लिक्स</v>
      </c>
      <c r="D4202" s="5"/>
      <c r="E4202" s="2" t="s">
        <v>2369</v>
      </c>
      <c r="F4202" s="1">
        <v>8.0</v>
      </c>
      <c r="G4202" s="3" t="s">
        <v>608</v>
      </c>
    </row>
    <row r="4203">
      <c r="A4203" s="3" t="s">
        <v>9643</v>
      </c>
      <c r="B4203" s="4" t="str">
        <f>IFERROR(__xludf.DUMMYFUNCTION("GOOGLETRANSLATE(A4203, ""en"", ""te"")"),"లెమన్ జెండ్")</f>
        <v>లెమన్ జెండ్</v>
      </c>
      <c r="C4203" s="4" t="str">
        <f>IFERROR(__xludf.DUMMYFUNCTION("GOOGLETRANSLATE(A4203, ""en"", ""hi"")"),"नींबू गेंद")</f>
        <v>नींबू गेंद</v>
      </c>
      <c r="D4203" s="5"/>
      <c r="E4203" s="2" t="s">
        <v>996</v>
      </c>
      <c r="F4203" s="1">
        <v>8.0</v>
      </c>
      <c r="G4203" s="3" t="s">
        <v>608</v>
      </c>
    </row>
    <row r="4204">
      <c r="A4204" s="3" t="s">
        <v>9644</v>
      </c>
      <c r="B4204" s="4" t="str">
        <f>IFERROR(__xludf.DUMMYFUNCTION("GOOGLETRANSLATE(A4204, ""en"", ""te"")"),"వాఘ్ బక్రీ టీ బ్యాగులు")</f>
        <v>వాఘ్ బక్రీ టీ బ్యాగులు</v>
      </c>
      <c r="C4204" s="4" t="str">
        <f>IFERROR(__xludf.DUMMYFUNCTION("GOOGLETRANSLATE(A4204, ""en"", ""hi"")"),"वाघ बकरी टी बैग्स")</f>
        <v>वाघ बकरी टी बैग्स</v>
      </c>
      <c r="D4204" s="5"/>
      <c r="E4204" s="2" t="s">
        <v>3927</v>
      </c>
      <c r="F4204" s="1">
        <v>8.0</v>
      </c>
      <c r="G4204" s="3" t="s">
        <v>594</v>
      </c>
    </row>
    <row r="4205">
      <c r="A4205" s="3" t="s">
        <v>9645</v>
      </c>
      <c r="B4205" s="4" t="str">
        <f>IFERROR(__xludf.DUMMYFUNCTION("GOOGLETRANSLATE(A4205, ""en"", ""te"")"),"కోథాస్ క్లాసిక్ బ్లెండ్ ఇన్‌స్టంట్ కాఫీ")</f>
        <v>కోథాస్ క్లాసిక్ బ్లెండ్ ఇన్‌స్టంట్ కాఫీ</v>
      </c>
      <c r="C4205" s="4" t="str">
        <f>IFERROR(__xludf.DUMMYFUNCTION("GOOGLETRANSLATE(A4205, ""en"", ""hi"")"),"कोथास क्लासिक ब्लेंड इंस्टेंट कॉफी")</f>
        <v>कोथास क्लासिक ब्लेंड इंस्टेंट कॉफी</v>
      </c>
      <c r="D4205" s="2" t="s">
        <v>7638</v>
      </c>
      <c r="E4205" s="2" t="s">
        <v>3927</v>
      </c>
      <c r="F4205" s="1">
        <v>8.0</v>
      </c>
      <c r="G4205" s="3" t="s">
        <v>600</v>
      </c>
    </row>
    <row r="4206">
      <c r="A4206" s="3" t="s">
        <v>9646</v>
      </c>
      <c r="B4206" s="4" t="str">
        <f>IFERROR(__xludf.DUMMYFUNCTION("GOOGLETRANSLATE(A4206, ""en"", ""te"")"),"గులాబ్ రోజ్ సిరప్")</f>
        <v>గులాబ్ రోజ్ సిరప్</v>
      </c>
      <c r="C4206" s="4" t="str">
        <f>IFERROR(__xludf.DUMMYFUNCTION("GOOGLETRANSLATE(A4206, ""en"", ""hi"")"),"गुलाब गुलाब सिरप")</f>
        <v>गुलाब गुलाब सिरप</v>
      </c>
      <c r="D4206" s="5"/>
      <c r="E4206" s="2" t="s">
        <v>946</v>
      </c>
      <c r="F4206" s="1">
        <v>8.0</v>
      </c>
      <c r="G4206" s="3" t="s">
        <v>600</v>
      </c>
    </row>
    <row r="4207">
      <c r="A4207" s="3" t="s">
        <v>9647</v>
      </c>
      <c r="B4207" s="4" t="str">
        <f>IFERROR(__xludf.DUMMYFUNCTION("GOOGLETRANSLATE(A4207, ""en"", ""te"")"),"కంప్లామ్")</f>
        <v>కంప్లామ్</v>
      </c>
      <c r="C4207" s="4" t="str">
        <f>IFERROR(__xludf.DUMMYFUNCTION("GOOGLETRANSLATE(A4207, ""en"", ""hi"")"),"कॉम्प्लाम")</f>
        <v>कॉम्प्लाम</v>
      </c>
      <c r="D4207" s="5"/>
      <c r="E4207" s="2" t="s">
        <v>2279</v>
      </c>
      <c r="F4207" s="1">
        <v>8.0</v>
      </c>
      <c r="G4207" s="3" t="s">
        <v>608</v>
      </c>
    </row>
    <row r="4208">
      <c r="A4208" s="3" t="s">
        <v>1346</v>
      </c>
      <c r="B4208" s="4" t="str">
        <f>IFERROR(__xludf.DUMMYFUNCTION("GOOGLETRANSLATE(A4208, ""en"", ""te"")"),"బూస్ట్")</f>
        <v>బూస్ట్</v>
      </c>
      <c r="C4208" s="4" t="str">
        <f>IFERROR(__xludf.DUMMYFUNCTION("GOOGLETRANSLATE(A4208, ""en"", ""hi"")"),"बढ़ाना")</f>
        <v>बढ़ाना</v>
      </c>
      <c r="D4208" s="5"/>
      <c r="E4208" s="2" t="s">
        <v>2279</v>
      </c>
      <c r="F4208" s="1">
        <v>8.0</v>
      </c>
      <c r="G4208" s="3" t="s">
        <v>608</v>
      </c>
    </row>
    <row r="4209">
      <c r="A4209" s="3" t="s">
        <v>9600</v>
      </c>
      <c r="B4209" s="4" t="str">
        <f>IFERROR(__xludf.DUMMYFUNCTION("GOOGLETRANSLATE(A4209, ""en"", ""te"")"),"హార్లిక్స్")</f>
        <v>హార్లిక్స్</v>
      </c>
      <c r="C4209" s="4" t="str">
        <f>IFERROR(__xludf.DUMMYFUNCTION("GOOGLETRANSLATE(A4209, ""en"", ""hi"")"),"हॉर्लिक्स")</f>
        <v>हॉर्लिक्स</v>
      </c>
      <c r="D4209" s="5"/>
      <c r="E4209" s="2" t="s">
        <v>2369</v>
      </c>
      <c r="F4209" s="1">
        <v>8.0</v>
      </c>
      <c r="G4209" s="3" t="s">
        <v>608</v>
      </c>
    </row>
    <row r="4210">
      <c r="A4210" s="3" t="s">
        <v>9648</v>
      </c>
      <c r="B4210" s="4" t="str">
        <f>IFERROR(__xludf.DUMMYFUNCTION("GOOGLETRANSLATE(A4210, ""en"", ""te"")"),"జై హనుమాన్ సంబ్రాణి కప్")</f>
        <v>జై హనుమాన్ సంబ్రాణి కప్</v>
      </c>
      <c r="C4210" s="4" t="str">
        <f>IFERROR(__xludf.DUMMYFUNCTION("GOOGLETRANSLATE(A4210, ""en"", ""hi"")"),"जय हनुमान संब्रानी कप")</f>
        <v>जय हनुमान संब्रानी कप</v>
      </c>
      <c r="D4210" s="2" t="s">
        <v>4472</v>
      </c>
      <c r="E4210" s="2" t="s">
        <v>442</v>
      </c>
      <c r="F4210" s="1">
        <v>8.0</v>
      </c>
      <c r="G4210" s="3" t="s">
        <v>608</v>
      </c>
    </row>
    <row r="4211">
      <c r="A4211" s="3" t="s">
        <v>9649</v>
      </c>
      <c r="B4211" s="4" t="str">
        <f>IFERROR(__xludf.DUMMYFUNCTION("GOOGLETRANSLATE(A4211, ""en"", ""te"")"),"దేవదర్శన్ అగరబత్తి")</f>
        <v>దేవదర్శన్ అగరబత్తి</v>
      </c>
      <c r="C4211" s="4" t="str">
        <f>IFERROR(__xludf.DUMMYFUNCTION("GOOGLETRANSLATE(A4211, ""en"", ""hi"")"),"देवदर्शन अगरबत्ती")</f>
        <v>देवदर्शन अगरबत्ती</v>
      </c>
      <c r="D4211" s="5"/>
      <c r="E4211" s="2" t="s">
        <v>8914</v>
      </c>
      <c r="F4211" s="1">
        <v>8.0</v>
      </c>
      <c r="G4211" s="3" t="s">
        <v>608</v>
      </c>
    </row>
    <row r="4212">
      <c r="A4212" s="3" t="s">
        <v>9650</v>
      </c>
      <c r="B4212" s="4" t="str">
        <f>IFERROR(__xludf.DUMMYFUNCTION("GOOGLETRANSLATE(A4212, ""en"", ""te"")"),"తాటి బెల్లం")</f>
        <v>తాటి బెల్లం</v>
      </c>
      <c r="C4212" s="4" t="str">
        <f>IFERROR(__xludf.DUMMYFUNCTION("GOOGLETRANSLATE(A4212, ""en"", ""hi"")"),"पाम शुगर")</f>
        <v>पाम शुगर</v>
      </c>
      <c r="D4212" s="2" t="s">
        <v>9651</v>
      </c>
      <c r="E4212" s="2" t="s">
        <v>4407</v>
      </c>
      <c r="F4212" s="1">
        <v>8.0</v>
      </c>
      <c r="G4212" s="3" t="s">
        <v>740</v>
      </c>
    </row>
    <row r="4213">
      <c r="A4213" s="3" t="s">
        <v>9652</v>
      </c>
      <c r="B4213" s="4" t="str">
        <f>IFERROR(__xludf.DUMMYFUNCTION("GOOGLETRANSLATE(A4213, ""en"", ""te"")"),"సైకిల్ పూజ నూనె")</f>
        <v>సైకిల్ పూజ నూనె</v>
      </c>
      <c r="C4213" s="4" t="str">
        <f>IFERROR(__xludf.DUMMYFUNCTION("GOOGLETRANSLATE(A4213, ""en"", ""hi"")"),"साइकिल पूजा तेल")</f>
        <v>साइकिल पूजा तेल</v>
      </c>
      <c r="D4213" s="2" t="s">
        <v>62</v>
      </c>
      <c r="E4213" s="2" t="s">
        <v>54</v>
      </c>
      <c r="F4213" s="1">
        <v>8.0</v>
      </c>
      <c r="G4213" s="3" t="s">
        <v>806</v>
      </c>
    </row>
    <row r="4214">
      <c r="A4214" s="3" t="s">
        <v>9653</v>
      </c>
      <c r="B4214" s="4" t="str">
        <f>IFERROR(__xludf.DUMMYFUNCTION("GOOGLETRANSLATE(A4214, ""en"", ""te"")"),"సైకిల్ లార్డ్ శివ అగరబత్తులు")</f>
        <v>సైకిల్ లార్డ్ శివ అగరబత్తులు</v>
      </c>
      <c r="C4214" s="4" t="str">
        <f>IFERROR(__xludf.DUMMYFUNCTION("GOOGLETRANSLATE(A4214, ""en"", ""hi"")"),"साइकिल भगवान शिव अगरबत्ती")</f>
        <v>साइकिल भगवान शिव अगरबत्ती</v>
      </c>
      <c r="D4214" s="5"/>
      <c r="E4214" s="2" t="s">
        <v>8914</v>
      </c>
      <c r="F4214" s="1">
        <v>8.0</v>
      </c>
      <c r="G4214" s="3" t="s">
        <v>837</v>
      </c>
    </row>
    <row r="4215">
      <c r="A4215" s="3" t="s">
        <v>9654</v>
      </c>
      <c r="B4215" s="4" t="str">
        <f>IFERROR(__xludf.DUMMYFUNCTION("GOOGLETRANSLATE(A4215, ""en"", ""te"")"),"సైకిల్ వెనిలా అగరబత్తీలు")</f>
        <v>సైకిల్ వెనిలా అగరబత్తీలు</v>
      </c>
      <c r="C4215" s="4" t="str">
        <f>IFERROR(__xludf.DUMMYFUNCTION("GOOGLETRANSLATE(A4215, ""en"", ""hi"")"),"साइकल वैनिला अगरबत्ती")</f>
        <v>साइकल वैनिला अगरबत्ती</v>
      </c>
      <c r="D4215" s="2" t="s">
        <v>9655</v>
      </c>
      <c r="E4215" s="2" t="s">
        <v>442</v>
      </c>
      <c r="F4215" s="1">
        <v>8.0</v>
      </c>
      <c r="G4215" s="3" t="s">
        <v>837</v>
      </c>
    </row>
    <row r="4216">
      <c r="A4216" s="3" t="s">
        <v>9656</v>
      </c>
      <c r="B4216" s="4" t="str">
        <f>IFERROR(__xludf.DUMMYFUNCTION("GOOGLETRANSLATE(A4216, ""en"", ""te"")"),"సైకిల్ చంపా అగరబత్తీలు")</f>
        <v>సైకిల్ చంపా అగరబత్తీలు</v>
      </c>
      <c r="C4216" s="4" t="str">
        <f>IFERROR(__xludf.DUMMYFUNCTION("GOOGLETRANSLATE(A4216, ""en"", ""hi"")"),"साइकिल चंपा अगरबत्ती")</f>
        <v>साइकिल चंपा अगरबत्ती</v>
      </c>
      <c r="D4216" s="2" t="s">
        <v>9655</v>
      </c>
      <c r="E4216" s="2" t="s">
        <v>442</v>
      </c>
      <c r="F4216" s="1">
        <v>8.0</v>
      </c>
      <c r="G4216" s="3" t="s">
        <v>44</v>
      </c>
    </row>
    <row r="4217">
      <c r="A4217" s="3" t="s">
        <v>9657</v>
      </c>
      <c r="B4217" s="4" t="str">
        <f>IFERROR(__xludf.DUMMYFUNCTION("GOOGLETRANSLATE(A4217, ""en"", ""te"")"),"సైకిల్ చందన్ అగరబత్తీలు")</f>
        <v>సైకిల్ చందన్ అగరబత్తీలు</v>
      </c>
      <c r="C4217" s="4" t="str">
        <f>IFERROR(__xludf.DUMMYFUNCTION("GOOGLETRANSLATE(A4217, ""en"", ""hi"")"),"साइकिल चंदन अगरबत्ती")</f>
        <v>साइकिल चंदन अगरबत्ती</v>
      </c>
      <c r="D4217" s="2" t="s">
        <v>9655</v>
      </c>
      <c r="E4217" s="2" t="s">
        <v>442</v>
      </c>
      <c r="F4217" s="1">
        <v>8.0</v>
      </c>
      <c r="G4217" s="3" t="s">
        <v>44</v>
      </c>
    </row>
    <row r="4218">
      <c r="A4218" s="3" t="s">
        <v>9658</v>
      </c>
      <c r="B4218" s="4" t="str">
        <f>IFERROR(__xludf.DUMMYFUNCTION("GOOGLETRANSLATE(A4218, ""en"", ""te"")"),"సైకిల్ జాస్మిన్ అగరబత్తీలు")</f>
        <v>సైకిల్ జాస్మిన్ అగరబత్తీలు</v>
      </c>
      <c r="C4218" s="4" t="str">
        <f>IFERROR(__xludf.DUMMYFUNCTION("GOOGLETRANSLATE(A4218, ""en"", ""hi"")"),"साइकिल जैस्मीन अगरबत्ती")</f>
        <v>साइकिल जैस्मीन अगरबत्ती</v>
      </c>
      <c r="D4218" s="5"/>
      <c r="E4218" s="2" t="s">
        <v>442</v>
      </c>
      <c r="F4218" s="1">
        <v>8.0</v>
      </c>
      <c r="G4218" s="3" t="s">
        <v>44</v>
      </c>
    </row>
    <row r="4219">
      <c r="A4219" s="3" t="s">
        <v>9659</v>
      </c>
      <c r="B4219" s="4" t="str">
        <f>IFERROR(__xludf.DUMMYFUNCTION("GOOGLETRANSLATE(A4219, ""en"", ""te"")"),"సైకిల్ ఆల్ ఇన్ వన్ అగరబత్తీలు")</f>
        <v>సైకిల్ ఆల్ ఇన్ వన్ అగరబత్తీలు</v>
      </c>
      <c r="C4219" s="4" t="str">
        <f>IFERROR(__xludf.DUMMYFUNCTION("GOOGLETRANSLATE(A4219, ""en"", ""hi"")"),"साइकल ऑल इन वन अगरबत्ती")</f>
        <v>साइकल ऑल इन वन अगरबत्ती</v>
      </c>
      <c r="D4219" s="2" t="s">
        <v>9655</v>
      </c>
      <c r="E4219" s="2" t="s">
        <v>442</v>
      </c>
      <c r="F4219" s="1">
        <v>8.0</v>
      </c>
      <c r="G4219" s="3" t="s">
        <v>44</v>
      </c>
    </row>
    <row r="4220">
      <c r="A4220" s="3" t="s">
        <v>9654</v>
      </c>
      <c r="B4220" s="4" t="str">
        <f>IFERROR(__xludf.DUMMYFUNCTION("GOOGLETRANSLATE(A4220, ""en"", ""te"")"),"సైకిల్ వెనిలా అగరబత్తీలు")</f>
        <v>సైకిల్ వెనిలా అగరబత్తీలు</v>
      </c>
      <c r="C4220" s="4" t="str">
        <f>IFERROR(__xludf.DUMMYFUNCTION("GOOGLETRANSLATE(A4220, ""en"", ""hi"")"),"साइकल वैनिला अगरबत्ती")</f>
        <v>साइकल वैनिला अगरबत्ती</v>
      </c>
      <c r="D4220" s="2" t="s">
        <v>9655</v>
      </c>
      <c r="E4220" s="2" t="s">
        <v>442</v>
      </c>
      <c r="F4220" s="1">
        <v>8.0</v>
      </c>
      <c r="G4220" s="3" t="s">
        <v>44</v>
      </c>
    </row>
    <row r="4221">
      <c r="A4221" s="3" t="s">
        <v>9660</v>
      </c>
      <c r="B4221" s="4" t="str">
        <f>IFERROR(__xludf.DUMMYFUNCTION("GOOGLETRANSLATE(A4221, ""en"", ""te"")"),"సైకిల్ శ్రీకృష్ణుడు అగరబత్తులు")</f>
        <v>సైకిల్ శ్రీకృష్ణుడు అగరబత్తులు</v>
      </c>
      <c r="C4221" s="4" t="str">
        <f>IFERROR(__xludf.DUMMYFUNCTION("GOOGLETRANSLATE(A4221, ""en"", ""hi"")"),"साइकिल भगवान कृष्ण अगरबत्ती")</f>
        <v>साइकिल भगवान कृष्ण अगरबत्ती</v>
      </c>
      <c r="D4221" s="5"/>
      <c r="E4221" s="2" t="s">
        <v>8914</v>
      </c>
      <c r="F4221" s="1">
        <v>8.0</v>
      </c>
      <c r="G4221" s="3" t="s">
        <v>44</v>
      </c>
    </row>
    <row r="4222">
      <c r="A4222" s="3" t="s">
        <v>9661</v>
      </c>
      <c r="B4222" s="4" t="str">
        <f>IFERROR(__xludf.DUMMYFUNCTION("GOOGLETRANSLATE(A4222, ""en"", ""te"")"),"సైకిల్ సరస్వతి అగరబత్తులు")</f>
        <v>సైకిల్ సరస్వతి అగరబత్తులు</v>
      </c>
      <c r="C4222" s="4" t="str">
        <f>IFERROR(__xludf.DUMMYFUNCTION("GOOGLETRANSLATE(A4222, ""en"", ""hi"")"),"साइकिल सरस्वती अगरबत्ती")</f>
        <v>साइकिल सरस्वती अगरबत्ती</v>
      </c>
      <c r="D4222" s="2" t="s">
        <v>2581</v>
      </c>
      <c r="E4222" s="2" t="s">
        <v>8914</v>
      </c>
      <c r="F4222" s="1">
        <v>8.0</v>
      </c>
      <c r="G4222" s="3" t="s">
        <v>44</v>
      </c>
    </row>
    <row r="4223">
      <c r="A4223" s="3" t="s">
        <v>9662</v>
      </c>
      <c r="B4223" s="4" t="str">
        <f>IFERROR(__xludf.DUMMYFUNCTION("GOOGLETRANSLATE(A4223, ""en"", ""te"")"),"సైకిల్ గులాబ్ అగరబత్తీలు")</f>
        <v>సైకిల్ గులాబ్ అగరబత్తీలు</v>
      </c>
      <c r="C4223" s="4" t="str">
        <f>IFERROR(__xludf.DUMMYFUNCTION("GOOGLETRANSLATE(A4223, ""en"", ""hi"")"),"साइकिल गुलाब अगरबत्ती")</f>
        <v>साइकिल गुलाब अगरबत्ती</v>
      </c>
      <c r="D4223" s="2" t="s">
        <v>2581</v>
      </c>
      <c r="E4223" s="2" t="s">
        <v>8914</v>
      </c>
      <c r="F4223" s="1">
        <v>8.0</v>
      </c>
      <c r="G4223" s="3" t="s">
        <v>44</v>
      </c>
    </row>
    <row r="4224">
      <c r="A4224" s="3" t="s">
        <v>9659</v>
      </c>
      <c r="B4224" s="4" t="str">
        <f>IFERROR(__xludf.DUMMYFUNCTION("GOOGLETRANSLATE(A4224, ""en"", ""te"")"),"సైకిల్ ఆల్ ఇన్ వన్ అగరబత్తీలు")</f>
        <v>సైకిల్ ఆల్ ఇన్ వన్ అగరబత్తీలు</v>
      </c>
      <c r="C4224" s="4" t="str">
        <f>IFERROR(__xludf.DUMMYFUNCTION("GOOGLETRANSLATE(A4224, ""en"", ""hi"")"),"साइकल ऑल इन वन अगरबत्ती")</f>
        <v>साइकल ऑल इन वन अगरबत्ती</v>
      </c>
      <c r="D4224" s="2" t="s">
        <v>9655</v>
      </c>
      <c r="E4224" s="2" t="s">
        <v>442</v>
      </c>
      <c r="F4224" s="1">
        <v>8.0</v>
      </c>
      <c r="G4224" s="3" t="s">
        <v>8250</v>
      </c>
    </row>
    <row r="4225">
      <c r="A4225" s="3" t="s">
        <v>9663</v>
      </c>
      <c r="B4225" s="4" t="str">
        <f>IFERROR(__xludf.DUMMYFUNCTION("GOOGLETRANSLATE(A4225, ""en"", ""te"")"),"సైకిల్ గంధపు చెక్క అగరబత్తులు")</f>
        <v>సైకిల్ గంధపు చెక్క అగరబత్తులు</v>
      </c>
      <c r="C4225" s="4" t="str">
        <f>IFERROR(__xludf.DUMMYFUNCTION("GOOGLETRANSLATE(A4225, ""en"", ""hi"")"),"साइकिल चंदन अगरबत्ती")</f>
        <v>साइकिल चंदन अगरबत्ती</v>
      </c>
      <c r="D4225" s="2" t="s">
        <v>2581</v>
      </c>
      <c r="E4225" s="2" t="s">
        <v>8914</v>
      </c>
      <c r="F4225" s="1">
        <v>8.0</v>
      </c>
      <c r="G4225" s="3" t="s">
        <v>49</v>
      </c>
    </row>
    <row r="4226">
      <c r="A4226" s="3" t="s">
        <v>9664</v>
      </c>
      <c r="B4226" s="4" t="str">
        <f>IFERROR(__xludf.DUMMYFUNCTION("GOOGLETRANSLATE(A4226, ""en"", ""te"")"),"గోపురం పాల్ సంబిరాని")</f>
        <v>గోపురం పాల్ సంబిరాని</v>
      </c>
      <c r="C4226" s="4" t="str">
        <f>IFERROR(__xludf.DUMMYFUNCTION("GOOGLETRANSLATE(A4226, ""en"", ""hi"")"),"गोपुरम पाल संबिरानी")</f>
        <v>गोपुरम पाल संबिरानी</v>
      </c>
      <c r="D4226" s="5"/>
      <c r="E4226" s="2" t="s">
        <v>1294</v>
      </c>
      <c r="F4226" s="1">
        <v>8.0</v>
      </c>
      <c r="G4226" s="3" t="s">
        <v>49</v>
      </c>
    </row>
    <row r="4227">
      <c r="A4227" s="3" t="s">
        <v>9665</v>
      </c>
      <c r="B4227" s="4" t="str">
        <f>IFERROR(__xludf.DUMMYFUNCTION("GOOGLETRANSLATE(A4227, ""en"", ""te"")"),"దేవదర్శన్ సంబిరాని కప్")</f>
        <v>దేవదర్శన్ సంబిరాని కప్</v>
      </c>
      <c r="C4227" s="4" t="str">
        <f>IFERROR(__xludf.DUMMYFUNCTION("GOOGLETRANSLATE(A4227, ""en"", ""hi"")"),"देवदर्शन सांबिरानी कप")</f>
        <v>देवदर्शन सांबिरानी कप</v>
      </c>
      <c r="D4227" s="2" t="s">
        <v>9666</v>
      </c>
      <c r="E4227" s="2" t="s">
        <v>1294</v>
      </c>
      <c r="F4227" s="1">
        <v>8.0</v>
      </c>
      <c r="G4227" s="3" t="s">
        <v>49</v>
      </c>
    </row>
    <row r="4228">
      <c r="A4228" s="3" t="s">
        <v>9648</v>
      </c>
      <c r="B4228" s="4" t="str">
        <f>IFERROR(__xludf.DUMMYFUNCTION("GOOGLETRANSLATE(A4228, ""en"", ""te"")"),"జై హనుమాన్ సంబ్రాణి కప్")</f>
        <v>జై హనుమాన్ సంబ్రాణి కప్</v>
      </c>
      <c r="C4228" s="4" t="str">
        <f>IFERROR(__xludf.DUMMYFUNCTION("GOOGLETRANSLATE(A4228, ""en"", ""hi"")"),"जय हनुमान संब्रानी कप")</f>
        <v>जय हनुमान संब्रानी कप</v>
      </c>
      <c r="D4228" s="2" t="s">
        <v>4472</v>
      </c>
      <c r="E4228" s="2" t="s">
        <v>442</v>
      </c>
      <c r="F4228" s="1">
        <v>8.0</v>
      </c>
      <c r="G4228" s="3" t="s">
        <v>49</v>
      </c>
    </row>
    <row r="4229">
      <c r="A4229" s="3" t="s">
        <v>9635</v>
      </c>
      <c r="B4229" s="4" t="str">
        <f>IFERROR(__xludf.DUMMYFUNCTION("GOOGLETRANSLATE(A4229, ""en"", ""te"")"),"వాఘ్ బక్రీ ప్రీమియం లీఫ్ టీ")</f>
        <v>వాఘ్ బక్రీ ప్రీమియం లీఫ్ టీ</v>
      </c>
      <c r="C4229" s="4" t="str">
        <f>IFERROR(__xludf.DUMMYFUNCTION("GOOGLETRANSLATE(A4229, ""en"", ""hi"")"),"वाघ बकरी प्रीमियम लीफ टी")</f>
        <v>वाघ बकरी प्रीमियम लीफ टी</v>
      </c>
      <c r="D4229" s="5"/>
      <c r="E4229" s="2" t="s">
        <v>3927</v>
      </c>
      <c r="F4229" s="1">
        <v>8.0</v>
      </c>
      <c r="G4229" s="3" t="s">
        <v>55</v>
      </c>
    </row>
    <row r="4230">
      <c r="A4230" s="3" t="s">
        <v>9652</v>
      </c>
      <c r="B4230" s="4" t="str">
        <f>IFERROR(__xludf.DUMMYFUNCTION("GOOGLETRANSLATE(A4230, ""en"", ""te"")"),"సైకిల్ పూజ నూనె")</f>
        <v>సైకిల్ పూజ నూనె</v>
      </c>
      <c r="C4230" s="4" t="str">
        <f>IFERROR(__xludf.DUMMYFUNCTION("GOOGLETRANSLATE(A4230, ""en"", ""hi"")"),"साइकिल पूजा तेल")</f>
        <v>साइकिल पूजा तेल</v>
      </c>
      <c r="D4230" s="2" t="s">
        <v>62</v>
      </c>
      <c r="E4230" s="2" t="s">
        <v>54</v>
      </c>
      <c r="F4230" s="1">
        <v>8.0</v>
      </c>
      <c r="G4230" s="3" t="s">
        <v>57</v>
      </c>
    </row>
    <row r="4231">
      <c r="A4231" s="3" t="s">
        <v>9658</v>
      </c>
      <c r="B4231" s="4" t="str">
        <f>IFERROR(__xludf.DUMMYFUNCTION("GOOGLETRANSLATE(A4231, ""en"", ""te"")"),"సైకిల్ జాస్మిన్ అగరబత్తీలు")</f>
        <v>సైకిల్ జాస్మిన్ అగరబత్తీలు</v>
      </c>
      <c r="C4231" s="4" t="str">
        <f>IFERROR(__xludf.DUMMYFUNCTION("GOOGLETRANSLATE(A4231, ""en"", ""hi"")"),"साइकिल जैस्मीन अगरबत्ती")</f>
        <v>साइकिल जैस्मीन अगरबत्ती</v>
      </c>
      <c r="D4231" s="5"/>
      <c r="E4231" s="2" t="s">
        <v>442</v>
      </c>
      <c r="F4231" s="1">
        <v>8.0</v>
      </c>
      <c r="G4231" s="3" t="s">
        <v>63</v>
      </c>
    </row>
    <row r="4232">
      <c r="A4232" s="3" t="s">
        <v>9667</v>
      </c>
      <c r="B4232" s="4" t="str">
        <f>IFERROR(__xludf.DUMMYFUNCTION("GOOGLETRANSLATE(A4232, ""en"", ""te"")"),"సైకిల్ త్రీ ఇన్ వన్ అగరబత్తీలు")</f>
        <v>సైకిల్ త్రీ ఇన్ వన్ అగరబత్తీలు</v>
      </c>
      <c r="C4232" s="4" t="str">
        <f>IFERROR(__xludf.DUMMYFUNCTION("GOOGLETRANSLATE(A4232, ""en"", ""hi"")"),"साइकिल थ्री इन वन अगरबत्ती")</f>
        <v>साइकिल थ्री इन वन अगरबत्ती</v>
      </c>
      <c r="D4232" s="2" t="s">
        <v>2581</v>
      </c>
      <c r="E4232" s="2" t="s">
        <v>442</v>
      </c>
      <c r="F4232" s="1">
        <v>8.0</v>
      </c>
      <c r="G4232" s="3" t="s">
        <v>63</v>
      </c>
    </row>
    <row r="4233">
      <c r="A4233" s="3" t="s">
        <v>9668</v>
      </c>
      <c r="B4233" s="4" t="str">
        <f>IFERROR(__xludf.DUMMYFUNCTION("GOOGLETRANSLATE(A4233, ""en"", ""te"")"),"సైకిల్ రోజ్ అగరబత్తీలు")</f>
        <v>సైకిల్ రోజ్ అగరబత్తీలు</v>
      </c>
      <c r="C4233" s="4" t="str">
        <f>IFERROR(__xludf.DUMMYFUNCTION("GOOGLETRANSLATE(A4233, ""en"", ""hi"")"),"साइकिल रोज़ अगरबत्ती")</f>
        <v>साइकिल रोज़ अगरबत्ती</v>
      </c>
      <c r="D4233" s="2" t="s">
        <v>7013</v>
      </c>
      <c r="E4233" s="2" t="s">
        <v>442</v>
      </c>
      <c r="F4233" s="1">
        <v>8.0</v>
      </c>
      <c r="G4233" s="3" t="s">
        <v>68</v>
      </c>
    </row>
    <row r="4234">
      <c r="A4234" s="3" t="s">
        <v>9656</v>
      </c>
      <c r="B4234" s="4" t="str">
        <f>IFERROR(__xludf.DUMMYFUNCTION("GOOGLETRANSLATE(A4234, ""en"", ""te"")"),"సైకిల్ చంపా అగరబత్తీలు")</f>
        <v>సైకిల్ చంపా అగరబత్తీలు</v>
      </c>
      <c r="C4234" s="4" t="str">
        <f>IFERROR(__xludf.DUMMYFUNCTION("GOOGLETRANSLATE(A4234, ""en"", ""hi"")"),"साइकिल चंपा अगरबत्ती")</f>
        <v>साइकिल चंपा अगरबत्ती</v>
      </c>
      <c r="D4234" s="2" t="s">
        <v>9655</v>
      </c>
      <c r="E4234" s="2" t="s">
        <v>442</v>
      </c>
      <c r="F4234" s="1">
        <v>8.0</v>
      </c>
      <c r="G4234" s="3" t="s">
        <v>68</v>
      </c>
    </row>
    <row r="4235">
      <c r="A4235" s="3" t="s">
        <v>9657</v>
      </c>
      <c r="B4235" s="4" t="str">
        <f>IFERROR(__xludf.DUMMYFUNCTION("GOOGLETRANSLATE(A4235, ""en"", ""te"")"),"సైకిల్ చందన్ అగరబత్తీలు")</f>
        <v>సైకిల్ చందన్ అగరబత్తీలు</v>
      </c>
      <c r="C4235" s="4" t="str">
        <f>IFERROR(__xludf.DUMMYFUNCTION("GOOGLETRANSLATE(A4235, ""en"", ""hi"")"),"साइकिल चंदन अगरबत्ती")</f>
        <v>साइकिल चंदन अगरबत्ती</v>
      </c>
      <c r="D4235" s="2" t="s">
        <v>9655</v>
      </c>
      <c r="E4235" s="2" t="s">
        <v>442</v>
      </c>
      <c r="F4235" s="1">
        <v>8.0</v>
      </c>
      <c r="G4235" s="3" t="s">
        <v>68</v>
      </c>
    </row>
    <row r="4236">
      <c r="A4236" s="3" t="s">
        <v>9658</v>
      </c>
      <c r="B4236" s="4" t="str">
        <f>IFERROR(__xludf.DUMMYFUNCTION("GOOGLETRANSLATE(A4236, ""en"", ""te"")"),"సైకిల్ జాస్మిన్ అగరబత్తీలు")</f>
        <v>సైకిల్ జాస్మిన్ అగరబత్తీలు</v>
      </c>
      <c r="C4236" s="4" t="str">
        <f>IFERROR(__xludf.DUMMYFUNCTION("GOOGLETRANSLATE(A4236, ""en"", ""hi"")"),"साइकिल जैस्मीन अगरबत्ती")</f>
        <v>साइकिल जैस्मीन अगरबत्ती</v>
      </c>
      <c r="D4236" s="5"/>
      <c r="E4236" s="2" t="s">
        <v>442</v>
      </c>
      <c r="F4236" s="1">
        <v>8.0</v>
      </c>
      <c r="G4236" s="3" t="s">
        <v>68</v>
      </c>
    </row>
    <row r="4237">
      <c r="A4237" s="3" t="s">
        <v>9635</v>
      </c>
      <c r="B4237" s="4" t="str">
        <f>IFERROR(__xludf.DUMMYFUNCTION("GOOGLETRANSLATE(A4237, ""en"", ""te"")"),"వాఘ్ బక్రీ ప్రీమియం లీఫ్ టీ")</f>
        <v>వాఘ్ బక్రీ ప్రీమియం లీఫ్ టీ</v>
      </c>
      <c r="C4237" s="4" t="str">
        <f>IFERROR(__xludf.DUMMYFUNCTION("GOOGLETRANSLATE(A4237, ""en"", ""hi"")"),"वाघ बकरी प्रीमियम लीफ टी")</f>
        <v>वाघ बकरी प्रीमियम लीफ टी</v>
      </c>
      <c r="D4237" s="5"/>
      <c r="E4237" s="2" t="s">
        <v>3927</v>
      </c>
      <c r="F4237" s="1">
        <v>8.0</v>
      </c>
      <c r="G4237" s="3" t="s">
        <v>8250</v>
      </c>
    </row>
    <row r="4238">
      <c r="A4238" s="3" t="s">
        <v>9669</v>
      </c>
      <c r="B4238" s="4" t="str">
        <f>IFERROR(__xludf.DUMMYFUNCTION("GOOGLETRANSLATE(A4238, ""en"", ""te"")"),"సైకిల్ 3 ఇన్ 1 అగరబత్తీలు")</f>
        <v>సైకిల్ 3 ఇన్ 1 అగరబత్తీలు</v>
      </c>
      <c r="C4238" s="4" t="str">
        <f>IFERROR(__xludf.DUMMYFUNCTION("GOOGLETRANSLATE(A4238, ""en"", ""hi"")"),"साइकल 3 इन 1 अगरबत्ती")</f>
        <v>साइकल 3 इन 1 अगरबत्ती</v>
      </c>
      <c r="D4238" s="2" t="s">
        <v>2581</v>
      </c>
      <c r="E4238" s="2" t="s">
        <v>442</v>
      </c>
      <c r="F4238" s="1">
        <v>8.0</v>
      </c>
      <c r="G4238" s="3" t="s">
        <v>8250</v>
      </c>
    </row>
    <row r="4239">
      <c r="A4239" s="3" t="s">
        <v>9635</v>
      </c>
      <c r="B4239" s="4" t="str">
        <f>IFERROR(__xludf.DUMMYFUNCTION("GOOGLETRANSLATE(A4239, ""en"", ""te"")"),"వాఘ్ బక్రీ ప్రీమియం లీఫ్ టీ")</f>
        <v>వాఘ్ బక్రీ ప్రీమియం లీఫ్ టీ</v>
      </c>
      <c r="C4239" s="4" t="str">
        <f>IFERROR(__xludf.DUMMYFUNCTION("GOOGLETRANSLATE(A4239, ""en"", ""hi"")"),"वाघ बकरी प्रीमियम लीफ टी")</f>
        <v>वाघ बकरी प्रीमियम लीफ टी</v>
      </c>
      <c r="D4239" s="5"/>
      <c r="E4239" s="2" t="s">
        <v>3927</v>
      </c>
      <c r="F4239" s="1">
        <v>8.0</v>
      </c>
      <c r="G4239" s="3" t="s">
        <v>2190</v>
      </c>
    </row>
    <row r="4240">
      <c r="A4240" s="3" t="s">
        <v>9670</v>
      </c>
      <c r="B4240" s="4" t="str">
        <f>IFERROR(__xludf.DUMMYFUNCTION("GOOGLETRANSLATE(A4240, ""en"", ""te"")"),"దివ్య దీపం నూనె")</f>
        <v>దివ్య దీపం నూనె</v>
      </c>
      <c r="C4240" s="4" t="str">
        <f>IFERROR(__xludf.DUMMYFUNCTION("GOOGLETRANSLATE(A4240, ""en"", ""hi"")"),"दिव्य दीपम दीपक का तेल")</f>
        <v>दिव्य दीपम दीपक का तेल</v>
      </c>
      <c r="D4240" s="5"/>
      <c r="E4240" s="2" t="s">
        <v>54</v>
      </c>
      <c r="F4240" s="1">
        <v>8.0</v>
      </c>
      <c r="G4240" s="3" t="s">
        <v>57</v>
      </c>
    </row>
    <row r="4241">
      <c r="A4241" s="3" t="s">
        <v>9671</v>
      </c>
      <c r="B4241" s="4" t="str">
        <f>IFERROR(__xludf.DUMMYFUNCTION("GOOGLETRANSLATE(A4241, ""en"", ""te"")"),"గోపురం దీపం నూనె")</f>
        <v>గోపురం దీపం నూనె</v>
      </c>
      <c r="C4241" s="4" t="str">
        <f>IFERROR(__xludf.DUMMYFUNCTION("GOOGLETRANSLATE(A4241, ""en"", ""hi"")"),"गोपुरम दीपक का तेल")</f>
        <v>गोपुरम दीपक का तेल</v>
      </c>
      <c r="D4241" s="5"/>
      <c r="E4241" s="2" t="s">
        <v>54</v>
      </c>
      <c r="F4241" s="1">
        <v>8.0</v>
      </c>
      <c r="G4241" s="3" t="s">
        <v>57</v>
      </c>
    </row>
    <row r="4242">
      <c r="A4242" s="3" t="s">
        <v>9672</v>
      </c>
      <c r="B4242" s="4" t="str">
        <f>IFERROR(__xludf.DUMMYFUNCTION("GOOGLETRANSLATE(A4242, ""en"", ""te"")"),"స్వచ్ఛమైన పూజా నూనె")</f>
        <v>స్వచ్ఛమైన పూజా నూనె</v>
      </c>
      <c r="C4242" s="4" t="str">
        <f>IFERROR(__xludf.DUMMYFUNCTION("GOOGLETRANSLATE(A4242, ""en"", ""hi"")"),"शुद्ध पूजा तेल")</f>
        <v>शुद्ध पूजा तेल</v>
      </c>
      <c r="D4242" s="5"/>
      <c r="E4242" s="2" t="s">
        <v>54</v>
      </c>
      <c r="F4242" s="1">
        <v>8.0</v>
      </c>
      <c r="G4242" s="3" t="s">
        <v>57</v>
      </c>
    </row>
    <row r="4243">
      <c r="A4243" s="3" t="s">
        <v>9668</v>
      </c>
      <c r="B4243" s="4" t="str">
        <f>IFERROR(__xludf.DUMMYFUNCTION("GOOGLETRANSLATE(A4243, ""en"", ""te"")"),"సైకిల్ రోజ్ అగరబత్తీలు")</f>
        <v>సైకిల్ రోజ్ అగరబత్తీలు</v>
      </c>
      <c r="C4243" s="4" t="str">
        <f>IFERROR(__xludf.DUMMYFUNCTION("GOOGLETRANSLATE(A4243, ""en"", ""hi"")"),"साइकिल रोज़ अगरबत्ती")</f>
        <v>साइकिल रोज़ अगरबत्ती</v>
      </c>
      <c r="D4243" s="2" t="s">
        <v>7013</v>
      </c>
      <c r="E4243" s="2" t="s">
        <v>442</v>
      </c>
      <c r="F4243" s="1">
        <v>8.0</v>
      </c>
      <c r="G4243" s="3" t="s">
        <v>63</v>
      </c>
    </row>
    <row r="4244">
      <c r="A4244" s="3" t="s">
        <v>9669</v>
      </c>
      <c r="B4244" s="4" t="str">
        <f>IFERROR(__xludf.DUMMYFUNCTION("GOOGLETRANSLATE(A4244, ""en"", ""te"")"),"సైకిల్ 3 ఇన్ 1 అగరబత్తీలు")</f>
        <v>సైకిల్ 3 ఇన్ 1 అగరబత్తీలు</v>
      </c>
      <c r="C4244" s="4" t="str">
        <f>IFERROR(__xludf.DUMMYFUNCTION("GOOGLETRANSLATE(A4244, ""en"", ""hi"")"),"साइकल 3 इन 1 अगरबत्ती")</f>
        <v>साइकल 3 इन 1 अगरबत्ती</v>
      </c>
      <c r="D4244" s="2" t="s">
        <v>2581</v>
      </c>
      <c r="E4244" s="2" t="s">
        <v>442</v>
      </c>
      <c r="F4244" s="1">
        <v>8.0</v>
      </c>
      <c r="G4244" s="3" t="s">
        <v>63</v>
      </c>
    </row>
    <row r="4245">
      <c r="A4245" s="3" t="s">
        <v>9673</v>
      </c>
      <c r="B4245" s="4" t="str">
        <f>IFERROR(__xludf.DUMMYFUNCTION("GOOGLETRANSLATE(A4245, ""en"", ""te"")"),"సైకిల్ లావెండర్ అగరబత్తీలు")</f>
        <v>సైకిల్ లావెండర్ అగరబత్తీలు</v>
      </c>
      <c r="C4245" s="4" t="str">
        <f>IFERROR(__xludf.DUMMYFUNCTION("GOOGLETRANSLATE(A4245, ""en"", ""hi"")"),"साइकिल लैवेंडर अगरबत्ती")</f>
        <v>साइकिल लैवेंडर अगरबत्ती</v>
      </c>
      <c r="D4245" s="5"/>
      <c r="E4245" s="2" t="s">
        <v>8914</v>
      </c>
      <c r="F4245" s="1">
        <v>8.0</v>
      </c>
      <c r="G4245" s="3" t="s">
        <v>68</v>
      </c>
    </row>
    <row r="4246">
      <c r="A4246" s="3" t="s">
        <v>9663</v>
      </c>
      <c r="B4246" s="4" t="str">
        <f>IFERROR(__xludf.DUMMYFUNCTION("GOOGLETRANSLATE(A4246, ""en"", ""te"")"),"సైకిల్ గంధపు చెక్క అగరబత్తులు")</f>
        <v>సైకిల్ గంధపు చెక్క అగరబత్తులు</v>
      </c>
      <c r="C4246" s="4" t="str">
        <f>IFERROR(__xludf.DUMMYFUNCTION("GOOGLETRANSLATE(A4246, ""en"", ""hi"")"),"साइकिल चंदन अगरबत्ती")</f>
        <v>साइकिल चंदन अगरबत्ती</v>
      </c>
      <c r="D4246" s="2" t="s">
        <v>2581</v>
      </c>
      <c r="E4246" s="2" t="s">
        <v>8914</v>
      </c>
      <c r="F4246" s="1">
        <v>8.0</v>
      </c>
      <c r="G4246" s="3" t="s">
        <v>8250</v>
      </c>
    </row>
    <row r="4247">
      <c r="A4247" s="3" t="s">
        <v>9674</v>
      </c>
      <c r="B4247" s="4" t="str">
        <f>IFERROR(__xludf.DUMMYFUNCTION("GOOGLETRANSLATE(A4247, ""en"", ""te"")"),"దైవిక దీప తైలం")</f>
        <v>దైవిక దీప తైలం</v>
      </c>
      <c r="C4247" s="4" t="str">
        <f>IFERROR(__xludf.DUMMYFUNCTION("GOOGLETRANSLATE(A4247, ""en"", ""hi"")"),"दिव्य दीपक का तेल")</f>
        <v>दिव्य दीपक का तेल</v>
      </c>
      <c r="D4247" s="5"/>
      <c r="E4247" s="2" t="s">
        <v>54</v>
      </c>
      <c r="F4247" s="1">
        <v>8.0</v>
      </c>
      <c r="G4247" s="3" t="s">
        <v>57</v>
      </c>
    </row>
    <row r="4248">
      <c r="A4248" s="3" t="s">
        <v>9675</v>
      </c>
      <c r="B4248" s="4" t="str">
        <f>IFERROR(__xludf.DUMMYFUNCTION("GOOGLETRANSLATE(A4248, ""en"", ""te"")"),"సైకిల్ ప్యూర్ ప్రేయర్ ఆయిల్")</f>
        <v>సైకిల్ ప్యూర్ ప్రేయర్ ఆయిల్</v>
      </c>
      <c r="C4248" s="4" t="str">
        <f>IFERROR(__xludf.DUMMYFUNCTION("GOOGLETRANSLATE(A4248, ""en"", ""hi"")"),"साइकिल प्योर प्रेयर ऑयल")</f>
        <v>साइकिल प्योर प्रेयर ऑयल</v>
      </c>
      <c r="D4248" s="5"/>
      <c r="E4248" s="2" t="s">
        <v>54</v>
      </c>
      <c r="F4248" s="1">
        <v>8.0</v>
      </c>
      <c r="G4248" s="3" t="s">
        <v>57</v>
      </c>
    </row>
    <row r="4249">
      <c r="A4249" s="3" t="s">
        <v>9676</v>
      </c>
      <c r="B4249" s="4" t="str">
        <f>IFERROR(__xludf.DUMMYFUNCTION("GOOGLETRANSLATE(A4249, ""en"", ""te"")"),"సైకిల్ 3-ఇన్-1 అగరబత్తీలు")</f>
        <v>సైకిల్ 3-ఇన్-1 అగరబత్తీలు</v>
      </c>
      <c r="C4249" s="4" t="str">
        <f>IFERROR(__xludf.DUMMYFUNCTION("GOOGLETRANSLATE(A4249, ""en"", ""hi"")"),"साइकल 3-इन-1 अगरबत्ती")</f>
        <v>साइकल 3-इन-1 अगरबत्ती</v>
      </c>
      <c r="D4249" s="2" t="s">
        <v>2581</v>
      </c>
      <c r="E4249" s="48" t="s">
        <v>8914</v>
      </c>
      <c r="F4249" s="1">
        <v>8.0</v>
      </c>
      <c r="G4249" s="3" t="s">
        <v>63</v>
      </c>
    </row>
    <row r="4250">
      <c r="A4250" s="3" t="s">
        <v>9676</v>
      </c>
      <c r="B4250" s="4" t="str">
        <f>IFERROR(__xludf.DUMMYFUNCTION("GOOGLETRANSLATE(A4250, ""en"", ""te"")"),"సైకిల్ 3-ఇన్-1 అగరబత్తీలు")</f>
        <v>సైకిల్ 3-ఇన్-1 అగరబత్తీలు</v>
      </c>
      <c r="C4250" s="4" t="str">
        <f>IFERROR(__xludf.DUMMYFUNCTION("GOOGLETRANSLATE(A4250, ""en"", ""hi"")"),"साइकल 3-इन-1 अगरबत्ती")</f>
        <v>साइकल 3-इन-1 अगरबत्ती</v>
      </c>
      <c r="D4250" s="2" t="s">
        <v>2581</v>
      </c>
      <c r="E4250" s="48" t="s">
        <v>8914</v>
      </c>
      <c r="F4250" s="1">
        <v>8.0</v>
      </c>
      <c r="G4250" s="3" t="s">
        <v>8250</v>
      </c>
    </row>
    <row r="4251">
      <c r="A4251" s="44"/>
      <c r="B4251" s="44"/>
    </row>
  </sheetData>
  <autoFilter ref="$A$1:$G$425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33.5"/>
    <col customWidth="1" min="3" max="3" width="34.25"/>
    <col customWidth="1" min="4" max="4" width="49.0"/>
    <col customWidth="1" min="5" max="5" width="21.63"/>
    <col customWidth="1" min="6" max="6" width="7.25"/>
    <col customWidth="1" min="7" max="7" width="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94</v>
      </c>
      <c r="B2" s="1" t="s">
        <v>95</v>
      </c>
      <c r="C2" s="1" t="s">
        <v>96</v>
      </c>
      <c r="D2" s="1" t="s">
        <v>97</v>
      </c>
      <c r="E2" s="1" t="s">
        <v>98</v>
      </c>
      <c r="F2" s="1">
        <v>1.0</v>
      </c>
      <c r="G2" s="1">
        <v>2.0</v>
      </c>
    </row>
    <row r="3">
      <c r="A3" s="1" t="s">
        <v>100</v>
      </c>
      <c r="B3" s="1" t="s">
        <v>101</v>
      </c>
      <c r="C3" s="1" t="s">
        <v>102</v>
      </c>
      <c r="D3" s="1" t="s">
        <v>103</v>
      </c>
      <c r="E3" s="1" t="s">
        <v>98</v>
      </c>
      <c r="F3" s="1">
        <v>1.0</v>
      </c>
      <c r="G3" s="1">
        <v>3.0</v>
      </c>
    </row>
    <row r="4">
      <c r="A4" s="1" t="s">
        <v>105</v>
      </c>
      <c r="B4" s="1" t="s">
        <v>106</v>
      </c>
      <c r="C4" s="1" t="s">
        <v>107</v>
      </c>
      <c r="D4" s="1" t="s">
        <v>109</v>
      </c>
      <c r="E4" s="1" t="s">
        <v>98</v>
      </c>
      <c r="F4" s="1">
        <v>1.0</v>
      </c>
      <c r="G4" s="1">
        <v>4.0</v>
      </c>
    </row>
    <row r="5">
      <c r="A5" s="1" t="s">
        <v>110</v>
      </c>
      <c r="B5" s="1" t="s">
        <v>111</v>
      </c>
      <c r="C5" s="1" t="s">
        <v>112</v>
      </c>
      <c r="D5" s="1" t="s">
        <v>113</v>
      </c>
      <c r="E5" s="1" t="s">
        <v>98</v>
      </c>
      <c r="F5" s="1">
        <v>1.0</v>
      </c>
      <c r="G5" s="1">
        <v>5.0</v>
      </c>
    </row>
    <row r="6">
      <c r="A6" s="1" t="s">
        <v>115</v>
      </c>
      <c r="B6" s="1" t="s">
        <v>117</v>
      </c>
      <c r="C6" s="1" t="s">
        <v>118</v>
      </c>
      <c r="D6" s="1" t="s">
        <v>119</v>
      </c>
      <c r="E6" s="1" t="s">
        <v>98</v>
      </c>
      <c r="F6" s="1">
        <v>1.0</v>
      </c>
      <c r="G6" s="1">
        <v>6.0</v>
      </c>
    </row>
    <row r="7">
      <c r="A7" s="1" t="s">
        <v>120</v>
      </c>
      <c r="B7" s="1" t="s">
        <v>121</v>
      </c>
      <c r="C7" s="1" t="s">
        <v>122</v>
      </c>
      <c r="D7" s="1" t="s">
        <v>123</v>
      </c>
      <c r="E7" s="1" t="s">
        <v>98</v>
      </c>
      <c r="F7" s="1">
        <v>1.0</v>
      </c>
      <c r="G7" s="1">
        <v>7.0</v>
      </c>
    </row>
    <row r="8">
      <c r="A8" s="1" t="s">
        <v>125</v>
      </c>
      <c r="B8" s="1" t="s">
        <v>126</v>
      </c>
      <c r="C8" s="1" t="s">
        <v>127</v>
      </c>
      <c r="D8" s="1" t="s">
        <v>128</v>
      </c>
      <c r="E8" s="1" t="s">
        <v>98</v>
      </c>
      <c r="F8" s="1">
        <v>1.0</v>
      </c>
      <c r="G8" s="1">
        <v>8.0</v>
      </c>
    </row>
    <row r="9">
      <c r="A9" s="1" t="s">
        <v>129</v>
      </c>
      <c r="B9" s="1" t="s">
        <v>130</v>
      </c>
      <c r="C9" s="1" t="s">
        <v>131</v>
      </c>
      <c r="D9" s="1" t="s">
        <v>132</v>
      </c>
      <c r="E9" s="1" t="s">
        <v>98</v>
      </c>
      <c r="F9" s="1">
        <v>1.0</v>
      </c>
      <c r="G9" s="1">
        <v>9.0</v>
      </c>
    </row>
    <row r="10">
      <c r="A10" s="1" t="s">
        <v>133</v>
      </c>
      <c r="B10" s="1" t="s">
        <v>134</v>
      </c>
      <c r="C10" s="1" t="s">
        <v>135</v>
      </c>
      <c r="D10" s="1" t="s">
        <v>136</v>
      </c>
      <c r="E10" s="1" t="s">
        <v>98</v>
      </c>
      <c r="F10" s="1">
        <v>1.0</v>
      </c>
      <c r="G10" s="1">
        <v>10.0</v>
      </c>
    </row>
    <row r="11">
      <c r="A11" s="1" t="s">
        <v>137</v>
      </c>
      <c r="B11" s="1" t="s">
        <v>138</v>
      </c>
      <c r="C11" s="1" t="s">
        <v>139</v>
      </c>
      <c r="D11" s="1" t="s">
        <v>140</v>
      </c>
      <c r="E11" s="1" t="s">
        <v>98</v>
      </c>
      <c r="F11" s="1">
        <v>1.0</v>
      </c>
      <c r="G11" s="1">
        <v>11.0</v>
      </c>
    </row>
    <row r="12">
      <c r="A12" s="1" t="s">
        <v>141</v>
      </c>
      <c r="B12" s="1" t="s">
        <v>142</v>
      </c>
      <c r="C12" s="1" t="s">
        <v>142</v>
      </c>
      <c r="D12" s="1" t="s">
        <v>143</v>
      </c>
      <c r="E12" s="1" t="s">
        <v>144</v>
      </c>
      <c r="F12" s="1" t="s">
        <v>142</v>
      </c>
      <c r="G12" s="1"/>
    </row>
    <row r="13">
      <c r="A13" s="1" t="s">
        <v>145</v>
      </c>
      <c r="B13" s="1" t="s">
        <v>146</v>
      </c>
      <c r="C13" s="1" t="s">
        <v>147</v>
      </c>
      <c r="D13" s="1" t="s">
        <v>148</v>
      </c>
      <c r="E13" s="1" t="s">
        <v>98</v>
      </c>
      <c r="F13" s="1">
        <v>1.0</v>
      </c>
      <c r="G13" s="1">
        <v>12.0</v>
      </c>
    </row>
    <row r="14">
      <c r="A14" s="1" t="s">
        <v>149</v>
      </c>
      <c r="B14" s="1" t="s">
        <v>150</v>
      </c>
      <c r="C14" s="1" t="s">
        <v>151</v>
      </c>
      <c r="D14" s="1" t="s">
        <v>152</v>
      </c>
      <c r="E14" s="1" t="s">
        <v>98</v>
      </c>
      <c r="F14" s="1">
        <v>1.0</v>
      </c>
      <c r="G14" s="1">
        <v>13.0</v>
      </c>
    </row>
    <row r="15">
      <c r="A15" s="1" t="s">
        <v>153</v>
      </c>
      <c r="B15" s="1" t="s">
        <v>154</v>
      </c>
      <c r="C15" s="1" t="s">
        <v>155</v>
      </c>
      <c r="D15" s="1" t="s">
        <v>156</v>
      </c>
      <c r="E15" s="1" t="s">
        <v>98</v>
      </c>
      <c r="F15" s="1">
        <v>1.0</v>
      </c>
      <c r="G15" s="1">
        <v>14.0</v>
      </c>
    </row>
    <row r="16">
      <c r="A16" s="1" t="s">
        <v>157</v>
      </c>
      <c r="B16" s="1" t="s">
        <v>158</v>
      </c>
      <c r="C16" s="1" t="s">
        <v>159</v>
      </c>
      <c r="D16" s="1" t="s">
        <v>161</v>
      </c>
      <c r="E16" s="1" t="s">
        <v>98</v>
      </c>
      <c r="F16" s="1">
        <v>1.0</v>
      </c>
      <c r="G16" s="1">
        <v>15.0</v>
      </c>
    </row>
    <row r="17">
      <c r="A17" s="1" t="s">
        <v>162</v>
      </c>
      <c r="B17" s="1" t="s">
        <v>163</v>
      </c>
      <c r="C17" s="1" t="s">
        <v>164</v>
      </c>
      <c r="D17" s="1" t="s">
        <v>165</v>
      </c>
      <c r="E17" s="1" t="s">
        <v>98</v>
      </c>
      <c r="F17" s="1">
        <v>1.0</v>
      </c>
      <c r="G17" s="1">
        <v>16.0</v>
      </c>
    </row>
    <row r="18">
      <c r="A18" s="1" t="s">
        <v>167</v>
      </c>
      <c r="B18" s="1" t="s">
        <v>168</v>
      </c>
      <c r="C18" s="1" t="s">
        <v>170</v>
      </c>
      <c r="D18" s="1" t="s">
        <v>171</v>
      </c>
      <c r="E18" s="1" t="s">
        <v>98</v>
      </c>
      <c r="F18" s="1">
        <v>1.0</v>
      </c>
      <c r="G18" s="1">
        <v>17.0</v>
      </c>
    </row>
    <row r="19">
      <c r="A19" s="1" t="s">
        <v>172</v>
      </c>
      <c r="B19" s="1" t="s">
        <v>173</v>
      </c>
      <c r="C19" s="1" t="s">
        <v>174</v>
      </c>
      <c r="D19" s="1" t="s">
        <v>175</v>
      </c>
      <c r="E19" s="1" t="s">
        <v>98</v>
      </c>
      <c r="F19" s="1">
        <v>1.0</v>
      </c>
      <c r="G19" s="1">
        <v>18.0</v>
      </c>
    </row>
    <row r="20">
      <c r="A20" s="1" t="s">
        <v>177</v>
      </c>
      <c r="B20" s="1" t="s">
        <v>178</v>
      </c>
      <c r="C20" s="1" t="s">
        <v>179</v>
      </c>
      <c r="D20" s="1" t="s">
        <v>180</v>
      </c>
      <c r="E20" s="1" t="s">
        <v>98</v>
      </c>
      <c r="F20" s="1">
        <v>1.0</v>
      </c>
      <c r="G20" s="1">
        <v>19.0</v>
      </c>
    </row>
    <row r="21">
      <c r="A21" s="1" t="s">
        <v>181</v>
      </c>
      <c r="B21" s="1" t="s">
        <v>182</v>
      </c>
      <c r="C21" s="1" t="s">
        <v>183</v>
      </c>
      <c r="D21" s="1" t="s">
        <v>184</v>
      </c>
      <c r="E21" s="1" t="s">
        <v>98</v>
      </c>
      <c r="F21" s="1">
        <v>1.0</v>
      </c>
      <c r="G21" s="1">
        <v>20.0</v>
      </c>
    </row>
    <row r="22">
      <c r="A22" s="1" t="s">
        <v>185</v>
      </c>
      <c r="B22" s="1" t="s">
        <v>186</v>
      </c>
      <c r="C22" s="1" t="s">
        <v>187</v>
      </c>
      <c r="D22" s="1" t="s">
        <v>188</v>
      </c>
      <c r="E22" s="1" t="s">
        <v>98</v>
      </c>
      <c r="F22" s="1">
        <v>1.0</v>
      </c>
      <c r="G22" s="1">
        <v>21.0</v>
      </c>
    </row>
    <row r="23">
      <c r="A23" s="1" t="s">
        <v>190</v>
      </c>
      <c r="B23" s="1" t="s">
        <v>191</v>
      </c>
      <c r="C23" s="1" t="s">
        <v>192</v>
      </c>
      <c r="D23" s="1" t="s">
        <v>193</v>
      </c>
      <c r="E23" s="1" t="s">
        <v>98</v>
      </c>
      <c r="F23" s="1">
        <v>1.0</v>
      </c>
      <c r="G23" s="1">
        <v>22.0</v>
      </c>
    </row>
    <row r="24">
      <c r="A24" s="1" t="s">
        <v>196</v>
      </c>
      <c r="B24" s="1" t="s">
        <v>197</v>
      </c>
      <c r="C24" s="1" t="s">
        <v>198</v>
      </c>
      <c r="D24" s="1" t="s">
        <v>199</v>
      </c>
      <c r="E24" s="1" t="s">
        <v>98</v>
      </c>
      <c r="F24" s="1">
        <v>1.0</v>
      </c>
      <c r="G24" s="1">
        <v>23.0</v>
      </c>
    </row>
    <row r="25">
      <c r="A25" s="1" t="s">
        <v>200</v>
      </c>
      <c r="B25" s="1" t="s">
        <v>201</v>
      </c>
      <c r="C25" s="1" t="s">
        <v>202</v>
      </c>
      <c r="D25" s="1" t="s">
        <v>204</v>
      </c>
      <c r="E25" s="1" t="s">
        <v>98</v>
      </c>
      <c r="F25" s="1">
        <v>1.0</v>
      </c>
      <c r="G25" s="1">
        <v>24.0</v>
      </c>
    </row>
    <row r="26">
      <c r="A26" s="1" t="s">
        <v>205</v>
      </c>
      <c r="B26" s="1" t="s">
        <v>207</v>
      </c>
      <c r="C26" s="1" t="s">
        <v>208</v>
      </c>
      <c r="D26" s="1" t="s">
        <v>209</v>
      </c>
      <c r="E26" s="1" t="s">
        <v>98</v>
      </c>
      <c r="F26" s="1">
        <v>1.0</v>
      </c>
      <c r="G26" s="1">
        <v>25.0</v>
      </c>
    </row>
    <row r="27">
      <c r="A27" s="1" t="s">
        <v>210</v>
      </c>
      <c r="B27" s="1" t="s">
        <v>211</v>
      </c>
      <c r="C27" s="1" t="s">
        <v>212</v>
      </c>
      <c r="D27" s="1" t="s">
        <v>213</v>
      </c>
      <c r="E27" s="1" t="s">
        <v>98</v>
      </c>
      <c r="F27" s="1">
        <v>1.0</v>
      </c>
      <c r="G27" s="1">
        <v>26.0</v>
      </c>
    </row>
    <row r="28">
      <c r="A28" s="1" t="s">
        <v>215</v>
      </c>
      <c r="B28" s="1" t="s">
        <v>216</v>
      </c>
      <c r="C28" s="1" t="s">
        <v>217</v>
      </c>
      <c r="D28" s="1" t="s">
        <v>218</v>
      </c>
      <c r="E28" s="1" t="s">
        <v>98</v>
      </c>
      <c r="F28" s="1">
        <v>1.0</v>
      </c>
      <c r="G28" s="1">
        <v>27.0</v>
      </c>
    </row>
    <row r="29">
      <c r="A29" s="1" t="s">
        <v>220</v>
      </c>
      <c r="B29" s="1" t="s">
        <v>221</v>
      </c>
      <c r="C29" s="1" t="s">
        <v>223</v>
      </c>
      <c r="D29" s="1" t="s">
        <v>224</v>
      </c>
      <c r="E29" s="1" t="s">
        <v>98</v>
      </c>
      <c r="F29" s="1">
        <v>1.0</v>
      </c>
      <c r="G29" s="1">
        <v>28.0</v>
      </c>
    </row>
    <row r="30">
      <c r="A30" s="1" t="s">
        <v>225</v>
      </c>
      <c r="B30" s="1" t="s">
        <v>226</v>
      </c>
      <c r="C30" s="1" t="s">
        <v>227</v>
      </c>
      <c r="D30" s="1" t="s">
        <v>228</v>
      </c>
      <c r="E30" s="1" t="s">
        <v>98</v>
      </c>
      <c r="F30" s="1">
        <v>1.0</v>
      </c>
      <c r="G30" s="1">
        <v>29.0</v>
      </c>
    </row>
    <row r="31">
      <c r="A31" s="1" t="s">
        <v>230</v>
      </c>
      <c r="B31" s="1" t="s">
        <v>231</v>
      </c>
      <c r="C31" s="1" t="s">
        <v>232</v>
      </c>
      <c r="D31" s="1" t="s">
        <v>233</v>
      </c>
      <c r="E31" s="1" t="s">
        <v>98</v>
      </c>
      <c r="F31" s="1">
        <v>1.0</v>
      </c>
      <c r="G31" s="1">
        <v>30.0</v>
      </c>
    </row>
    <row r="32">
      <c r="A32" s="1" t="s">
        <v>234</v>
      </c>
      <c r="B32" s="1" t="s">
        <v>235</v>
      </c>
      <c r="C32" s="1" t="s">
        <v>236</v>
      </c>
      <c r="D32" s="1" t="s">
        <v>237</v>
      </c>
      <c r="E32" s="1" t="s">
        <v>238</v>
      </c>
      <c r="F32" s="1">
        <v>2.0</v>
      </c>
      <c r="G32" s="1">
        <v>1.0</v>
      </c>
    </row>
    <row r="33">
      <c r="A33" s="1" t="s">
        <v>241</v>
      </c>
      <c r="B33" s="1" t="s">
        <v>242</v>
      </c>
      <c r="C33" s="1" t="s">
        <v>244</v>
      </c>
      <c r="D33" s="1" t="s">
        <v>245</v>
      </c>
      <c r="E33" s="1" t="s">
        <v>238</v>
      </c>
      <c r="F33" s="1">
        <v>2.0</v>
      </c>
      <c r="G33" s="1">
        <v>2.0</v>
      </c>
    </row>
    <row r="34">
      <c r="A34" s="1" t="s">
        <v>246</v>
      </c>
      <c r="B34" s="1" t="s">
        <v>247</v>
      </c>
      <c r="C34" s="1" t="s">
        <v>248</v>
      </c>
      <c r="D34" s="1" t="s">
        <v>249</v>
      </c>
      <c r="E34" s="1" t="s">
        <v>238</v>
      </c>
      <c r="F34" s="1">
        <v>2.0</v>
      </c>
      <c r="G34" s="1">
        <v>3.0</v>
      </c>
    </row>
    <row r="35">
      <c r="A35" s="1" t="s">
        <v>251</v>
      </c>
      <c r="B35" s="1" t="s">
        <v>252</v>
      </c>
      <c r="C35" s="1" t="s">
        <v>253</v>
      </c>
      <c r="D35" s="1" t="s">
        <v>254</v>
      </c>
      <c r="E35" s="1" t="s">
        <v>238</v>
      </c>
      <c r="F35" s="1">
        <v>2.0</v>
      </c>
      <c r="G35" s="1">
        <v>4.0</v>
      </c>
    </row>
    <row r="36">
      <c r="A36" s="1" t="s">
        <v>256</v>
      </c>
      <c r="B36" s="1" t="s">
        <v>257</v>
      </c>
      <c r="C36" s="1" t="s">
        <v>259</v>
      </c>
      <c r="D36" s="1" t="s">
        <v>261</v>
      </c>
      <c r="E36" s="1" t="s">
        <v>238</v>
      </c>
      <c r="F36" s="1">
        <v>2.0</v>
      </c>
      <c r="G36" s="1">
        <v>5.0</v>
      </c>
    </row>
    <row r="37">
      <c r="A37" s="1" t="s">
        <v>262</v>
      </c>
      <c r="B37" s="1" t="s">
        <v>263</v>
      </c>
      <c r="C37" s="1" t="s">
        <v>264</v>
      </c>
      <c r="D37" s="1" t="s">
        <v>265</v>
      </c>
      <c r="E37" s="1" t="s">
        <v>238</v>
      </c>
      <c r="F37" s="1">
        <v>2.0</v>
      </c>
      <c r="G37" s="1">
        <v>6.0</v>
      </c>
    </row>
    <row r="38">
      <c r="A38" s="1" t="s">
        <v>267</v>
      </c>
      <c r="B38" s="1" t="s">
        <v>268</v>
      </c>
      <c r="C38" s="1" t="s">
        <v>270</v>
      </c>
      <c r="D38" s="1" t="s">
        <v>271</v>
      </c>
      <c r="E38" s="1" t="s">
        <v>238</v>
      </c>
      <c r="F38" s="1">
        <v>2.0</v>
      </c>
      <c r="G38" s="1">
        <v>7.0</v>
      </c>
    </row>
    <row r="39">
      <c r="A39" s="1" t="s">
        <v>272</v>
      </c>
      <c r="B39" s="1" t="s">
        <v>273</v>
      </c>
      <c r="C39" s="1" t="s">
        <v>274</v>
      </c>
      <c r="D39" s="1" t="s">
        <v>276</v>
      </c>
      <c r="E39" s="1" t="s">
        <v>238</v>
      </c>
      <c r="F39" s="1">
        <v>2.0</v>
      </c>
      <c r="G39" s="1">
        <v>8.0</v>
      </c>
    </row>
    <row r="40">
      <c r="A40" s="1" t="s">
        <v>278</v>
      </c>
      <c r="B40" s="1" t="s">
        <v>279</v>
      </c>
      <c r="C40" s="1" t="s">
        <v>280</v>
      </c>
      <c r="D40" s="1" t="s">
        <v>281</v>
      </c>
      <c r="E40" s="1" t="s">
        <v>238</v>
      </c>
      <c r="F40" s="1">
        <v>2.0</v>
      </c>
      <c r="G40" s="1">
        <v>10.0</v>
      </c>
    </row>
    <row r="41">
      <c r="A41" s="1" t="s">
        <v>282</v>
      </c>
      <c r="B41" s="1" t="s">
        <v>284</v>
      </c>
      <c r="C41" s="1" t="s">
        <v>285</v>
      </c>
      <c r="D41" s="1" t="s">
        <v>286</v>
      </c>
      <c r="E41" s="1" t="s">
        <v>238</v>
      </c>
      <c r="F41" s="1">
        <v>2.0</v>
      </c>
      <c r="G41" s="1">
        <v>11.0</v>
      </c>
    </row>
    <row r="42">
      <c r="A42" s="1" t="s">
        <v>288</v>
      </c>
      <c r="B42" s="1" t="s">
        <v>289</v>
      </c>
      <c r="C42" s="1" t="s">
        <v>290</v>
      </c>
      <c r="D42" s="1" t="s">
        <v>291</v>
      </c>
      <c r="E42" s="1" t="s">
        <v>238</v>
      </c>
      <c r="F42" s="1">
        <v>2.0</v>
      </c>
      <c r="G42" s="1">
        <v>28.0</v>
      </c>
    </row>
    <row r="43">
      <c r="A43" s="1" t="s">
        <v>293</v>
      </c>
      <c r="B43" s="1" t="s">
        <v>295</v>
      </c>
      <c r="C43" s="1" t="s">
        <v>296</v>
      </c>
      <c r="D43" s="1" t="s">
        <v>297</v>
      </c>
      <c r="E43" s="1" t="s">
        <v>238</v>
      </c>
      <c r="F43" s="1">
        <v>2.0</v>
      </c>
      <c r="G43" s="1">
        <v>29.0</v>
      </c>
    </row>
    <row r="44">
      <c r="A44" s="1" t="s">
        <v>298</v>
      </c>
      <c r="B44" s="1" t="s">
        <v>299</v>
      </c>
      <c r="C44" s="1" t="s">
        <v>300</v>
      </c>
      <c r="D44" s="1" t="s">
        <v>301</v>
      </c>
      <c r="E44" s="1" t="s">
        <v>238</v>
      </c>
      <c r="F44" s="1">
        <v>2.0</v>
      </c>
      <c r="G44" s="1">
        <v>12.0</v>
      </c>
    </row>
    <row r="45">
      <c r="A45" s="1" t="s">
        <v>303</v>
      </c>
      <c r="B45" s="1" t="s">
        <v>304</v>
      </c>
      <c r="C45" s="1" t="s">
        <v>305</v>
      </c>
      <c r="D45" s="1" t="s">
        <v>306</v>
      </c>
      <c r="E45" s="1" t="s">
        <v>238</v>
      </c>
      <c r="F45" s="1">
        <v>2.0</v>
      </c>
      <c r="G45" s="1">
        <v>13.0</v>
      </c>
    </row>
    <row r="46">
      <c r="A46" s="1" t="s">
        <v>307</v>
      </c>
      <c r="B46" s="1" t="s">
        <v>308</v>
      </c>
      <c r="C46" s="1" t="s">
        <v>309</v>
      </c>
      <c r="D46" s="1" t="s">
        <v>310</v>
      </c>
      <c r="E46" s="1" t="s">
        <v>238</v>
      </c>
      <c r="F46" s="1">
        <v>2.0</v>
      </c>
      <c r="G46" s="1">
        <v>14.0</v>
      </c>
    </row>
    <row r="47">
      <c r="A47" s="1" t="s">
        <v>307</v>
      </c>
      <c r="B47" s="1" t="s">
        <v>311</v>
      </c>
      <c r="C47" s="1" t="s">
        <v>309</v>
      </c>
      <c r="D47" s="1" t="s">
        <v>312</v>
      </c>
      <c r="E47" s="1" t="s">
        <v>238</v>
      </c>
      <c r="F47" s="1">
        <v>2.0</v>
      </c>
      <c r="G47" s="1">
        <v>16.0</v>
      </c>
    </row>
    <row r="48">
      <c r="A48" s="1" t="s">
        <v>313</v>
      </c>
      <c r="B48" s="1" t="s">
        <v>314</v>
      </c>
      <c r="C48" s="1" t="s">
        <v>309</v>
      </c>
      <c r="D48" s="1" t="s">
        <v>316</v>
      </c>
      <c r="E48" s="1" t="s">
        <v>238</v>
      </c>
      <c r="F48" s="1">
        <v>2.0</v>
      </c>
      <c r="G48" s="1">
        <v>15.0</v>
      </c>
    </row>
    <row r="49">
      <c r="A49" s="1" t="s">
        <v>317</v>
      </c>
      <c r="B49" s="1" t="s">
        <v>318</v>
      </c>
      <c r="C49" s="1" t="s">
        <v>319</v>
      </c>
      <c r="D49" s="1" t="s">
        <v>320</v>
      </c>
      <c r="E49" s="1" t="s">
        <v>238</v>
      </c>
      <c r="F49" s="1">
        <v>2.0</v>
      </c>
      <c r="G49" s="1">
        <v>17.0</v>
      </c>
    </row>
    <row r="50">
      <c r="A50" s="1" t="s">
        <v>322</v>
      </c>
      <c r="B50" s="1" t="s">
        <v>323</v>
      </c>
      <c r="C50" s="1" t="s">
        <v>324</v>
      </c>
      <c r="D50" s="1" t="s">
        <v>325</v>
      </c>
      <c r="E50" s="1" t="s">
        <v>238</v>
      </c>
      <c r="F50" s="1">
        <v>2.0</v>
      </c>
      <c r="G50" s="1">
        <v>25.0</v>
      </c>
    </row>
    <row r="51">
      <c r="A51" s="1" t="s">
        <v>328</v>
      </c>
      <c r="B51" s="1" t="s">
        <v>330</v>
      </c>
      <c r="C51" s="1" t="s">
        <v>331</v>
      </c>
      <c r="D51" s="1" t="s">
        <v>333</v>
      </c>
      <c r="E51" s="1" t="s">
        <v>238</v>
      </c>
      <c r="F51" s="1">
        <v>2.0</v>
      </c>
      <c r="G51" s="1">
        <v>23.0</v>
      </c>
    </row>
    <row r="52">
      <c r="A52" s="1" t="s">
        <v>328</v>
      </c>
      <c r="B52" s="1" t="s">
        <v>330</v>
      </c>
      <c r="C52" s="1" t="s">
        <v>334</v>
      </c>
      <c r="D52" s="1" t="s">
        <v>335</v>
      </c>
      <c r="E52" s="1" t="s">
        <v>238</v>
      </c>
      <c r="F52" s="1">
        <v>2.0</v>
      </c>
      <c r="G52" s="1">
        <v>26.0</v>
      </c>
    </row>
    <row r="53">
      <c r="A53" s="1" t="s">
        <v>337</v>
      </c>
      <c r="B53" s="1" t="s">
        <v>338</v>
      </c>
      <c r="C53" s="1" t="s">
        <v>339</v>
      </c>
      <c r="D53" s="1" t="s">
        <v>340</v>
      </c>
      <c r="E53" s="1" t="s">
        <v>238</v>
      </c>
      <c r="F53" s="1">
        <v>2.0</v>
      </c>
      <c r="G53" s="1">
        <v>24.0</v>
      </c>
    </row>
    <row r="54">
      <c r="A54" s="1" t="s">
        <v>341</v>
      </c>
      <c r="B54" s="1" t="s">
        <v>342</v>
      </c>
      <c r="C54" s="1" t="s">
        <v>344</v>
      </c>
      <c r="D54" s="1" t="s">
        <v>345</v>
      </c>
      <c r="E54" s="1" t="s">
        <v>238</v>
      </c>
      <c r="F54" s="1">
        <v>2.0</v>
      </c>
      <c r="G54" s="1">
        <v>27.0</v>
      </c>
    </row>
    <row r="55">
      <c r="A55" s="1" t="s">
        <v>346</v>
      </c>
      <c r="B55" s="1" t="s">
        <v>347</v>
      </c>
      <c r="C55" s="1" t="s">
        <v>348</v>
      </c>
      <c r="D55" s="1" t="s">
        <v>349</v>
      </c>
      <c r="E55" s="1" t="s">
        <v>351</v>
      </c>
      <c r="F55" s="1">
        <v>3.0</v>
      </c>
      <c r="G55" s="1">
        <v>1.0</v>
      </c>
    </row>
    <row r="56">
      <c r="A56" s="1" t="s">
        <v>353</v>
      </c>
      <c r="B56" s="1" t="s">
        <v>354</v>
      </c>
      <c r="C56" s="1" t="s">
        <v>355</v>
      </c>
      <c r="D56" s="1" t="s">
        <v>356</v>
      </c>
      <c r="E56" s="1" t="s">
        <v>351</v>
      </c>
      <c r="F56" s="1">
        <v>3.0</v>
      </c>
      <c r="G56" s="1">
        <v>2.0</v>
      </c>
    </row>
    <row r="57">
      <c r="A57" s="1" t="s">
        <v>357</v>
      </c>
      <c r="B57" s="1" t="s">
        <v>358</v>
      </c>
      <c r="C57" s="1" t="s">
        <v>359</v>
      </c>
      <c r="D57" s="1" t="s">
        <v>360</v>
      </c>
      <c r="E57" s="1" t="s">
        <v>351</v>
      </c>
      <c r="F57" s="1">
        <v>3.0</v>
      </c>
      <c r="G57" s="1">
        <v>3.0</v>
      </c>
    </row>
    <row r="58">
      <c r="A58" s="1" t="s">
        <v>362</v>
      </c>
      <c r="B58" s="1" t="s">
        <v>363</v>
      </c>
      <c r="C58" s="1" t="s">
        <v>364</v>
      </c>
      <c r="D58" s="1" t="s">
        <v>365</v>
      </c>
      <c r="E58" s="1" t="s">
        <v>351</v>
      </c>
      <c r="F58" s="1">
        <v>3.0</v>
      </c>
      <c r="G58" s="1">
        <v>4.0</v>
      </c>
    </row>
    <row r="59">
      <c r="A59" s="1" t="s">
        <v>366</v>
      </c>
      <c r="B59" s="1" t="s">
        <v>368</v>
      </c>
      <c r="C59" s="1" t="s">
        <v>369</v>
      </c>
      <c r="D59" s="1" t="s">
        <v>370</v>
      </c>
      <c r="E59" s="1" t="s">
        <v>351</v>
      </c>
      <c r="F59" s="1">
        <v>3.0</v>
      </c>
      <c r="G59" s="1">
        <v>5.0</v>
      </c>
    </row>
    <row r="60">
      <c r="A60" s="1" t="s">
        <v>371</v>
      </c>
      <c r="B60" s="1" t="s">
        <v>372</v>
      </c>
      <c r="C60" s="1" t="s">
        <v>373</v>
      </c>
      <c r="D60" s="1" t="s">
        <v>374</v>
      </c>
      <c r="E60" s="1" t="s">
        <v>351</v>
      </c>
      <c r="F60" s="1">
        <v>3.0</v>
      </c>
      <c r="G60" s="1">
        <v>7.0</v>
      </c>
    </row>
    <row r="61">
      <c r="A61" s="1" t="s">
        <v>376</v>
      </c>
      <c r="B61" s="1" t="s">
        <v>377</v>
      </c>
      <c r="C61" s="1" t="s">
        <v>378</v>
      </c>
      <c r="D61" s="1" t="s">
        <v>379</v>
      </c>
      <c r="E61" s="1" t="s">
        <v>351</v>
      </c>
      <c r="F61" s="1">
        <v>3.0</v>
      </c>
      <c r="G61" s="1">
        <v>8.0</v>
      </c>
    </row>
    <row r="62">
      <c r="A62" s="1" t="s">
        <v>380</v>
      </c>
      <c r="B62" s="1" t="s">
        <v>381</v>
      </c>
      <c r="C62" s="1" t="s">
        <v>382</v>
      </c>
      <c r="D62" s="1" t="s">
        <v>383</v>
      </c>
      <c r="E62" s="1" t="s">
        <v>351</v>
      </c>
      <c r="F62" s="1">
        <v>3.0</v>
      </c>
      <c r="G62" s="1">
        <v>11.0</v>
      </c>
    </row>
    <row r="63">
      <c r="A63" s="1" t="s">
        <v>390</v>
      </c>
      <c r="B63" s="1" t="s">
        <v>392</v>
      </c>
      <c r="C63" s="1" t="s">
        <v>393</v>
      </c>
      <c r="D63" s="1" t="s">
        <v>394</v>
      </c>
      <c r="E63" s="1" t="s">
        <v>351</v>
      </c>
      <c r="F63" s="1">
        <v>3.0</v>
      </c>
      <c r="G63" s="1">
        <v>12.0</v>
      </c>
    </row>
    <row r="64">
      <c r="A64" s="1" t="s">
        <v>395</v>
      </c>
      <c r="B64" s="1" t="s">
        <v>396</v>
      </c>
      <c r="C64" s="1" t="s">
        <v>397</v>
      </c>
      <c r="D64" s="1" t="s">
        <v>399</v>
      </c>
      <c r="E64" s="1" t="s">
        <v>351</v>
      </c>
      <c r="F64" s="1">
        <v>3.0</v>
      </c>
      <c r="G64" s="1">
        <v>13.0</v>
      </c>
    </row>
    <row r="65">
      <c r="A65" s="1" t="s">
        <v>400</v>
      </c>
      <c r="B65" s="1" t="s">
        <v>401</v>
      </c>
      <c r="C65" s="1" t="s">
        <v>402</v>
      </c>
      <c r="D65" s="1" t="s">
        <v>403</v>
      </c>
      <c r="E65" s="1" t="s">
        <v>351</v>
      </c>
      <c r="F65" s="1">
        <v>3.0</v>
      </c>
      <c r="G65" s="1">
        <v>14.0</v>
      </c>
    </row>
    <row r="66">
      <c r="A66" s="1" t="s">
        <v>405</v>
      </c>
      <c r="B66" s="1" t="s">
        <v>406</v>
      </c>
      <c r="C66" s="1" t="s">
        <v>407</v>
      </c>
      <c r="D66" s="1" t="s">
        <v>408</v>
      </c>
      <c r="E66" s="1" t="s">
        <v>351</v>
      </c>
      <c r="F66" s="1">
        <v>3.0</v>
      </c>
      <c r="G66" s="1">
        <v>15.0</v>
      </c>
    </row>
    <row r="67">
      <c r="A67" s="1" t="s">
        <v>409</v>
      </c>
      <c r="B67" s="1" t="s">
        <v>410</v>
      </c>
      <c r="C67" s="1" t="s">
        <v>411</v>
      </c>
      <c r="D67" s="1" t="s">
        <v>413</v>
      </c>
      <c r="E67" s="1" t="s">
        <v>351</v>
      </c>
      <c r="F67" s="1">
        <v>3.0</v>
      </c>
      <c r="G67" s="1">
        <v>16.0</v>
      </c>
    </row>
    <row r="68">
      <c r="A68" s="1" t="s">
        <v>414</v>
      </c>
      <c r="B68" s="1" t="s">
        <v>415</v>
      </c>
      <c r="C68" s="1" t="s">
        <v>416</v>
      </c>
      <c r="D68" s="1" t="s">
        <v>417</v>
      </c>
      <c r="E68" s="1" t="s">
        <v>351</v>
      </c>
      <c r="F68" s="1">
        <v>3.0</v>
      </c>
      <c r="G68" s="1">
        <v>17.0</v>
      </c>
    </row>
    <row r="69">
      <c r="A69" s="1" t="s">
        <v>420</v>
      </c>
      <c r="B69" s="1" t="s">
        <v>421</v>
      </c>
      <c r="C69" s="1" t="s">
        <v>422</v>
      </c>
      <c r="D69" s="1" t="s">
        <v>423</v>
      </c>
      <c r="E69" s="1" t="s">
        <v>351</v>
      </c>
      <c r="F69" s="1">
        <v>3.0</v>
      </c>
      <c r="G69" s="1">
        <v>18.0</v>
      </c>
    </row>
    <row r="70">
      <c r="A70" s="1" t="s">
        <v>424</v>
      </c>
      <c r="B70" s="1" t="s">
        <v>425</v>
      </c>
      <c r="C70" s="1" t="s">
        <v>427</v>
      </c>
      <c r="D70" s="1" t="s">
        <v>429</v>
      </c>
      <c r="E70" s="1" t="s">
        <v>351</v>
      </c>
      <c r="F70" s="1">
        <v>3.0</v>
      </c>
      <c r="G70" s="1">
        <v>6.0</v>
      </c>
    </row>
    <row r="71">
      <c r="A71" s="1" t="s">
        <v>431</v>
      </c>
      <c r="B71" s="1" t="s">
        <v>432</v>
      </c>
      <c r="C71" s="1" t="s">
        <v>433</v>
      </c>
      <c r="D71" s="1" t="s">
        <v>434</v>
      </c>
      <c r="E71" s="1" t="s">
        <v>351</v>
      </c>
      <c r="F71" s="1">
        <v>3.0</v>
      </c>
      <c r="G71" s="1">
        <v>19.0</v>
      </c>
    </row>
    <row r="72">
      <c r="A72" s="1" t="s">
        <v>441</v>
      </c>
      <c r="B72" s="1" t="s">
        <v>543</v>
      </c>
      <c r="C72" s="1" t="s">
        <v>545</v>
      </c>
      <c r="D72" s="1" t="s">
        <v>547</v>
      </c>
      <c r="E72" s="1" t="s">
        <v>351</v>
      </c>
      <c r="F72" s="1">
        <v>3.0</v>
      </c>
      <c r="G72" s="1">
        <v>9.0</v>
      </c>
    </row>
    <row r="73">
      <c r="A73" s="1" t="s">
        <v>549</v>
      </c>
      <c r="B73" s="1" t="s">
        <v>550</v>
      </c>
      <c r="C73" s="1" t="s">
        <v>551</v>
      </c>
      <c r="D73" s="1" t="s">
        <v>552</v>
      </c>
      <c r="E73" s="1" t="s">
        <v>351</v>
      </c>
      <c r="F73" s="1">
        <v>3.0</v>
      </c>
      <c r="G73" s="1">
        <v>20.0</v>
      </c>
    </row>
    <row r="74">
      <c r="A74" s="1" t="s">
        <v>553</v>
      </c>
      <c r="B74" s="1" t="s">
        <v>554</v>
      </c>
      <c r="C74" s="1" t="s">
        <v>556</v>
      </c>
      <c r="D74" s="1" t="s">
        <v>557</v>
      </c>
      <c r="E74" s="1" t="s">
        <v>351</v>
      </c>
      <c r="F74" s="1">
        <v>3.0</v>
      </c>
      <c r="G74" s="1">
        <v>21.0</v>
      </c>
    </row>
    <row r="75">
      <c r="A75" s="1" t="s">
        <v>553</v>
      </c>
      <c r="B75" s="1" t="s">
        <v>554</v>
      </c>
      <c r="C75" s="1" t="s">
        <v>556</v>
      </c>
      <c r="D75" s="1" t="s">
        <v>557</v>
      </c>
      <c r="E75" s="1" t="s">
        <v>351</v>
      </c>
      <c r="F75" s="1">
        <v>3.0</v>
      </c>
      <c r="G75" s="1">
        <v>22.0</v>
      </c>
    </row>
    <row r="76">
      <c r="A76" s="1" t="s">
        <v>561</v>
      </c>
      <c r="B76" s="1" t="s">
        <v>562</v>
      </c>
      <c r="C76" s="1" t="s">
        <v>563</v>
      </c>
      <c r="D76" s="1" t="s">
        <v>564</v>
      </c>
      <c r="E76" s="1" t="s">
        <v>351</v>
      </c>
      <c r="F76" s="1">
        <v>3.0</v>
      </c>
      <c r="G76" s="1">
        <v>10.0</v>
      </c>
    </row>
    <row r="77">
      <c r="A77" s="1" t="s">
        <v>566</v>
      </c>
      <c r="B77" s="1" t="s">
        <v>567</v>
      </c>
      <c r="C77" s="1" t="s">
        <v>568</v>
      </c>
      <c r="D77" s="1" t="s">
        <v>569</v>
      </c>
      <c r="E77" s="1" t="s">
        <v>351</v>
      </c>
      <c r="F77" s="1">
        <v>3.0</v>
      </c>
      <c r="G77" s="1">
        <v>23.0</v>
      </c>
    </row>
    <row r="78">
      <c r="A78" s="1" t="s">
        <v>570</v>
      </c>
      <c r="B78" s="1" t="s">
        <v>571</v>
      </c>
      <c r="C78" s="1" t="s">
        <v>572</v>
      </c>
      <c r="D78" s="1" t="s">
        <v>573</v>
      </c>
      <c r="E78" s="1" t="s">
        <v>351</v>
      </c>
      <c r="F78" s="1">
        <v>3.0</v>
      </c>
      <c r="G78" s="1">
        <v>24.0</v>
      </c>
    </row>
    <row r="79">
      <c r="A79" s="1" t="s">
        <v>574</v>
      </c>
      <c r="B79" s="1" t="s">
        <v>631</v>
      </c>
      <c r="C79" s="1" t="s">
        <v>633</v>
      </c>
      <c r="D79" s="1" t="s">
        <v>634</v>
      </c>
      <c r="E79" s="1" t="s">
        <v>351</v>
      </c>
      <c r="F79" s="1">
        <v>3.0</v>
      </c>
      <c r="G79" s="1">
        <v>25.0</v>
      </c>
    </row>
    <row r="80">
      <c r="A80" s="1" t="s">
        <v>636</v>
      </c>
      <c r="B80" s="1" t="s">
        <v>637</v>
      </c>
      <c r="C80" s="1" t="s">
        <v>638</v>
      </c>
      <c r="D80" s="1" t="s">
        <v>639</v>
      </c>
      <c r="E80" s="1" t="s">
        <v>351</v>
      </c>
      <c r="F80" s="1">
        <v>3.0</v>
      </c>
      <c r="G80" s="1">
        <v>26.0</v>
      </c>
    </row>
    <row r="81">
      <c r="A81" s="1" t="s">
        <v>640</v>
      </c>
      <c r="B81" s="1" t="s">
        <v>641</v>
      </c>
      <c r="C81" s="1" t="s">
        <v>643</v>
      </c>
      <c r="D81" s="1" t="s">
        <v>645</v>
      </c>
      <c r="E81" s="1" t="s">
        <v>351</v>
      </c>
      <c r="F81" s="1">
        <v>3.0</v>
      </c>
      <c r="G81" s="1">
        <v>27.0</v>
      </c>
    </row>
    <row r="82">
      <c r="A82" s="1" t="s">
        <v>646</v>
      </c>
      <c r="B82" s="1" t="s">
        <v>647</v>
      </c>
      <c r="C82" s="1" t="s">
        <v>648</v>
      </c>
      <c r="D82" s="1" t="s">
        <v>649</v>
      </c>
      <c r="E82" s="1" t="s">
        <v>351</v>
      </c>
      <c r="F82" s="1">
        <v>3.0</v>
      </c>
      <c r="G82" s="1">
        <v>28.0</v>
      </c>
    </row>
    <row r="83">
      <c r="A83" s="1" t="s">
        <v>650</v>
      </c>
      <c r="B83" s="1" t="s">
        <v>651</v>
      </c>
      <c r="C83" s="1" t="s">
        <v>652</v>
      </c>
      <c r="D83" s="1" t="s">
        <v>653</v>
      </c>
      <c r="E83" s="1" t="s">
        <v>351</v>
      </c>
      <c r="F83" s="1">
        <v>3.0</v>
      </c>
      <c r="G83" s="1">
        <v>29.0</v>
      </c>
    </row>
    <row r="84">
      <c r="A84" s="1" t="s">
        <v>655</v>
      </c>
      <c r="B84" s="1" t="s">
        <v>656</v>
      </c>
      <c r="C84" s="1" t="s">
        <v>657</v>
      </c>
      <c r="D84" s="1" t="s">
        <v>658</v>
      </c>
      <c r="E84" s="1" t="s">
        <v>351</v>
      </c>
      <c r="F84" s="1">
        <v>3.0</v>
      </c>
      <c r="G84" s="1">
        <v>30.0</v>
      </c>
    </row>
    <row r="85">
      <c r="A85" s="1" t="s">
        <v>660</v>
      </c>
      <c r="B85" s="1" t="s">
        <v>661</v>
      </c>
      <c r="C85" s="1" t="s">
        <v>662</v>
      </c>
      <c r="D85" s="1" t="s">
        <v>663</v>
      </c>
      <c r="E85" s="1" t="s">
        <v>664</v>
      </c>
      <c r="F85" s="1">
        <v>4.0</v>
      </c>
      <c r="G85" s="1">
        <v>1.0</v>
      </c>
    </row>
    <row r="86">
      <c r="A86" s="1" t="s">
        <v>665</v>
      </c>
      <c r="B86" s="1" t="s">
        <v>667</v>
      </c>
      <c r="C86" s="1" t="s">
        <v>668</v>
      </c>
      <c r="D86" s="1" t="s">
        <v>669</v>
      </c>
      <c r="E86" s="1" t="s">
        <v>664</v>
      </c>
      <c r="F86" s="1">
        <v>4.0</v>
      </c>
      <c r="G86" s="1">
        <v>2.0</v>
      </c>
    </row>
    <row r="87">
      <c r="A87" s="1" t="s">
        <v>670</v>
      </c>
      <c r="B87" s="1" t="s">
        <v>671</v>
      </c>
      <c r="C87" s="1" t="s">
        <v>672</v>
      </c>
      <c r="D87" s="1" t="s">
        <v>673</v>
      </c>
      <c r="E87" s="1" t="s">
        <v>664</v>
      </c>
      <c r="F87" s="1">
        <v>4.0</v>
      </c>
      <c r="G87" s="1">
        <v>3.0</v>
      </c>
    </row>
    <row r="88">
      <c r="A88" s="1" t="s">
        <v>674</v>
      </c>
      <c r="B88" s="1" t="s">
        <v>675</v>
      </c>
      <c r="C88" s="1" t="s">
        <v>676</v>
      </c>
      <c r="D88" s="1" t="s">
        <v>678</v>
      </c>
      <c r="E88" s="1" t="s">
        <v>664</v>
      </c>
      <c r="F88" s="1">
        <v>4.0</v>
      </c>
      <c r="G88" s="1">
        <v>4.0</v>
      </c>
    </row>
    <row r="89">
      <c r="A89" s="1" t="s">
        <v>679</v>
      </c>
      <c r="B89" s="1" t="s">
        <v>680</v>
      </c>
      <c r="C89" s="1" t="s">
        <v>681</v>
      </c>
      <c r="D89" s="1" t="s">
        <v>682</v>
      </c>
      <c r="E89" s="1" t="s">
        <v>664</v>
      </c>
      <c r="F89" s="1">
        <v>4.0</v>
      </c>
      <c r="G89" s="1">
        <v>5.0</v>
      </c>
    </row>
    <row r="90">
      <c r="A90" s="1" t="s">
        <v>683</v>
      </c>
      <c r="B90" s="1" t="s">
        <v>684</v>
      </c>
      <c r="C90" s="1" t="s">
        <v>686</v>
      </c>
      <c r="D90" s="1" t="s">
        <v>687</v>
      </c>
      <c r="E90" s="1" t="s">
        <v>664</v>
      </c>
      <c r="F90" s="1">
        <v>4.0</v>
      </c>
      <c r="G90" s="1">
        <v>6.0</v>
      </c>
    </row>
    <row r="91">
      <c r="A91" s="1" t="s">
        <v>688</v>
      </c>
      <c r="B91" s="1" t="s">
        <v>689</v>
      </c>
      <c r="C91" s="1" t="s">
        <v>690</v>
      </c>
      <c r="D91" s="1" t="s">
        <v>691</v>
      </c>
      <c r="E91" s="1" t="s">
        <v>664</v>
      </c>
      <c r="F91" s="1">
        <v>4.0</v>
      </c>
      <c r="G91" s="1">
        <v>7.0</v>
      </c>
    </row>
    <row r="92">
      <c r="A92" s="1" t="s">
        <v>693</v>
      </c>
      <c r="B92" s="1" t="s">
        <v>694</v>
      </c>
      <c r="C92" s="1" t="s">
        <v>696</v>
      </c>
      <c r="D92" s="1" t="s">
        <v>697</v>
      </c>
      <c r="E92" s="1" t="s">
        <v>664</v>
      </c>
      <c r="F92" s="1">
        <v>4.0</v>
      </c>
      <c r="G92" s="1">
        <v>8.0</v>
      </c>
    </row>
    <row r="93">
      <c r="A93" s="1" t="s">
        <v>698</v>
      </c>
      <c r="B93" s="1" t="s">
        <v>700</v>
      </c>
      <c r="C93" s="1" t="s">
        <v>701</v>
      </c>
      <c r="D93" s="1" t="s">
        <v>702</v>
      </c>
      <c r="E93" s="1" t="s">
        <v>664</v>
      </c>
      <c r="F93" s="1">
        <v>4.0</v>
      </c>
      <c r="G93" s="1">
        <v>9.0</v>
      </c>
    </row>
    <row r="94">
      <c r="A94" s="1" t="s">
        <v>703</v>
      </c>
      <c r="B94" s="1" t="s">
        <v>705</v>
      </c>
      <c r="C94" s="1" t="s">
        <v>706</v>
      </c>
      <c r="D94" s="1" t="s">
        <v>707</v>
      </c>
      <c r="E94" s="1" t="s">
        <v>664</v>
      </c>
      <c r="F94" s="1">
        <v>4.0</v>
      </c>
      <c r="G94" s="1">
        <v>10.0</v>
      </c>
    </row>
    <row r="95">
      <c r="A95" s="1" t="s">
        <v>709</v>
      </c>
      <c r="B95" s="1" t="s">
        <v>711</v>
      </c>
      <c r="C95" s="1" t="s">
        <v>712</v>
      </c>
      <c r="D95" s="1" t="s">
        <v>713</v>
      </c>
      <c r="E95" s="1" t="s">
        <v>664</v>
      </c>
      <c r="F95" s="1">
        <v>4.0</v>
      </c>
      <c r="G95" s="1">
        <v>11.0</v>
      </c>
    </row>
    <row r="96">
      <c r="A96" s="1" t="s">
        <v>715</v>
      </c>
      <c r="B96" s="1" t="s">
        <v>716</v>
      </c>
      <c r="C96" s="1" t="s">
        <v>717</v>
      </c>
      <c r="D96" s="1" t="s">
        <v>718</v>
      </c>
      <c r="E96" s="1" t="s">
        <v>664</v>
      </c>
      <c r="F96" s="1">
        <v>4.0</v>
      </c>
      <c r="G96" s="1">
        <v>12.0</v>
      </c>
    </row>
    <row r="97">
      <c r="A97" s="1" t="s">
        <v>719</v>
      </c>
      <c r="B97" s="1" t="s">
        <v>720</v>
      </c>
      <c r="C97" s="1" t="s">
        <v>721</v>
      </c>
      <c r="D97" s="1" t="s">
        <v>722</v>
      </c>
      <c r="E97" s="1" t="s">
        <v>664</v>
      </c>
      <c r="F97" s="1">
        <v>4.0</v>
      </c>
      <c r="G97" s="1">
        <v>13.0</v>
      </c>
    </row>
    <row r="98">
      <c r="A98" s="1" t="s">
        <v>724</v>
      </c>
      <c r="B98" s="1" t="s">
        <v>725</v>
      </c>
      <c r="C98" s="1" t="s">
        <v>726</v>
      </c>
      <c r="D98" s="1" t="s">
        <v>727</v>
      </c>
      <c r="E98" s="1" t="s">
        <v>664</v>
      </c>
      <c r="F98" s="1">
        <v>4.0</v>
      </c>
      <c r="G98" s="1">
        <v>14.0</v>
      </c>
    </row>
    <row r="99">
      <c r="A99" s="1" t="s">
        <v>728</v>
      </c>
      <c r="B99" s="1" t="s">
        <v>729</v>
      </c>
      <c r="C99" s="1" t="s">
        <v>730</v>
      </c>
      <c r="D99" s="1" t="s">
        <v>731</v>
      </c>
      <c r="E99" s="1" t="s">
        <v>664</v>
      </c>
      <c r="F99" s="1">
        <v>4.0</v>
      </c>
      <c r="G99" s="1">
        <v>15.0</v>
      </c>
    </row>
    <row r="100">
      <c r="A100" s="1" t="s">
        <v>732</v>
      </c>
      <c r="B100" s="1" t="s">
        <v>733</v>
      </c>
      <c r="C100" s="1" t="s">
        <v>734</v>
      </c>
      <c r="D100" s="1" t="s">
        <v>735</v>
      </c>
      <c r="E100" s="1" t="s">
        <v>664</v>
      </c>
      <c r="F100" s="1">
        <v>4.0</v>
      </c>
      <c r="G100" s="1">
        <v>16.0</v>
      </c>
    </row>
    <row r="101">
      <c r="A101" s="1" t="s">
        <v>737</v>
      </c>
      <c r="B101" s="1" t="s">
        <v>738</v>
      </c>
      <c r="C101" s="1" t="s">
        <v>739</v>
      </c>
      <c r="D101" s="1" t="s">
        <v>741</v>
      </c>
      <c r="E101" s="1" t="s">
        <v>664</v>
      </c>
      <c r="F101" s="1">
        <v>4.0</v>
      </c>
      <c r="G101" s="1">
        <v>17.0</v>
      </c>
    </row>
    <row r="102">
      <c r="A102" s="1" t="s">
        <v>743</v>
      </c>
      <c r="B102" s="1" t="s">
        <v>744</v>
      </c>
      <c r="C102" s="1" t="s">
        <v>745</v>
      </c>
      <c r="D102" s="1" t="s">
        <v>746</v>
      </c>
      <c r="E102" s="1" t="s">
        <v>664</v>
      </c>
      <c r="F102" s="1">
        <v>4.0</v>
      </c>
      <c r="G102" s="1">
        <v>18.0</v>
      </c>
    </row>
    <row r="103">
      <c r="A103" s="1" t="s">
        <v>747</v>
      </c>
      <c r="B103" s="1" t="s">
        <v>748</v>
      </c>
      <c r="C103" s="1" t="s">
        <v>750</v>
      </c>
      <c r="D103" s="1" t="s">
        <v>751</v>
      </c>
      <c r="E103" s="1" t="s">
        <v>664</v>
      </c>
      <c r="F103" s="1">
        <v>4.0</v>
      </c>
      <c r="G103" s="1">
        <v>19.0</v>
      </c>
    </row>
    <row r="104">
      <c r="A104" s="1" t="s">
        <v>752</v>
      </c>
      <c r="B104" s="1" t="s">
        <v>753</v>
      </c>
      <c r="C104" s="1" t="s">
        <v>754</v>
      </c>
      <c r="D104" s="1" t="s">
        <v>756</v>
      </c>
      <c r="E104" s="1" t="s">
        <v>664</v>
      </c>
      <c r="F104" s="1">
        <v>4.0</v>
      </c>
      <c r="G104" s="1">
        <v>20.0</v>
      </c>
    </row>
    <row r="105">
      <c r="A105" s="1" t="s">
        <v>757</v>
      </c>
      <c r="B105" s="1" t="s">
        <v>758</v>
      </c>
      <c r="C105" s="1" t="s">
        <v>759</v>
      </c>
      <c r="D105" s="1" t="s">
        <v>760</v>
      </c>
      <c r="E105" s="1" t="s">
        <v>664</v>
      </c>
      <c r="F105" s="1">
        <v>4.0</v>
      </c>
      <c r="G105" s="1">
        <v>21.0</v>
      </c>
    </row>
    <row r="106">
      <c r="A106" s="1" t="s">
        <v>761</v>
      </c>
      <c r="B106" s="1" t="s">
        <v>762</v>
      </c>
      <c r="C106" s="1" t="s">
        <v>763</v>
      </c>
      <c r="D106" s="1" t="s">
        <v>764</v>
      </c>
      <c r="E106" s="1" t="s">
        <v>664</v>
      </c>
      <c r="F106" s="1">
        <v>4.0</v>
      </c>
      <c r="G106" s="1">
        <v>22.0</v>
      </c>
    </row>
    <row r="107">
      <c r="A107" s="1" t="s">
        <v>765</v>
      </c>
      <c r="B107" s="1" t="s">
        <v>766</v>
      </c>
      <c r="C107" s="1" t="s">
        <v>767</v>
      </c>
      <c r="D107" s="1" t="s">
        <v>768</v>
      </c>
      <c r="E107" s="1" t="s">
        <v>664</v>
      </c>
      <c r="F107" s="1">
        <v>4.0</v>
      </c>
      <c r="G107" s="1">
        <v>23.0</v>
      </c>
    </row>
    <row r="108">
      <c r="A108" s="1" t="s">
        <v>770</v>
      </c>
      <c r="B108" s="1" t="s">
        <v>771</v>
      </c>
      <c r="C108" s="1" t="s">
        <v>772</v>
      </c>
      <c r="D108" s="1" t="s">
        <v>773</v>
      </c>
      <c r="E108" s="1" t="s">
        <v>664</v>
      </c>
      <c r="F108" s="1">
        <v>4.0</v>
      </c>
      <c r="G108" s="1">
        <v>24.0</v>
      </c>
    </row>
    <row r="109">
      <c r="A109" s="1" t="s">
        <v>774</v>
      </c>
      <c r="B109" s="1" t="s">
        <v>775</v>
      </c>
      <c r="C109" s="1" t="s">
        <v>776</v>
      </c>
      <c r="D109" s="1" t="s">
        <v>777</v>
      </c>
      <c r="E109" s="1" t="s">
        <v>664</v>
      </c>
      <c r="F109" s="1">
        <v>4.0</v>
      </c>
      <c r="G109" s="1">
        <v>25.0</v>
      </c>
    </row>
    <row r="110">
      <c r="A110" s="1" t="s">
        <v>778</v>
      </c>
      <c r="B110" s="1" t="s">
        <v>779</v>
      </c>
      <c r="C110" s="1" t="s">
        <v>781</v>
      </c>
      <c r="D110" s="1" t="s">
        <v>782</v>
      </c>
      <c r="E110" s="1" t="s">
        <v>664</v>
      </c>
      <c r="F110" s="1">
        <v>4.0</v>
      </c>
      <c r="G110" s="1">
        <v>26.0</v>
      </c>
    </row>
    <row r="111">
      <c r="A111" s="1" t="s">
        <v>784</v>
      </c>
      <c r="B111" s="1" t="s">
        <v>785</v>
      </c>
      <c r="C111" s="1" t="s">
        <v>786</v>
      </c>
      <c r="D111" s="1" t="s">
        <v>787</v>
      </c>
      <c r="E111" s="1" t="s">
        <v>664</v>
      </c>
      <c r="F111" s="1">
        <v>4.0</v>
      </c>
      <c r="G111" s="1">
        <v>27.0</v>
      </c>
    </row>
    <row r="112">
      <c r="A112" s="1" t="s">
        <v>788</v>
      </c>
      <c r="B112" s="1" t="s">
        <v>789</v>
      </c>
      <c r="C112" s="1" t="s">
        <v>790</v>
      </c>
      <c r="D112" s="1" t="s">
        <v>791</v>
      </c>
      <c r="E112" s="1" t="s">
        <v>664</v>
      </c>
      <c r="F112" s="1">
        <v>4.0</v>
      </c>
      <c r="G112" s="1">
        <v>28.0</v>
      </c>
    </row>
    <row r="113">
      <c r="A113" s="1" t="s">
        <v>793</v>
      </c>
      <c r="B113" s="1" t="s">
        <v>795</v>
      </c>
      <c r="C113" s="1" t="s">
        <v>796</v>
      </c>
      <c r="D113" s="1" t="s">
        <v>797</v>
      </c>
      <c r="E113" s="1" t="s">
        <v>664</v>
      </c>
      <c r="F113" s="1">
        <v>4.0</v>
      </c>
      <c r="G113" s="1">
        <v>29.0</v>
      </c>
    </row>
    <row r="114">
      <c r="A114" s="1" t="s">
        <v>798</v>
      </c>
      <c r="B114" s="1" t="s">
        <v>799</v>
      </c>
      <c r="C114" s="1" t="s">
        <v>800</v>
      </c>
      <c r="D114" s="1" t="s">
        <v>801</v>
      </c>
      <c r="E114" s="1" t="s">
        <v>664</v>
      </c>
      <c r="F114" s="1">
        <v>4.0</v>
      </c>
      <c r="G114" s="1">
        <v>30.0</v>
      </c>
    </row>
    <row r="115">
      <c r="A115" s="1" t="s">
        <v>802</v>
      </c>
      <c r="B115" s="1" t="s">
        <v>803</v>
      </c>
      <c r="C115" s="1" t="s">
        <v>805</v>
      </c>
      <c r="D115" s="1" t="s">
        <v>809</v>
      </c>
      <c r="E115" s="1" t="s">
        <v>810</v>
      </c>
      <c r="F115" s="1">
        <v>5.0</v>
      </c>
      <c r="G115" s="1">
        <v>1.0</v>
      </c>
    </row>
    <row r="116">
      <c r="A116" s="1" t="s">
        <v>811</v>
      </c>
      <c r="B116" s="1" t="s">
        <v>812</v>
      </c>
      <c r="C116" s="1" t="s">
        <v>813</v>
      </c>
      <c r="D116" s="1" t="s">
        <v>815</v>
      </c>
      <c r="E116" s="1" t="s">
        <v>810</v>
      </c>
      <c r="F116" s="1">
        <v>5.0</v>
      </c>
      <c r="G116" s="1">
        <v>2.0</v>
      </c>
    </row>
    <row r="117">
      <c r="A117" s="1" t="s">
        <v>816</v>
      </c>
      <c r="B117" s="1" t="s">
        <v>817</v>
      </c>
      <c r="C117" s="1" t="s">
        <v>818</v>
      </c>
      <c r="D117" s="1" t="s">
        <v>819</v>
      </c>
      <c r="E117" s="1" t="s">
        <v>810</v>
      </c>
      <c r="F117" s="1">
        <v>5.0</v>
      </c>
      <c r="G117" s="1">
        <v>3.0</v>
      </c>
    </row>
    <row r="118">
      <c r="A118" s="1" t="s">
        <v>820</v>
      </c>
      <c r="B118" s="1" t="s">
        <v>821</v>
      </c>
      <c r="C118" s="1" t="s">
        <v>822</v>
      </c>
      <c r="D118" s="1" t="s">
        <v>823</v>
      </c>
      <c r="E118" s="1" t="s">
        <v>810</v>
      </c>
      <c r="F118" s="1">
        <v>5.0</v>
      </c>
      <c r="G118" s="1">
        <v>4.0</v>
      </c>
    </row>
    <row r="119">
      <c r="A119" s="1" t="s">
        <v>825</v>
      </c>
      <c r="B119" s="1" t="s">
        <v>826</v>
      </c>
      <c r="C119" s="1" t="s">
        <v>827</v>
      </c>
      <c r="D119" s="1" t="s">
        <v>828</v>
      </c>
      <c r="E119" s="1" t="s">
        <v>810</v>
      </c>
      <c r="F119" s="1">
        <v>5.0</v>
      </c>
      <c r="G119" s="1">
        <v>5.0</v>
      </c>
    </row>
    <row r="120">
      <c r="A120" s="1" t="s">
        <v>829</v>
      </c>
      <c r="B120" s="1" t="s">
        <v>830</v>
      </c>
      <c r="C120" s="1" t="s">
        <v>831</v>
      </c>
      <c r="D120" s="1" t="s">
        <v>832</v>
      </c>
      <c r="E120" s="1" t="s">
        <v>810</v>
      </c>
      <c r="F120" s="1">
        <v>5.0</v>
      </c>
      <c r="G120" s="1">
        <v>6.0</v>
      </c>
    </row>
    <row r="121">
      <c r="A121" s="1" t="s">
        <v>833</v>
      </c>
      <c r="B121" s="1" t="s">
        <v>835</v>
      </c>
      <c r="C121" s="1" t="s">
        <v>836</v>
      </c>
      <c r="D121" s="1" t="s">
        <v>838</v>
      </c>
      <c r="E121" s="1" t="s">
        <v>810</v>
      </c>
      <c r="F121" s="1">
        <v>5.0</v>
      </c>
      <c r="G121" s="1">
        <v>7.0</v>
      </c>
    </row>
    <row r="122">
      <c r="A122" s="1" t="s">
        <v>839</v>
      </c>
      <c r="B122" s="1" t="s">
        <v>840</v>
      </c>
      <c r="C122" s="1" t="s">
        <v>841</v>
      </c>
      <c r="D122" s="1" t="s">
        <v>842</v>
      </c>
      <c r="E122" s="1" t="s">
        <v>810</v>
      </c>
      <c r="F122" s="1">
        <v>5.0</v>
      </c>
      <c r="G122" s="1">
        <v>8.0</v>
      </c>
    </row>
    <row r="123">
      <c r="A123" s="1" t="s">
        <v>843</v>
      </c>
      <c r="B123" s="1" t="s">
        <v>844</v>
      </c>
      <c r="C123" s="1" t="s">
        <v>845</v>
      </c>
      <c r="D123" s="1" t="s">
        <v>847</v>
      </c>
      <c r="E123" s="1" t="s">
        <v>810</v>
      </c>
      <c r="F123" s="1">
        <v>5.0</v>
      </c>
      <c r="G123" s="1">
        <v>9.0</v>
      </c>
    </row>
    <row r="124">
      <c r="A124" s="1" t="s">
        <v>849</v>
      </c>
      <c r="B124" s="1" t="s">
        <v>850</v>
      </c>
      <c r="C124" s="1" t="s">
        <v>851</v>
      </c>
      <c r="D124" s="1" t="s">
        <v>852</v>
      </c>
      <c r="E124" s="1" t="s">
        <v>810</v>
      </c>
      <c r="F124" s="1">
        <v>5.0</v>
      </c>
      <c r="G124" s="1">
        <v>10.0</v>
      </c>
    </row>
    <row r="125">
      <c r="A125" s="1" t="s">
        <v>853</v>
      </c>
      <c r="B125" s="1" t="s">
        <v>854</v>
      </c>
      <c r="C125" s="1" t="s">
        <v>855</v>
      </c>
      <c r="D125" s="1" t="s">
        <v>857</v>
      </c>
      <c r="E125" s="1" t="s">
        <v>238</v>
      </c>
      <c r="F125" s="1">
        <v>2.0</v>
      </c>
      <c r="G125" s="1">
        <v>30.0</v>
      </c>
    </row>
    <row r="126">
      <c r="A126" s="1" t="s">
        <v>859</v>
      </c>
      <c r="B126" s="1" t="s">
        <v>860</v>
      </c>
      <c r="C126" s="1" t="s">
        <v>861</v>
      </c>
      <c r="D126" s="1" t="s">
        <v>862</v>
      </c>
      <c r="E126" s="1" t="s">
        <v>810</v>
      </c>
      <c r="F126" s="1">
        <v>5.0</v>
      </c>
      <c r="G126" s="1">
        <v>12.0</v>
      </c>
    </row>
    <row r="127">
      <c r="A127" s="1" t="s">
        <v>864</v>
      </c>
      <c r="B127" s="1" t="s">
        <v>865</v>
      </c>
      <c r="C127" s="1" t="s">
        <v>867</v>
      </c>
      <c r="D127" s="1" t="s">
        <v>868</v>
      </c>
      <c r="E127" s="1" t="s">
        <v>810</v>
      </c>
      <c r="F127" s="1">
        <v>5.0</v>
      </c>
      <c r="G127" s="1">
        <v>13.0</v>
      </c>
    </row>
    <row r="128">
      <c r="A128" s="1" t="s">
        <v>869</v>
      </c>
      <c r="B128" s="1" t="s">
        <v>870</v>
      </c>
      <c r="C128" s="1" t="s">
        <v>871</v>
      </c>
      <c r="D128" s="1" t="s">
        <v>872</v>
      </c>
      <c r="E128" s="1" t="s">
        <v>810</v>
      </c>
      <c r="F128" s="1">
        <v>5.0</v>
      </c>
      <c r="G128" s="1">
        <v>14.0</v>
      </c>
    </row>
    <row r="129">
      <c r="A129" s="1" t="s">
        <v>874</v>
      </c>
      <c r="B129" s="1" t="s">
        <v>875</v>
      </c>
      <c r="C129" s="1" t="s">
        <v>876</v>
      </c>
      <c r="D129" s="1" t="s">
        <v>877</v>
      </c>
      <c r="E129" s="1" t="s">
        <v>810</v>
      </c>
      <c r="F129" s="1">
        <v>5.0</v>
      </c>
      <c r="G129" s="1">
        <v>15.0</v>
      </c>
    </row>
    <row r="130">
      <c r="A130" s="1" t="s">
        <v>878</v>
      </c>
      <c r="B130" s="1" t="s">
        <v>879</v>
      </c>
      <c r="C130" s="1" t="s">
        <v>880</v>
      </c>
      <c r="D130" s="1" t="s">
        <v>881</v>
      </c>
      <c r="E130" s="1" t="s">
        <v>810</v>
      </c>
      <c r="F130" s="1">
        <v>5.0</v>
      </c>
      <c r="G130" s="1">
        <v>16.0</v>
      </c>
    </row>
    <row r="131">
      <c r="A131" s="1" t="s">
        <v>883</v>
      </c>
      <c r="B131" s="1" t="s">
        <v>884</v>
      </c>
      <c r="C131" s="1" t="s">
        <v>886</v>
      </c>
      <c r="D131" s="1" t="s">
        <v>887</v>
      </c>
      <c r="E131" s="1" t="s">
        <v>810</v>
      </c>
      <c r="F131" s="1">
        <v>5.0</v>
      </c>
      <c r="G131" s="1">
        <v>17.0</v>
      </c>
    </row>
    <row r="132">
      <c r="A132" s="1" t="s">
        <v>611</v>
      </c>
      <c r="B132" s="1" t="s">
        <v>888</v>
      </c>
      <c r="C132" s="1" t="s">
        <v>889</v>
      </c>
      <c r="D132" s="1" t="s">
        <v>890</v>
      </c>
      <c r="E132" s="1" t="s">
        <v>810</v>
      </c>
      <c r="F132" s="1">
        <v>5.0</v>
      </c>
      <c r="G132" s="1">
        <v>18.0</v>
      </c>
    </row>
    <row r="133">
      <c r="A133" s="1" t="s">
        <v>891</v>
      </c>
      <c r="B133" s="1" t="s">
        <v>893</v>
      </c>
      <c r="C133" s="1" t="s">
        <v>894</v>
      </c>
      <c r="D133" s="1" t="s">
        <v>895</v>
      </c>
      <c r="E133" s="1" t="s">
        <v>810</v>
      </c>
      <c r="F133" s="1">
        <v>5.0</v>
      </c>
      <c r="G133" s="1">
        <v>19.0</v>
      </c>
    </row>
    <row r="134">
      <c r="A134" s="1" t="s">
        <v>898</v>
      </c>
      <c r="B134" s="1" t="s">
        <v>900</v>
      </c>
      <c r="C134" s="1" t="s">
        <v>901</v>
      </c>
      <c r="D134" s="1" t="s">
        <v>902</v>
      </c>
      <c r="E134" s="1" t="s">
        <v>810</v>
      </c>
      <c r="F134" s="1">
        <v>5.0</v>
      </c>
      <c r="G134" s="1">
        <v>20.0</v>
      </c>
    </row>
    <row r="135">
      <c r="A135" s="1" t="s">
        <v>903</v>
      </c>
      <c r="B135" s="1" t="s">
        <v>904</v>
      </c>
      <c r="C135" s="1" t="s">
        <v>905</v>
      </c>
      <c r="D135" s="1" t="s">
        <v>907</v>
      </c>
      <c r="E135" s="1" t="s">
        <v>810</v>
      </c>
      <c r="F135" s="1">
        <v>5.0</v>
      </c>
      <c r="G135" s="1">
        <v>21.0</v>
      </c>
    </row>
    <row r="136">
      <c r="A136" s="1" t="s">
        <v>908</v>
      </c>
      <c r="B136" s="1" t="s">
        <v>910</v>
      </c>
      <c r="C136" s="1" t="s">
        <v>911</v>
      </c>
      <c r="D136" s="1" t="s">
        <v>915</v>
      </c>
      <c r="E136" s="1" t="s">
        <v>810</v>
      </c>
      <c r="F136" s="1">
        <v>5.0</v>
      </c>
      <c r="G136" s="1">
        <v>22.0</v>
      </c>
    </row>
    <row r="137">
      <c r="A137" s="1" t="s">
        <v>916</v>
      </c>
      <c r="B137" s="1" t="s">
        <v>917</v>
      </c>
      <c r="C137" s="1" t="s">
        <v>918</v>
      </c>
      <c r="D137" s="1" t="s">
        <v>919</v>
      </c>
      <c r="E137" s="1" t="s">
        <v>810</v>
      </c>
      <c r="F137" s="1">
        <v>5.0</v>
      </c>
      <c r="G137" s="1">
        <v>23.0</v>
      </c>
    </row>
    <row r="138">
      <c r="A138" s="1" t="s">
        <v>921</v>
      </c>
      <c r="B138" s="1" t="s">
        <v>922</v>
      </c>
      <c r="C138" s="1" t="s">
        <v>923</v>
      </c>
      <c r="D138" s="1" t="s">
        <v>924</v>
      </c>
      <c r="E138" s="1" t="s">
        <v>810</v>
      </c>
      <c r="F138" s="1">
        <v>5.0</v>
      </c>
      <c r="G138" s="1">
        <v>24.0</v>
      </c>
    </row>
    <row r="139">
      <c r="A139" s="1" t="s">
        <v>925</v>
      </c>
      <c r="B139" s="1" t="s">
        <v>926</v>
      </c>
      <c r="C139" s="1" t="s">
        <v>927</v>
      </c>
      <c r="D139" s="1" t="s">
        <v>928</v>
      </c>
      <c r="E139" s="1" t="s">
        <v>810</v>
      </c>
      <c r="F139" s="1">
        <v>5.0</v>
      </c>
      <c r="G139" s="1">
        <v>25.0</v>
      </c>
    </row>
    <row r="140">
      <c r="A140" s="1" t="s">
        <v>930</v>
      </c>
      <c r="B140" s="1" t="s">
        <v>932</v>
      </c>
      <c r="C140" s="1" t="s">
        <v>933</v>
      </c>
      <c r="D140" s="1" t="s">
        <v>934</v>
      </c>
      <c r="E140" s="1" t="s">
        <v>810</v>
      </c>
      <c r="F140" s="1">
        <v>5.0</v>
      </c>
      <c r="G140" s="1">
        <v>26.0</v>
      </c>
    </row>
    <row r="141">
      <c r="A141" s="1" t="s">
        <v>935</v>
      </c>
      <c r="B141" s="1" t="s">
        <v>936</v>
      </c>
      <c r="C141" s="1" t="s">
        <v>937</v>
      </c>
      <c r="D141" s="1" t="s">
        <v>938</v>
      </c>
      <c r="E141" s="1" t="s">
        <v>810</v>
      </c>
      <c r="F141" s="1">
        <v>5.0</v>
      </c>
      <c r="G141" s="1">
        <v>28.0</v>
      </c>
    </row>
    <row r="142">
      <c r="A142" s="1" t="s">
        <v>948</v>
      </c>
      <c r="B142" s="1" t="s">
        <v>950</v>
      </c>
      <c r="C142" s="1" t="s">
        <v>951</v>
      </c>
      <c r="D142" s="1" t="s">
        <v>952</v>
      </c>
      <c r="E142" s="1" t="s">
        <v>810</v>
      </c>
      <c r="F142" s="1">
        <v>5.0</v>
      </c>
      <c r="G142" s="1">
        <v>27.0</v>
      </c>
    </row>
    <row r="143">
      <c r="A143" s="1" t="s">
        <v>953</v>
      </c>
      <c r="B143" s="1" t="s">
        <v>954</v>
      </c>
      <c r="C143" s="1" t="s">
        <v>955</v>
      </c>
      <c r="D143" s="1" t="s">
        <v>956</v>
      </c>
      <c r="E143" s="1" t="s">
        <v>144</v>
      </c>
      <c r="F143" s="1" t="s">
        <v>142</v>
      </c>
      <c r="G143" s="1"/>
    </row>
    <row r="144">
      <c r="A144" s="1" t="s">
        <v>957</v>
      </c>
      <c r="B144" s="1" t="s">
        <v>958</v>
      </c>
      <c r="C144" s="1" t="s">
        <v>959</v>
      </c>
      <c r="D144" s="1" t="s">
        <v>960</v>
      </c>
      <c r="E144" s="1" t="s">
        <v>810</v>
      </c>
      <c r="F144" s="1">
        <v>5.0</v>
      </c>
      <c r="G144" s="1">
        <v>29.0</v>
      </c>
    </row>
    <row r="145">
      <c r="A145" s="1" t="s">
        <v>961</v>
      </c>
      <c r="B145" s="1" t="s">
        <v>962</v>
      </c>
      <c r="C145" s="1" t="s">
        <v>963</v>
      </c>
      <c r="D145" s="1" t="s">
        <v>965</v>
      </c>
      <c r="E145" s="1" t="s">
        <v>810</v>
      </c>
      <c r="F145" s="1">
        <v>5.0</v>
      </c>
      <c r="G145" s="1">
        <v>30.0</v>
      </c>
    </row>
    <row r="146">
      <c r="A146" s="1" t="s">
        <v>967</v>
      </c>
      <c r="B146" s="1" t="s">
        <v>968</v>
      </c>
      <c r="C146" s="1" t="s">
        <v>969</v>
      </c>
      <c r="D146" s="1" t="s">
        <v>970</v>
      </c>
      <c r="E146" s="1" t="s">
        <v>971</v>
      </c>
      <c r="F146" s="1">
        <v>6.0</v>
      </c>
      <c r="G146" s="1">
        <v>1.0</v>
      </c>
    </row>
    <row r="147">
      <c r="A147" s="1" t="s">
        <v>967</v>
      </c>
      <c r="B147" s="1" t="s">
        <v>968</v>
      </c>
      <c r="C147" s="1" t="s">
        <v>969</v>
      </c>
      <c r="D147" s="1" t="s">
        <v>970</v>
      </c>
      <c r="E147" s="1" t="s">
        <v>971</v>
      </c>
      <c r="F147" s="1">
        <v>6.0</v>
      </c>
      <c r="G147" s="1">
        <v>2.0</v>
      </c>
    </row>
    <row r="148">
      <c r="A148" s="1" t="s">
        <v>973</v>
      </c>
      <c r="B148" s="1" t="s">
        <v>974</v>
      </c>
      <c r="C148" s="1" t="s">
        <v>975</v>
      </c>
      <c r="D148" s="1" t="s">
        <v>976</v>
      </c>
      <c r="E148" s="1" t="s">
        <v>971</v>
      </c>
      <c r="F148" s="1">
        <v>6.0</v>
      </c>
      <c r="G148" s="1">
        <v>3.0</v>
      </c>
    </row>
    <row r="149">
      <c r="A149" s="1" t="s">
        <v>978</v>
      </c>
      <c r="B149" s="1" t="s">
        <v>979</v>
      </c>
      <c r="C149" s="1" t="s">
        <v>980</v>
      </c>
      <c r="D149" s="1" t="s">
        <v>982</v>
      </c>
      <c r="E149" s="1" t="s">
        <v>971</v>
      </c>
      <c r="F149" s="1">
        <v>6.0</v>
      </c>
      <c r="G149" s="1">
        <v>9.0</v>
      </c>
    </row>
    <row r="150">
      <c r="A150" s="1" t="s">
        <v>983</v>
      </c>
      <c r="B150" s="1" t="s">
        <v>984</v>
      </c>
      <c r="C150" s="1" t="s">
        <v>985</v>
      </c>
      <c r="D150" s="1" t="s">
        <v>986</v>
      </c>
      <c r="E150" s="1" t="s">
        <v>971</v>
      </c>
      <c r="F150" s="1">
        <v>6.0</v>
      </c>
      <c r="G150" s="1">
        <v>10.0</v>
      </c>
    </row>
    <row r="151">
      <c r="A151" s="1" t="s">
        <v>988</v>
      </c>
      <c r="B151" s="1" t="s">
        <v>990</v>
      </c>
      <c r="C151" s="1" t="s">
        <v>991</v>
      </c>
      <c r="D151" s="1" t="s">
        <v>992</v>
      </c>
      <c r="E151" s="1" t="s">
        <v>971</v>
      </c>
      <c r="F151" s="1">
        <v>6.0</v>
      </c>
      <c r="G151" s="1">
        <v>11.0</v>
      </c>
    </row>
    <row r="152">
      <c r="A152" s="1" t="s">
        <v>993</v>
      </c>
      <c r="B152" s="1" t="s">
        <v>994</v>
      </c>
      <c r="C152" s="1" t="s">
        <v>995</v>
      </c>
      <c r="D152" s="1" t="s">
        <v>997</v>
      </c>
      <c r="E152" s="1" t="s">
        <v>971</v>
      </c>
      <c r="F152" s="1">
        <v>6.0</v>
      </c>
      <c r="G152" s="1">
        <v>12.0</v>
      </c>
    </row>
    <row r="153">
      <c r="A153" s="1" t="s">
        <v>999</v>
      </c>
      <c r="B153" s="1" t="s">
        <v>1000</v>
      </c>
      <c r="C153" s="1" t="s">
        <v>1001</v>
      </c>
      <c r="D153" s="1" t="s">
        <v>1002</v>
      </c>
      <c r="E153" s="1" t="s">
        <v>971</v>
      </c>
      <c r="F153" s="1">
        <v>6.0</v>
      </c>
      <c r="G153" s="1">
        <v>13.0</v>
      </c>
    </row>
    <row r="154">
      <c r="A154" s="1" t="s">
        <v>1003</v>
      </c>
      <c r="B154" s="1" t="s">
        <v>1004</v>
      </c>
      <c r="C154" s="1" t="s">
        <v>1005</v>
      </c>
      <c r="D154" s="1" t="s">
        <v>1007</v>
      </c>
      <c r="E154" s="1" t="s">
        <v>971</v>
      </c>
      <c r="F154" s="1">
        <v>6.0</v>
      </c>
      <c r="G154" s="1">
        <v>14.0</v>
      </c>
    </row>
    <row r="155">
      <c r="A155" s="1" t="s">
        <v>1008</v>
      </c>
      <c r="B155" s="1" t="s">
        <v>1009</v>
      </c>
      <c r="C155" s="1" t="s">
        <v>1010</v>
      </c>
      <c r="D155" s="1" t="s">
        <v>1011</v>
      </c>
      <c r="E155" s="1" t="s">
        <v>971</v>
      </c>
      <c r="F155" s="1">
        <v>6.0</v>
      </c>
      <c r="G155" s="1">
        <v>15.0</v>
      </c>
    </row>
    <row r="156">
      <c r="A156" s="1" t="s">
        <v>1012</v>
      </c>
      <c r="B156" s="1" t="s">
        <v>1013</v>
      </c>
      <c r="C156" s="1" t="s">
        <v>1015</v>
      </c>
      <c r="D156" s="1" t="s">
        <v>1016</v>
      </c>
      <c r="E156" s="1" t="s">
        <v>971</v>
      </c>
      <c r="F156" s="1">
        <v>6.0</v>
      </c>
      <c r="G156" s="1">
        <v>16.0</v>
      </c>
    </row>
    <row r="157">
      <c r="A157" s="1" t="s">
        <v>1017</v>
      </c>
      <c r="B157" s="1" t="s">
        <v>1018</v>
      </c>
      <c r="C157" s="1" t="s">
        <v>1019</v>
      </c>
      <c r="D157" s="1" t="s">
        <v>1020</v>
      </c>
      <c r="E157" s="1" t="s">
        <v>971</v>
      </c>
      <c r="F157" s="1">
        <v>6.0</v>
      </c>
      <c r="G157" s="1">
        <v>17.0</v>
      </c>
    </row>
    <row r="158">
      <c r="A158" s="1" t="s">
        <v>1022</v>
      </c>
      <c r="B158" s="1" t="s">
        <v>1024</v>
      </c>
      <c r="C158" s="1" t="s">
        <v>1025</v>
      </c>
      <c r="D158" s="1" t="s">
        <v>1026</v>
      </c>
      <c r="E158" s="1" t="s">
        <v>971</v>
      </c>
      <c r="F158" s="1">
        <v>6.0</v>
      </c>
      <c r="G158" s="1">
        <v>18.0</v>
      </c>
    </row>
    <row r="159">
      <c r="A159" s="1" t="s">
        <v>1027</v>
      </c>
      <c r="B159" s="1" t="s">
        <v>1028</v>
      </c>
      <c r="C159" s="1" t="s">
        <v>1029</v>
      </c>
      <c r="D159" s="1" t="s">
        <v>1030</v>
      </c>
      <c r="E159" s="1" t="s">
        <v>971</v>
      </c>
      <c r="F159" s="1">
        <v>6.0</v>
      </c>
      <c r="G159" s="1">
        <v>19.0</v>
      </c>
    </row>
    <row r="160">
      <c r="A160" s="1" t="s">
        <v>1032</v>
      </c>
      <c r="B160" s="1" t="s">
        <v>1033</v>
      </c>
      <c r="C160" s="1" t="s">
        <v>1034</v>
      </c>
      <c r="D160" s="1" t="s">
        <v>1035</v>
      </c>
      <c r="E160" s="1" t="s">
        <v>971</v>
      </c>
      <c r="F160" s="1">
        <v>6.0</v>
      </c>
      <c r="G160" s="1">
        <v>20.0</v>
      </c>
    </row>
    <row r="161">
      <c r="A161" s="1" t="s">
        <v>1037</v>
      </c>
      <c r="B161" s="1" t="s">
        <v>1039</v>
      </c>
      <c r="C161" s="1" t="s">
        <v>1040</v>
      </c>
      <c r="D161" s="1" t="s">
        <v>1042</v>
      </c>
      <c r="E161" s="1" t="s">
        <v>971</v>
      </c>
      <c r="F161" s="1">
        <v>6.0</v>
      </c>
      <c r="G161" s="1">
        <v>21.0</v>
      </c>
    </row>
    <row r="162">
      <c r="A162" s="1" t="s">
        <v>1043</v>
      </c>
      <c r="B162" s="1" t="s">
        <v>1044</v>
      </c>
      <c r="C162" s="1" t="s">
        <v>1045</v>
      </c>
      <c r="D162" s="1" t="s">
        <v>1046</v>
      </c>
      <c r="E162" s="1" t="s">
        <v>971</v>
      </c>
      <c r="F162" s="1">
        <v>6.0</v>
      </c>
      <c r="G162" s="1">
        <v>22.0</v>
      </c>
    </row>
    <row r="163">
      <c r="A163" s="1" t="s">
        <v>1047</v>
      </c>
      <c r="B163" s="1" t="s">
        <v>1049</v>
      </c>
      <c r="C163" s="1" t="s">
        <v>1050</v>
      </c>
      <c r="D163" s="1" t="s">
        <v>1051</v>
      </c>
      <c r="E163" s="1" t="s">
        <v>971</v>
      </c>
      <c r="F163" s="1">
        <v>6.0</v>
      </c>
      <c r="G163" s="1">
        <v>23.0</v>
      </c>
    </row>
    <row r="164">
      <c r="A164" s="1" t="s">
        <v>1052</v>
      </c>
      <c r="B164" s="1" t="s">
        <v>1053</v>
      </c>
      <c r="C164" s="1" t="s">
        <v>1054</v>
      </c>
      <c r="D164" s="1" t="s">
        <v>1055</v>
      </c>
      <c r="E164" s="1" t="s">
        <v>971</v>
      </c>
      <c r="F164" s="1">
        <v>6.0</v>
      </c>
      <c r="G164" s="1">
        <v>24.0</v>
      </c>
    </row>
    <row r="165">
      <c r="A165" s="1" t="s">
        <v>1057</v>
      </c>
      <c r="B165" s="1" t="s">
        <v>1058</v>
      </c>
      <c r="C165" s="1" t="s">
        <v>1059</v>
      </c>
      <c r="D165" s="1" t="s">
        <v>1060</v>
      </c>
      <c r="E165" s="1" t="s">
        <v>971</v>
      </c>
      <c r="F165" s="1">
        <v>6.0</v>
      </c>
      <c r="G165" s="1">
        <v>25.0</v>
      </c>
    </row>
    <row r="166">
      <c r="A166" s="1" t="s">
        <v>1061</v>
      </c>
      <c r="B166" s="1" t="s">
        <v>1062</v>
      </c>
      <c r="C166" s="1" t="s">
        <v>1063</v>
      </c>
      <c r="D166" s="1" t="s">
        <v>1064</v>
      </c>
      <c r="E166" s="1" t="s">
        <v>971</v>
      </c>
      <c r="F166" s="1">
        <v>6.0</v>
      </c>
      <c r="G166" s="1">
        <v>26.0</v>
      </c>
    </row>
    <row r="167">
      <c r="A167" s="1" t="s">
        <v>1066</v>
      </c>
      <c r="B167" s="1" t="s">
        <v>1067</v>
      </c>
      <c r="C167" s="1" t="s">
        <v>1068</v>
      </c>
      <c r="D167" s="1" t="s">
        <v>1069</v>
      </c>
      <c r="E167" s="1" t="s">
        <v>971</v>
      </c>
      <c r="F167" s="1">
        <v>6.0</v>
      </c>
      <c r="G167" s="1">
        <v>28.0</v>
      </c>
    </row>
    <row r="168">
      <c r="A168" s="1" t="s">
        <v>1071</v>
      </c>
      <c r="B168" s="1" t="s">
        <v>1072</v>
      </c>
      <c r="C168" s="1" t="s">
        <v>1074</v>
      </c>
      <c r="D168" s="1" t="s">
        <v>1075</v>
      </c>
      <c r="E168" s="1" t="s">
        <v>971</v>
      </c>
      <c r="F168" s="1">
        <v>6.0</v>
      </c>
      <c r="G168" s="1">
        <v>29.0</v>
      </c>
    </row>
    <row r="169">
      <c r="A169" s="1" t="s">
        <v>1076</v>
      </c>
      <c r="B169" s="1" t="s">
        <v>1077</v>
      </c>
      <c r="C169" s="1" t="s">
        <v>1078</v>
      </c>
      <c r="D169" s="1" t="s">
        <v>1079</v>
      </c>
      <c r="E169" s="1" t="s">
        <v>971</v>
      </c>
      <c r="F169" s="1">
        <v>6.0</v>
      </c>
      <c r="G169" s="1">
        <v>30.0</v>
      </c>
    </row>
    <row r="170">
      <c r="A170" s="1" t="s">
        <v>1080</v>
      </c>
      <c r="B170" s="1" t="s">
        <v>1082</v>
      </c>
      <c r="C170" s="1" t="s">
        <v>1083</v>
      </c>
      <c r="D170" s="1" t="s">
        <v>1084</v>
      </c>
      <c r="E170" s="1" t="s">
        <v>1085</v>
      </c>
      <c r="F170" s="1">
        <v>7.0</v>
      </c>
      <c r="G170" s="1">
        <v>1.0</v>
      </c>
    </row>
    <row r="171">
      <c r="A171" s="1" t="s">
        <v>1086</v>
      </c>
      <c r="B171" s="1" t="s">
        <v>1088</v>
      </c>
      <c r="C171" s="1" t="s">
        <v>1090</v>
      </c>
      <c r="D171" s="1" t="s">
        <v>1091</v>
      </c>
      <c r="E171" s="1" t="s">
        <v>1085</v>
      </c>
      <c r="F171" s="1">
        <v>7.0</v>
      </c>
      <c r="G171" s="1">
        <v>2.0</v>
      </c>
    </row>
    <row r="172">
      <c r="A172" s="1" t="s">
        <v>1092</v>
      </c>
      <c r="B172" s="1" t="s">
        <v>1093</v>
      </c>
      <c r="C172" s="1" t="s">
        <v>1094</v>
      </c>
      <c r="D172" s="1" t="s">
        <v>1095</v>
      </c>
      <c r="E172" s="1" t="s">
        <v>1085</v>
      </c>
      <c r="F172" s="1">
        <v>7.0</v>
      </c>
      <c r="G172" s="1">
        <v>3.0</v>
      </c>
    </row>
    <row r="173">
      <c r="A173" s="1" t="s">
        <v>1097</v>
      </c>
      <c r="B173" s="1" t="s">
        <v>1098</v>
      </c>
      <c r="C173" s="1" t="s">
        <v>1099</v>
      </c>
      <c r="D173" s="1" t="s">
        <v>1100</v>
      </c>
      <c r="E173" s="1" t="s">
        <v>1085</v>
      </c>
      <c r="F173" s="1">
        <v>7.0</v>
      </c>
      <c r="G173" s="1">
        <v>4.0</v>
      </c>
    </row>
    <row r="174">
      <c r="A174" s="1" t="s">
        <v>1101</v>
      </c>
      <c r="B174" s="1" t="s">
        <v>1102</v>
      </c>
      <c r="C174" s="1" t="s">
        <v>1103</v>
      </c>
      <c r="D174" s="1" t="s">
        <v>1104</v>
      </c>
      <c r="E174" s="1" t="s">
        <v>1085</v>
      </c>
      <c r="F174" s="1">
        <v>7.0</v>
      </c>
      <c r="G174" s="1">
        <v>5.0</v>
      </c>
    </row>
    <row r="175">
      <c r="A175" s="1" t="s">
        <v>1106</v>
      </c>
      <c r="B175" s="1" t="s">
        <v>1107</v>
      </c>
      <c r="C175" s="1" t="s">
        <v>1108</v>
      </c>
      <c r="D175" s="1" t="s">
        <v>1110</v>
      </c>
      <c r="E175" s="1" t="s">
        <v>1085</v>
      </c>
      <c r="F175" s="1">
        <v>7.0</v>
      </c>
      <c r="G175" s="1">
        <v>6.0</v>
      </c>
    </row>
    <row r="176">
      <c r="A176" s="1" t="s">
        <v>1112</v>
      </c>
      <c r="B176" s="1" t="s">
        <v>1113</v>
      </c>
      <c r="C176" s="1" t="s">
        <v>1114</v>
      </c>
      <c r="D176" s="1" t="s">
        <v>1115</v>
      </c>
      <c r="E176" s="1" t="s">
        <v>1085</v>
      </c>
      <c r="F176" s="1">
        <v>7.0</v>
      </c>
      <c r="G176" s="1">
        <v>7.0</v>
      </c>
    </row>
    <row r="177">
      <c r="A177" s="1" t="s">
        <v>1116</v>
      </c>
      <c r="B177" s="1" t="s">
        <v>1117</v>
      </c>
      <c r="C177" s="1" t="s">
        <v>1118</v>
      </c>
      <c r="D177" s="1" t="s">
        <v>1119</v>
      </c>
      <c r="E177" s="1" t="s">
        <v>971</v>
      </c>
      <c r="F177" s="1">
        <v>6.0</v>
      </c>
      <c r="G177" s="1">
        <v>4.0</v>
      </c>
    </row>
    <row r="178">
      <c r="A178" s="1" t="s">
        <v>1121</v>
      </c>
      <c r="B178" s="1" t="s">
        <v>1122</v>
      </c>
      <c r="C178" s="1" t="s">
        <v>1123</v>
      </c>
      <c r="D178" s="1" t="s">
        <v>1124</v>
      </c>
      <c r="E178" s="1" t="s">
        <v>1085</v>
      </c>
      <c r="F178" s="1">
        <v>7.0</v>
      </c>
      <c r="G178" s="1">
        <v>9.0</v>
      </c>
    </row>
    <row r="179">
      <c r="A179" s="1" t="s">
        <v>1125</v>
      </c>
      <c r="B179" s="1" t="s">
        <v>1126</v>
      </c>
      <c r="C179" s="1" t="s">
        <v>1127</v>
      </c>
      <c r="D179" s="1" t="s">
        <v>1129</v>
      </c>
      <c r="E179" s="1" t="s">
        <v>1085</v>
      </c>
      <c r="F179" s="1">
        <v>7.0</v>
      </c>
      <c r="G179" s="1">
        <v>10.0</v>
      </c>
    </row>
    <row r="180">
      <c r="A180" s="1" t="s">
        <v>1130</v>
      </c>
      <c r="B180" s="1" t="s">
        <v>1131</v>
      </c>
      <c r="C180" s="1" t="s">
        <v>1132</v>
      </c>
      <c r="D180" s="1" t="s">
        <v>1133</v>
      </c>
      <c r="E180" s="1" t="s">
        <v>1085</v>
      </c>
      <c r="F180" s="1">
        <v>7.0</v>
      </c>
      <c r="G180" s="1">
        <v>11.0</v>
      </c>
    </row>
    <row r="181">
      <c r="A181" s="1" t="s">
        <v>1135</v>
      </c>
      <c r="B181" s="1" t="s">
        <v>1136</v>
      </c>
      <c r="C181" s="1" t="s">
        <v>1138</v>
      </c>
      <c r="D181" s="1" t="s">
        <v>1139</v>
      </c>
      <c r="E181" s="1" t="s">
        <v>1085</v>
      </c>
      <c r="F181" s="1">
        <v>7.0</v>
      </c>
      <c r="G181" s="1">
        <v>12.0</v>
      </c>
    </row>
    <row r="182">
      <c r="A182" s="1" t="s">
        <v>1140</v>
      </c>
      <c r="B182" s="1" t="s">
        <v>1141</v>
      </c>
      <c r="C182" s="1" t="s">
        <v>1142</v>
      </c>
      <c r="D182" s="1" t="s">
        <v>1143</v>
      </c>
      <c r="E182" s="1" t="s">
        <v>1085</v>
      </c>
      <c r="F182" s="1">
        <v>7.0</v>
      </c>
      <c r="G182" s="1">
        <v>13.0</v>
      </c>
    </row>
    <row r="183">
      <c r="A183" s="1" t="s">
        <v>1145</v>
      </c>
      <c r="B183" s="1" t="s">
        <v>1146</v>
      </c>
      <c r="C183" s="1" t="s">
        <v>1147</v>
      </c>
      <c r="D183" s="1" t="s">
        <v>1148</v>
      </c>
      <c r="E183" s="1" t="s">
        <v>1085</v>
      </c>
      <c r="F183" s="1">
        <v>7.0</v>
      </c>
      <c r="G183" s="1">
        <v>14.0</v>
      </c>
    </row>
    <row r="184">
      <c r="A184" s="1" t="s">
        <v>1149</v>
      </c>
      <c r="B184" s="1" t="s">
        <v>1150</v>
      </c>
      <c r="C184" s="1" t="s">
        <v>1152</v>
      </c>
      <c r="D184" s="1" t="s">
        <v>1153</v>
      </c>
      <c r="E184" s="1" t="s">
        <v>1085</v>
      </c>
      <c r="F184" s="1">
        <v>7.0</v>
      </c>
      <c r="G184" s="1">
        <v>15.0</v>
      </c>
    </row>
    <row r="185">
      <c r="A185" s="1" t="s">
        <v>1155</v>
      </c>
      <c r="B185" s="1" t="s">
        <v>1156</v>
      </c>
      <c r="C185" s="1" t="s">
        <v>1157</v>
      </c>
      <c r="D185" s="1" t="s">
        <v>1158</v>
      </c>
      <c r="E185" s="1" t="s">
        <v>1085</v>
      </c>
      <c r="F185" s="1">
        <v>7.0</v>
      </c>
      <c r="G185" s="1">
        <v>16.0</v>
      </c>
    </row>
    <row r="186">
      <c r="A186" s="1" t="s">
        <v>1159</v>
      </c>
      <c r="B186" s="1" t="s">
        <v>1160</v>
      </c>
      <c r="C186" s="1" t="s">
        <v>1161</v>
      </c>
      <c r="D186" s="1" t="s">
        <v>1162</v>
      </c>
      <c r="E186" s="1" t="s">
        <v>1085</v>
      </c>
      <c r="F186" s="1">
        <v>7.0</v>
      </c>
      <c r="G186" s="1">
        <v>17.0</v>
      </c>
    </row>
    <row r="187">
      <c r="A187" s="1" t="s">
        <v>1163</v>
      </c>
      <c r="B187" s="1" t="s">
        <v>1164</v>
      </c>
      <c r="C187" s="1" t="s">
        <v>1165</v>
      </c>
      <c r="D187" s="1" t="s">
        <v>1166</v>
      </c>
      <c r="E187" s="1" t="s">
        <v>1085</v>
      </c>
      <c r="F187" s="1">
        <v>7.0</v>
      </c>
      <c r="G187" s="1">
        <v>18.0</v>
      </c>
    </row>
    <row r="188">
      <c r="A188" s="1" t="s">
        <v>1167</v>
      </c>
      <c r="B188" s="1" t="s">
        <v>1168</v>
      </c>
      <c r="C188" s="1" t="s">
        <v>1170</v>
      </c>
      <c r="D188" s="1" t="s">
        <v>1171</v>
      </c>
      <c r="E188" s="1" t="s">
        <v>1085</v>
      </c>
      <c r="F188" s="1">
        <v>7.0</v>
      </c>
      <c r="G188" s="1">
        <v>19.0</v>
      </c>
    </row>
    <row r="189">
      <c r="A189" s="1" t="s">
        <v>1172</v>
      </c>
      <c r="B189" s="1" t="s">
        <v>1173</v>
      </c>
      <c r="C189" s="1" t="s">
        <v>1174</v>
      </c>
      <c r="D189" s="1" t="s">
        <v>1175</v>
      </c>
      <c r="E189" s="1" t="s">
        <v>1085</v>
      </c>
      <c r="F189" s="1">
        <v>7.0</v>
      </c>
      <c r="G189" s="1">
        <v>20.0</v>
      </c>
    </row>
    <row r="190">
      <c r="A190" s="1" t="s">
        <v>1182</v>
      </c>
      <c r="B190" s="1" t="s">
        <v>1183</v>
      </c>
      <c r="C190" s="1" t="s">
        <v>1184</v>
      </c>
      <c r="D190" s="1" t="s">
        <v>1185</v>
      </c>
      <c r="E190" s="1" t="s">
        <v>1085</v>
      </c>
      <c r="F190" s="1">
        <v>7.0</v>
      </c>
      <c r="G190" s="1">
        <v>21.0</v>
      </c>
    </row>
    <row r="191">
      <c r="A191" s="1" t="s">
        <v>1186</v>
      </c>
      <c r="B191" s="1" t="s">
        <v>1187</v>
      </c>
      <c r="C191" s="1" t="s">
        <v>1188</v>
      </c>
      <c r="D191" s="1" t="s">
        <v>1189</v>
      </c>
      <c r="E191" s="1" t="s">
        <v>1085</v>
      </c>
      <c r="F191" s="1">
        <v>7.0</v>
      </c>
      <c r="G191" s="1">
        <v>22.0</v>
      </c>
    </row>
    <row r="192">
      <c r="A192" s="1" t="s">
        <v>1190</v>
      </c>
      <c r="B192" s="1" t="s">
        <v>1191</v>
      </c>
      <c r="C192" s="1" t="s">
        <v>1192</v>
      </c>
      <c r="D192" s="1" t="s">
        <v>1193</v>
      </c>
      <c r="E192" s="1" t="s">
        <v>1085</v>
      </c>
      <c r="F192" s="1">
        <v>7.0</v>
      </c>
      <c r="G192" s="1">
        <v>23.0</v>
      </c>
    </row>
    <row r="193">
      <c r="A193" s="1" t="s">
        <v>1194</v>
      </c>
      <c r="B193" s="1" t="s">
        <v>1195</v>
      </c>
      <c r="C193" s="1" t="s">
        <v>1196</v>
      </c>
      <c r="D193" s="1" t="s">
        <v>1197</v>
      </c>
      <c r="E193" s="1" t="s">
        <v>1085</v>
      </c>
      <c r="F193" s="1">
        <v>7.0</v>
      </c>
      <c r="G193" s="1">
        <v>24.0</v>
      </c>
    </row>
    <row r="194">
      <c r="A194" s="1" t="s">
        <v>1198</v>
      </c>
      <c r="B194" s="1" t="s">
        <v>1199</v>
      </c>
      <c r="C194" s="1" t="s">
        <v>1200</v>
      </c>
      <c r="D194" s="1" t="s">
        <v>1201</v>
      </c>
      <c r="E194" s="1" t="s">
        <v>1085</v>
      </c>
      <c r="F194" s="1">
        <v>7.0</v>
      </c>
      <c r="G194" s="1">
        <v>25.0</v>
      </c>
    </row>
    <row r="195">
      <c r="A195" s="1" t="s">
        <v>1202</v>
      </c>
      <c r="B195" s="1" t="s">
        <v>1203</v>
      </c>
      <c r="C195" s="1" t="s">
        <v>1204</v>
      </c>
      <c r="D195" s="1" t="s">
        <v>1205</v>
      </c>
      <c r="E195" s="1" t="s">
        <v>1085</v>
      </c>
      <c r="F195" s="1">
        <v>7.0</v>
      </c>
      <c r="G195" s="1">
        <v>26.0</v>
      </c>
    </row>
    <row r="196">
      <c r="A196" s="1" t="s">
        <v>1206</v>
      </c>
      <c r="B196" s="1" t="s">
        <v>1207</v>
      </c>
      <c r="C196" s="1" t="s">
        <v>1208</v>
      </c>
      <c r="D196" s="1" t="s">
        <v>1209</v>
      </c>
      <c r="E196" s="1" t="s">
        <v>1085</v>
      </c>
      <c r="F196" s="1">
        <v>7.0</v>
      </c>
      <c r="G196" s="1">
        <v>27.0</v>
      </c>
    </row>
    <row r="197">
      <c r="A197" s="1" t="s">
        <v>1211</v>
      </c>
      <c r="B197" s="1" t="s">
        <v>1212</v>
      </c>
      <c r="C197" s="1" t="s">
        <v>1213</v>
      </c>
      <c r="D197" s="1" t="s">
        <v>1214</v>
      </c>
      <c r="E197" s="1" t="s">
        <v>1085</v>
      </c>
      <c r="F197" s="1">
        <v>7.0</v>
      </c>
      <c r="G197" s="1">
        <v>28.0</v>
      </c>
    </row>
    <row r="198">
      <c r="A198" s="1" t="s">
        <v>1215</v>
      </c>
      <c r="B198" s="1" t="s">
        <v>1216</v>
      </c>
      <c r="C198" s="1" t="s">
        <v>1217</v>
      </c>
      <c r="D198" s="1" t="s">
        <v>1219</v>
      </c>
      <c r="E198" s="1" t="s">
        <v>1085</v>
      </c>
      <c r="F198" s="1">
        <v>7.0</v>
      </c>
      <c r="G198" s="1">
        <v>29.0</v>
      </c>
    </row>
    <row r="199">
      <c r="A199" s="1" t="s">
        <v>1220</v>
      </c>
      <c r="B199" s="1" t="s">
        <v>1221</v>
      </c>
      <c r="C199" s="1" t="s">
        <v>1222</v>
      </c>
      <c r="D199" s="1" t="s">
        <v>1223</v>
      </c>
      <c r="E199" s="1" t="s">
        <v>1085</v>
      </c>
      <c r="F199" s="1">
        <v>7.0</v>
      </c>
      <c r="G199" s="1">
        <v>30.0</v>
      </c>
    </row>
    <row r="200">
      <c r="A200" s="1" t="s">
        <v>1224</v>
      </c>
      <c r="B200" s="1" t="s">
        <v>1225</v>
      </c>
      <c r="C200" s="1" t="s">
        <v>1227</v>
      </c>
      <c r="D200" s="1" t="s">
        <v>1228</v>
      </c>
      <c r="E200" s="1" t="s">
        <v>1229</v>
      </c>
      <c r="F200" s="1">
        <v>8.0</v>
      </c>
      <c r="G200" s="1">
        <v>1.0</v>
      </c>
    </row>
    <row r="201">
      <c r="A201" s="1" t="s">
        <v>1224</v>
      </c>
      <c r="B201" s="1" t="s">
        <v>1225</v>
      </c>
      <c r="C201" s="1" t="s">
        <v>1227</v>
      </c>
      <c r="D201" s="1" t="s">
        <v>1228</v>
      </c>
      <c r="E201" s="1" t="s">
        <v>1229</v>
      </c>
      <c r="F201" s="1">
        <v>8.0</v>
      </c>
      <c r="G201" s="1">
        <v>2.0</v>
      </c>
    </row>
    <row r="202">
      <c r="A202" s="1" t="s">
        <v>1231</v>
      </c>
      <c r="B202" s="1" t="s">
        <v>1233</v>
      </c>
      <c r="C202" s="1" t="s">
        <v>1234</v>
      </c>
      <c r="D202" s="1" t="s">
        <v>1235</v>
      </c>
      <c r="E202" s="1" t="s">
        <v>1229</v>
      </c>
      <c r="F202" s="1">
        <v>8.0</v>
      </c>
      <c r="G202" s="1">
        <v>3.0</v>
      </c>
    </row>
    <row r="203">
      <c r="A203" s="1" t="s">
        <v>1236</v>
      </c>
      <c r="B203" s="1" t="s">
        <v>1237</v>
      </c>
      <c r="C203" s="1" t="s">
        <v>1238</v>
      </c>
      <c r="D203" s="1" t="s">
        <v>1240</v>
      </c>
      <c r="E203" s="1" t="s">
        <v>1229</v>
      </c>
      <c r="F203" s="1">
        <v>8.0</v>
      </c>
      <c r="G203" s="1">
        <v>5.0</v>
      </c>
    </row>
    <row r="204">
      <c r="A204" s="1" t="s">
        <v>1242</v>
      </c>
      <c r="B204" s="1" t="s">
        <v>1243</v>
      </c>
      <c r="C204" s="1" t="s">
        <v>1244</v>
      </c>
      <c r="D204" s="1" t="s">
        <v>1245</v>
      </c>
      <c r="E204" s="1" t="s">
        <v>1229</v>
      </c>
      <c r="F204" s="1">
        <v>8.0</v>
      </c>
      <c r="G204" s="1">
        <v>6.0</v>
      </c>
    </row>
    <row r="205">
      <c r="A205" s="1" t="s">
        <v>1247</v>
      </c>
      <c r="B205" s="1" t="s">
        <v>1248</v>
      </c>
      <c r="C205" s="1" t="s">
        <v>1250</v>
      </c>
      <c r="D205" s="1" t="s">
        <v>1251</v>
      </c>
      <c r="E205" s="1" t="s">
        <v>1229</v>
      </c>
      <c r="F205" s="1">
        <v>8.0</v>
      </c>
      <c r="G205" s="1">
        <v>7.0</v>
      </c>
    </row>
    <row r="206">
      <c r="A206" s="1" t="s">
        <v>1253</v>
      </c>
      <c r="B206" s="1" t="s">
        <v>1254</v>
      </c>
      <c r="C206" s="1" t="s">
        <v>1255</v>
      </c>
      <c r="D206" s="1" t="s">
        <v>1256</v>
      </c>
      <c r="E206" s="1" t="s">
        <v>1229</v>
      </c>
      <c r="F206" s="1">
        <v>8.0</v>
      </c>
      <c r="G206" s="1">
        <v>8.0</v>
      </c>
    </row>
    <row r="207">
      <c r="A207" s="1" t="s">
        <v>1257</v>
      </c>
      <c r="B207" s="1" t="s">
        <v>1259</v>
      </c>
      <c r="C207" s="1" t="s">
        <v>1260</v>
      </c>
      <c r="D207" s="1" t="s">
        <v>1261</v>
      </c>
      <c r="E207" s="1" t="s">
        <v>1229</v>
      </c>
      <c r="F207" s="1">
        <v>8.0</v>
      </c>
      <c r="G207" s="1">
        <v>9.0</v>
      </c>
    </row>
    <row r="208">
      <c r="A208" s="1" t="s">
        <v>1262</v>
      </c>
      <c r="B208" s="1" t="s">
        <v>1263</v>
      </c>
      <c r="C208" s="1" t="s">
        <v>1264</v>
      </c>
      <c r="D208" s="1" t="s">
        <v>1265</v>
      </c>
      <c r="E208" s="1" t="s">
        <v>1229</v>
      </c>
      <c r="F208" s="1">
        <v>8.0</v>
      </c>
      <c r="G208" s="1">
        <v>10.0</v>
      </c>
    </row>
    <row r="209">
      <c r="A209" s="1" t="s">
        <v>1266</v>
      </c>
      <c r="B209" s="1" t="s">
        <v>1267</v>
      </c>
      <c r="C209" s="1" t="s">
        <v>1268</v>
      </c>
      <c r="D209" s="1" t="s">
        <v>1270</v>
      </c>
      <c r="E209" s="1" t="s">
        <v>1229</v>
      </c>
      <c r="F209" s="1">
        <v>8.0</v>
      </c>
      <c r="G209" s="1">
        <v>11.0</v>
      </c>
    </row>
    <row r="210">
      <c r="A210" s="1" t="s">
        <v>1271</v>
      </c>
      <c r="B210" s="1" t="s">
        <v>1272</v>
      </c>
      <c r="C210" s="1" t="s">
        <v>1273</v>
      </c>
      <c r="D210" s="1" t="s">
        <v>1274</v>
      </c>
      <c r="E210" s="1" t="s">
        <v>1229</v>
      </c>
      <c r="F210" s="1">
        <v>8.0</v>
      </c>
      <c r="G210" s="1">
        <v>12.0</v>
      </c>
    </row>
    <row r="211">
      <c r="A211" s="1" t="s">
        <v>1275</v>
      </c>
      <c r="B211" s="1" t="s">
        <v>1276</v>
      </c>
      <c r="C211" s="1" t="s">
        <v>1278</v>
      </c>
      <c r="D211" s="1" t="s">
        <v>1279</v>
      </c>
      <c r="E211" s="1" t="s">
        <v>1229</v>
      </c>
      <c r="F211" s="1">
        <v>8.0</v>
      </c>
      <c r="G211" s="1">
        <v>13.0</v>
      </c>
    </row>
    <row r="212">
      <c r="A212" s="1" t="s">
        <v>1280</v>
      </c>
      <c r="B212" s="1" t="s">
        <v>1281</v>
      </c>
      <c r="C212" s="1" t="s">
        <v>1283</v>
      </c>
      <c r="D212" s="1" t="s">
        <v>1284</v>
      </c>
      <c r="E212" s="1" t="s">
        <v>1229</v>
      </c>
      <c r="F212" s="1">
        <v>8.0</v>
      </c>
      <c r="G212" s="1">
        <v>14.0</v>
      </c>
    </row>
    <row r="213">
      <c r="A213" s="1" t="s">
        <v>1285</v>
      </c>
      <c r="B213" s="1" t="s">
        <v>1286</v>
      </c>
      <c r="C213" s="1" t="s">
        <v>1288</v>
      </c>
      <c r="D213" s="1" t="s">
        <v>1289</v>
      </c>
      <c r="E213" s="1" t="s">
        <v>1229</v>
      </c>
      <c r="F213" s="1">
        <v>8.0</v>
      </c>
      <c r="G213" s="1">
        <v>15.0</v>
      </c>
    </row>
    <row r="214">
      <c r="A214" s="1" t="s">
        <v>1290</v>
      </c>
      <c r="B214" s="1" t="s">
        <v>1291</v>
      </c>
      <c r="C214" s="1" t="s">
        <v>1293</v>
      </c>
      <c r="D214" s="1" t="s">
        <v>1295</v>
      </c>
      <c r="E214" s="1" t="s">
        <v>1229</v>
      </c>
      <c r="F214" s="1">
        <v>8.0</v>
      </c>
      <c r="G214" s="1">
        <v>16.0</v>
      </c>
    </row>
    <row r="215">
      <c r="A215" s="1" t="s">
        <v>1297</v>
      </c>
      <c r="B215" s="1" t="s">
        <v>1298</v>
      </c>
      <c r="C215" s="1" t="s">
        <v>1299</v>
      </c>
      <c r="D215" s="1" t="s">
        <v>1300</v>
      </c>
      <c r="E215" s="1" t="s">
        <v>1229</v>
      </c>
      <c r="F215" s="1">
        <v>8.0</v>
      </c>
      <c r="G215" s="1">
        <v>17.0</v>
      </c>
    </row>
    <row r="216">
      <c r="A216" s="1" t="s">
        <v>1301</v>
      </c>
      <c r="B216" s="1" t="s">
        <v>1303</v>
      </c>
      <c r="C216" s="1" t="s">
        <v>1305</v>
      </c>
      <c r="D216" s="1" t="s">
        <v>1306</v>
      </c>
      <c r="E216" s="1" t="s">
        <v>1229</v>
      </c>
      <c r="F216" s="1">
        <v>8.0</v>
      </c>
      <c r="G216" s="1">
        <v>18.0</v>
      </c>
    </row>
    <row r="217">
      <c r="A217" s="1" t="s">
        <v>1308</v>
      </c>
      <c r="B217" s="1" t="s">
        <v>1309</v>
      </c>
      <c r="C217" s="1" t="s">
        <v>1310</v>
      </c>
      <c r="D217" s="1" t="s">
        <v>1311</v>
      </c>
      <c r="E217" s="1" t="s">
        <v>1229</v>
      </c>
      <c r="F217" s="1">
        <v>8.0</v>
      </c>
      <c r="G217" s="1">
        <v>19.0</v>
      </c>
    </row>
    <row r="218">
      <c r="A218" s="1" t="s">
        <v>1312</v>
      </c>
      <c r="B218" s="1" t="s">
        <v>1313</v>
      </c>
      <c r="C218" s="1" t="s">
        <v>1315</v>
      </c>
      <c r="D218" s="1" t="s">
        <v>1316</v>
      </c>
      <c r="E218" s="1" t="s">
        <v>1229</v>
      </c>
      <c r="F218" s="1">
        <v>8.0</v>
      </c>
      <c r="G218" s="1">
        <v>20.0</v>
      </c>
    </row>
    <row r="219">
      <c r="A219" s="1" t="s">
        <v>1318</v>
      </c>
      <c r="B219" s="1" t="s">
        <v>1319</v>
      </c>
      <c r="C219" s="1" t="s">
        <v>1320</v>
      </c>
      <c r="D219" s="1" t="s">
        <v>1321</v>
      </c>
      <c r="E219" s="1" t="s">
        <v>1229</v>
      </c>
      <c r="F219" s="1">
        <v>8.0</v>
      </c>
      <c r="G219" s="1">
        <v>21.0</v>
      </c>
    </row>
    <row r="220">
      <c r="A220" s="1" t="s">
        <v>1322</v>
      </c>
      <c r="B220" s="1" t="s">
        <v>1323</v>
      </c>
      <c r="C220" s="1" t="s">
        <v>1324</v>
      </c>
      <c r="D220" s="1" t="s">
        <v>1326</v>
      </c>
      <c r="E220" s="1" t="s">
        <v>1229</v>
      </c>
      <c r="F220" s="1">
        <v>8.0</v>
      </c>
      <c r="G220" s="1">
        <v>22.0</v>
      </c>
    </row>
    <row r="221">
      <c r="A221" s="1" t="s">
        <v>1327</v>
      </c>
      <c r="B221" s="1" t="s">
        <v>1328</v>
      </c>
      <c r="C221" s="1" t="s">
        <v>1329</v>
      </c>
      <c r="D221" s="1" t="s">
        <v>1331</v>
      </c>
      <c r="E221" s="1" t="s">
        <v>1229</v>
      </c>
      <c r="F221" s="1">
        <v>8.0</v>
      </c>
      <c r="G221" s="1">
        <v>23.0</v>
      </c>
    </row>
    <row r="222">
      <c r="A222" s="1" t="s">
        <v>1333</v>
      </c>
      <c r="B222" s="1" t="s">
        <v>1334</v>
      </c>
      <c r="C222" s="1" t="s">
        <v>1335</v>
      </c>
      <c r="D222" s="1" t="s">
        <v>1336</v>
      </c>
      <c r="E222" s="1" t="s">
        <v>1229</v>
      </c>
      <c r="F222" s="1">
        <v>8.0</v>
      </c>
      <c r="G222" s="1">
        <v>24.0</v>
      </c>
    </row>
    <row r="223">
      <c r="A223" s="1" t="s">
        <v>1337</v>
      </c>
      <c r="B223" s="1" t="s">
        <v>1338</v>
      </c>
      <c r="C223" s="1" t="s">
        <v>1339</v>
      </c>
      <c r="D223" s="1" t="s">
        <v>1340</v>
      </c>
      <c r="E223" s="1" t="s">
        <v>1229</v>
      </c>
      <c r="F223" s="1">
        <v>8.0</v>
      </c>
      <c r="G223" s="1">
        <v>25.0</v>
      </c>
    </row>
    <row r="224">
      <c r="A224" s="1" t="s">
        <v>1342</v>
      </c>
      <c r="B224" s="1" t="s">
        <v>1343</v>
      </c>
      <c r="C224" s="1" t="s">
        <v>1344</v>
      </c>
      <c r="D224" s="1" t="s">
        <v>1345</v>
      </c>
      <c r="E224" s="1" t="s">
        <v>1229</v>
      </c>
      <c r="F224" s="1">
        <v>8.0</v>
      </c>
      <c r="G224" s="1">
        <v>26.0</v>
      </c>
    </row>
    <row r="225">
      <c r="A225" s="1" t="s">
        <v>1346</v>
      </c>
      <c r="B225" s="1" t="s">
        <v>1347</v>
      </c>
      <c r="C225" s="1" t="s">
        <v>1348</v>
      </c>
      <c r="D225" s="1" t="s">
        <v>1349</v>
      </c>
      <c r="E225" s="1" t="s">
        <v>1229</v>
      </c>
      <c r="F225" s="1">
        <v>8.0</v>
      </c>
      <c r="G225" s="1">
        <v>27.0</v>
      </c>
    </row>
    <row r="226">
      <c r="A226" s="1" t="s">
        <v>1351</v>
      </c>
      <c r="B226" s="1" t="s">
        <v>1353</v>
      </c>
      <c r="C226" s="1" t="s">
        <v>1354</v>
      </c>
      <c r="D226" s="1" t="s">
        <v>1355</v>
      </c>
      <c r="E226" s="1" t="s">
        <v>1229</v>
      </c>
      <c r="F226" s="1">
        <v>8.0</v>
      </c>
      <c r="G226" s="1">
        <v>28.0</v>
      </c>
    </row>
    <row r="227">
      <c r="A227" s="1" t="s">
        <v>1397</v>
      </c>
      <c r="B227" s="1" t="s">
        <v>1398</v>
      </c>
      <c r="C227" s="1" t="s">
        <v>1399</v>
      </c>
      <c r="D227" s="1" t="s">
        <v>1400</v>
      </c>
      <c r="E227" s="1" t="s">
        <v>1229</v>
      </c>
      <c r="F227" s="1">
        <v>8.0</v>
      </c>
      <c r="G227" s="1">
        <v>29.0</v>
      </c>
    </row>
    <row r="228">
      <c r="A228" s="1" t="s">
        <v>1401</v>
      </c>
      <c r="B228" s="1" t="s">
        <v>1402</v>
      </c>
      <c r="C228" s="1" t="s">
        <v>1403</v>
      </c>
      <c r="D228" s="1" t="s">
        <v>1404</v>
      </c>
      <c r="E228" s="1" t="s">
        <v>1229</v>
      </c>
      <c r="F228" s="1">
        <v>8.0</v>
      </c>
      <c r="G228" s="1">
        <v>30.0</v>
      </c>
    </row>
    <row r="229">
      <c r="A229" s="1" t="s">
        <v>1405</v>
      </c>
      <c r="B229" s="1" t="s">
        <v>1406</v>
      </c>
      <c r="C229" s="1" t="s">
        <v>1407</v>
      </c>
      <c r="D229" s="1" t="s">
        <v>1408</v>
      </c>
      <c r="E229" s="1" t="s">
        <v>144</v>
      </c>
      <c r="F229" s="1" t="s">
        <v>142</v>
      </c>
      <c r="G229" s="1"/>
    </row>
    <row r="230">
      <c r="A230" s="1" t="s">
        <v>1409</v>
      </c>
      <c r="B230" s="1" t="s">
        <v>1410</v>
      </c>
      <c r="C230" s="1" t="s">
        <v>1411</v>
      </c>
      <c r="D230" s="1" t="s">
        <v>1412</v>
      </c>
      <c r="E230" s="1" t="s">
        <v>144</v>
      </c>
      <c r="F230" s="1" t="s">
        <v>142</v>
      </c>
      <c r="G230" s="1"/>
    </row>
    <row r="231">
      <c r="A231" s="1" t="s">
        <v>1413</v>
      </c>
      <c r="B231" s="1" t="s">
        <v>1414</v>
      </c>
      <c r="C231" s="1" t="s">
        <v>1415</v>
      </c>
      <c r="D231" s="1" t="s">
        <v>1416</v>
      </c>
      <c r="E231" s="1" t="s">
        <v>144</v>
      </c>
      <c r="F231" s="1" t="s">
        <v>142</v>
      </c>
      <c r="G231" s="1"/>
    </row>
    <row r="232">
      <c r="A232" s="1" t="s">
        <v>1417</v>
      </c>
      <c r="B232" s="1" t="s">
        <v>1418</v>
      </c>
      <c r="C232" s="1" t="s">
        <v>1419</v>
      </c>
      <c r="D232" s="1" t="s">
        <v>1420</v>
      </c>
      <c r="E232" s="1" t="s">
        <v>144</v>
      </c>
      <c r="F232" s="1" t="s">
        <v>142</v>
      </c>
      <c r="G232" s="1"/>
    </row>
    <row r="233">
      <c r="A233" s="1" t="s">
        <v>1421</v>
      </c>
      <c r="B233" s="1" t="s">
        <v>1422</v>
      </c>
      <c r="C233" s="1" t="s">
        <v>1423</v>
      </c>
      <c r="D233" s="1" t="s">
        <v>1424</v>
      </c>
      <c r="E233" s="1" t="s">
        <v>144</v>
      </c>
      <c r="F233" s="1" t="s">
        <v>142</v>
      </c>
      <c r="G233" s="1"/>
    </row>
    <row r="234">
      <c r="A234" s="1" t="s">
        <v>1426</v>
      </c>
      <c r="B234" s="1" t="s">
        <v>1427</v>
      </c>
      <c r="C234" s="1" t="s">
        <v>1428</v>
      </c>
      <c r="D234" s="1" t="s">
        <v>1429</v>
      </c>
      <c r="E234" s="1" t="s">
        <v>144</v>
      </c>
      <c r="F234" s="1" t="s">
        <v>142</v>
      </c>
      <c r="G234" s="1"/>
    </row>
    <row r="235">
      <c r="A235" s="1" t="s">
        <v>1430</v>
      </c>
      <c r="B235" s="1" t="s">
        <v>1432</v>
      </c>
      <c r="C235" s="1" t="s">
        <v>1433</v>
      </c>
      <c r="D235" s="1" t="s">
        <v>1434</v>
      </c>
      <c r="E235" s="1" t="s">
        <v>144</v>
      </c>
      <c r="F235" s="1" t="s">
        <v>142</v>
      </c>
      <c r="G235" s="1"/>
    </row>
    <row r="236">
      <c r="A236" s="1" t="s">
        <v>1436</v>
      </c>
      <c r="B236" s="1" t="s">
        <v>1437</v>
      </c>
      <c r="C236" s="1" t="s">
        <v>1438</v>
      </c>
      <c r="D236" s="1" t="s">
        <v>1439</v>
      </c>
      <c r="E236" s="1" t="s">
        <v>144</v>
      </c>
      <c r="F236" s="1" t="s">
        <v>142</v>
      </c>
      <c r="G236" s="1"/>
    </row>
    <row r="237">
      <c r="A237" s="1" t="s">
        <v>1440</v>
      </c>
      <c r="B237" s="1" t="s">
        <v>1441</v>
      </c>
      <c r="C237" s="1" t="s">
        <v>1442</v>
      </c>
      <c r="D237" s="1" t="s">
        <v>1443</v>
      </c>
      <c r="E237" s="1" t="s">
        <v>144</v>
      </c>
      <c r="F237" s="1" t="s">
        <v>142</v>
      </c>
      <c r="G237" s="1"/>
    </row>
    <row r="238">
      <c r="A238" s="1" t="s">
        <v>1445</v>
      </c>
      <c r="B238" s="1" t="s">
        <v>1446</v>
      </c>
      <c r="C238" s="1" t="s">
        <v>1447</v>
      </c>
      <c r="D238" s="1" t="s">
        <v>1448</v>
      </c>
      <c r="E238" s="1" t="s">
        <v>144</v>
      </c>
      <c r="F238" s="1" t="s">
        <v>142</v>
      </c>
      <c r="G238" s="1"/>
    </row>
    <row r="239">
      <c r="A239" s="1" t="s">
        <v>1450</v>
      </c>
      <c r="B239" s="1" t="s">
        <v>1451</v>
      </c>
      <c r="C239" s="1" t="s">
        <v>1453</v>
      </c>
      <c r="D239" s="1" t="s">
        <v>1454</v>
      </c>
      <c r="E239" s="1" t="s">
        <v>144</v>
      </c>
      <c r="F239" s="1" t="s">
        <v>142</v>
      </c>
      <c r="G239" s="1"/>
    </row>
    <row r="240">
      <c r="A240" s="1" t="s">
        <v>1455</v>
      </c>
      <c r="B240" s="1" t="s">
        <v>1456</v>
      </c>
      <c r="C240" s="1" t="s">
        <v>1457</v>
      </c>
      <c r="D240" s="1" t="s">
        <v>1458</v>
      </c>
      <c r="E240" s="1" t="s">
        <v>144</v>
      </c>
      <c r="F240" s="1" t="s">
        <v>142</v>
      </c>
      <c r="G240" s="1"/>
    </row>
    <row r="241">
      <c r="A241" s="1" t="s">
        <v>1460</v>
      </c>
      <c r="B241" s="1" t="s">
        <v>1462</v>
      </c>
      <c r="C241" s="1" t="s">
        <v>1463</v>
      </c>
      <c r="D241" s="1" t="s">
        <v>1464</v>
      </c>
      <c r="E241" s="1" t="s">
        <v>144</v>
      </c>
      <c r="F241" s="1" t="s">
        <v>142</v>
      </c>
      <c r="G241" s="1"/>
    </row>
    <row r="242">
      <c r="A242" s="1" t="s">
        <v>1465</v>
      </c>
      <c r="B242" s="1" t="s">
        <v>1467</v>
      </c>
      <c r="C242" s="1" t="s">
        <v>1468</v>
      </c>
      <c r="D242" s="1" t="s">
        <v>1469</v>
      </c>
      <c r="E242" s="1" t="s">
        <v>144</v>
      </c>
      <c r="F242" s="1" t="s">
        <v>142</v>
      </c>
      <c r="G242" s="1"/>
    </row>
    <row r="243">
      <c r="A243" s="1" t="s">
        <v>1471</v>
      </c>
      <c r="B243" s="1" t="s">
        <v>1472</v>
      </c>
      <c r="C243" s="1" t="s">
        <v>1473</v>
      </c>
      <c r="D243" s="1" t="s">
        <v>1474</v>
      </c>
      <c r="E243" s="1" t="s">
        <v>144</v>
      </c>
      <c r="F243" s="1" t="s">
        <v>142</v>
      </c>
      <c r="G243" s="1"/>
    </row>
    <row r="244">
      <c r="A244" s="1" t="s">
        <v>1476</v>
      </c>
      <c r="B244" s="1" t="s">
        <v>1477</v>
      </c>
      <c r="C244" s="1" t="s">
        <v>1478</v>
      </c>
      <c r="D244" s="1" t="s">
        <v>1479</v>
      </c>
      <c r="E244" s="1" t="s">
        <v>144</v>
      </c>
      <c r="F244" s="1" t="s">
        <v>142</v>
      </c>
      <c r="G244" s="1"/>
    </row>
    <row r="245">
      <c r="A245" s="1" t="s">
        <v>1480</v>
      </c>
      <c r="B245" s="1" t="s">
        <v>1481</v>
      </c>
      <c r="C245" s="1" t="s">
        <v>1482</v>
      </c>
      <c r="D245" s="1" t="s">
        <v>1484</v>
      </c>
      <c r="E245" s="1" t="s">
        <v>144</v>
      </c>
      <c r="F245" s="1" t="s">
        <v>142</v>
      </c>
      <c r="G245" s="1"/>
    </row>
    <row r="246">
      <c r="A246" s="1" t="s">
        <v>1480</v>
      </c>
      <c r="B246" s="1" t="s">
        <v>1481</v>
      </c>
      <c r="C246" s="1" t="s">
        <v>1486</v>
      </c>
      <c r="D246" s="1" t="s">
        <v>1487</v>
      </c>
      <c r="E246" s="1" t="s">
        <v>144</v>
      </c>
      <c r="F246" s="1" t="s">
        <v>142</v>
      </c>
      <c r="G246" s="1"/>
    </row>
    <row r="247">
      <c r="A247" s="1" t="s">
        <v>1488</v>
      </c>
      <c r="B247" s="1" t="s">
        <v>1489</v>
      </c>
      <c r="C247" s="1" t="s">
        <v>1490</v>
      </c>
      <c r="D247" s="1" t="s">
        <v>1491</v>
      </c>
      <c r="E247" s="1" t="s">
        <v>144</v>
      </c>
      <c r="F247" s="1" t="s">
        <v>142</v>
      </c>
      <c r="G247" s="1"/>
    </row>
    <row r="248">
      <c r="A248" s="1" t="s">
        <v>1493</v>
      </c>
      <c r="B248" s="1" t="s">
        <v>1494</v>
      </c>
      <c r="C248" s="1" t="s">
        <v>1495</v>
      </c>
      <c r="D248" s="1" t="s">
        <v>1496</v>
      </c>
      <c r="E248" s="1" t="s">
        <v>144</v>
      </c>
      <c r="F248" s="1" t="s">
        <v>142</v>
      </c>
      <c r="G248" s="1"/>
    </row>
    <row r="249">
      <c r="A249" s="1" t="s">
        <v>1497</v>
      </c>
      <c r="B249" s="1" t="s">
        <v>1498</v>
      </c>
      <c r="C249" s="1" t="s">
        <v>1500</v>
      </c>
      <c r="D249" s="1" t="s">
        <v>1501</v>
      </c>
      <c r="E249" s="1" t="s">
        <v>144</v>
      </c>
      <c r="F249" s="1" t="s">
        <v>142</v>
      </c>
      <c r="G249" s="1"/>
    </row>
    <row r="250">
      <c r="A250" s="1" t="s">
        <v>1502</v>
      </c>
      <c r="B250" s="1" t="s">
        <v>1503</v>
      </c>
      <c r="C250" s="1" t="s">
        <v>1504</v>
      </c>
      <c r="D250" s="1" t="s">
        <v>1505</v>
      </c>
      <c r="E250" s="1" t="s">
        <v>144</v>
      </c>
      <c r="F250" s="1" t="s">
        <v>142</v>
      </c>
      <c r="G250" s="1"/>
    </row>
    <row r="251">
      <c r="A251" s="1" t="s">
        <v>1507</v>
      </c>
      <c r="B251" s="1" t="s">
        <v>1508</v>
      </c>
      <c r="C251" s="1" t="s">
        <v>1509</v>
      </c>
      <c r="D251" s="1" t="s">
        <v>1510</v>
      </c>
      <c r="E251" s="1" t="s">
        <v>144</v>
      </c>
      <c r="F251" s="1" t="s">
        <v>142</v>
      </c>
      <c r="G251" s="1"/>
    </row>
    <row r="252">
      <c r="A252" s="1" t="s">
        <v>1511</v>
      </c>
      <c r="B252" s="1" t="s">
        <v>1512</v>
      </c>
      <c r="C252" s="1" t="s">
        <v>1513</v>
      </c>
      <c r="D252" s="1" t="s">
        <v>1514</v>
      </c>
      <c r="E252" s="1" t="s">
        <v>144</v>
      </c>
      <c r="F252" s="1" t="s">
        <v>142</v>
      </c>
      <c r="G252" s="1"/>
    </row>
    <row r="253">
      <c r="A253" s="1" t="s">
        <v>1511</v>
      </c>
      <c r="B253" s="1" t="s">
        <v>1512</v>
      </c>
      <c r="C253" s="1" t="s">
        <v>1513</v>
      </c>
      <c r="D253" s="1" t="s">
        <v>1514</v>
      </c>
      <c r="E253" s="1" t="s">
        <v>144</v>
      </c>
      <c r="F253" s="1" t="s">
        <v>142</v>
      </c>
      <c r="G253" s="1"/>
    </row>
    <row r="254">
      <c r="A254" s="1" t="s">
        <v>1515</v>
      </c>
      <c r="B254" s="1" t="s">
        <v>1516</v>
      </c>
      <c r="C254" s="1" t="s">
        <v>1517</v>
      </c>
      <c r="D254" s="1" t="s">
        <v>1518</v>
      </c>
      <c r="E254" s="1" t="s">
        <v>144</v>
      </c>
      <c r="F254" s="1" t="s">
        <v>142</v>
      </c>
      <c r="G254" s="1"/>
    </row>
    <row r="255">
      <c r="A255" s="1" t="s">
        <v>1519</v>
      </c>
      <c r="B255" s="1" t="s">
        <v>1520</v>
      </c>
      <c r="C255" s="1" t="s">
        <v>1521</v>
      </c>
      <c r="D255" s="1" t="s">
        <v>1522</v>
      </c>
      <c r="E255" s="1" t="s">
        <v>144</v>
      </c>
      <c r="F255" s="1" t="s">
        <v>142</v>
      </c>
      <c r="G255" s="1"/>
    </row>
    <row r="256">
      <c r="A256" s="1" t="s">
        <v>1523</v>
      </c>
      <c r="B256" s="1" t="s">
        <v>1524</v>
      </c>
      <c r="C256" s="1" t="s">
        <v>1525</v>
      </c>
      <c r="D256" s="1" t="s">
        <v>1526</v>
      </c>
      <c r="E256" s="1" t="s">
        <v>144</v>
      </c>
      <c r="F256" s="1" t="s">
        <v>142</v>
      </c>
      <c r="G256" s="1"/>
    </row>
    <row r="257">
      <c r="A257" s="1" t="s">
        <v>1527</v>
      </c>
      <c r="B257" s="1" t="s">
        <v>1528</v>
      </c>
      <c r="C257" s="1" t="s">
        <v>1529</v>
      </c>
      <c r="D257" s="1" t="s">
        <v>1530</v>
      </c>
      <c r="E257" s="1" t="s">
        <v>144</v>
      </c>
      <c r="F257" s="1" t="s">
        <v>142</v>
      </c>
      <c r="G257" s="1"/>
    </row>
    <row r="258">
      <c r="A258" s="1" t="s">
        <v>1531</v>
      </c>
      <c r="B258" s="1" t="s">
        <v>1532</v>
      </c>
      <c r="C258" s="1" t="s">
        <v>1533</v>
      </c>
      <c r="D258" s="1" t="s">
        <v>1534</v>
      </c>
      <c r="E258" s="1" t="s">
        <v>144</v>
      </c>
      <c r="F258" s="1" t="s">
        <v>142</v>
      </c>
      <c r="G258" s="1"/>
    </row>
    <row r="259">
      <c r="A259" s="1" t="s">
        <v>1535</v>
      </c>
      <c r="B259" s="1" t="s">
        <v>1536</v>
      </c>
      <c r="C259" s="1" t="s">
        <v>1537</v>
      </c>
      <c r="D259" s="1" t="s">
        <v>1538</v>
      </c>
      <c r="E259" s="1" t="s">
        <v>144</v>
      </c>
      <c r="F259" s="1" t="s">
        <v>142</v>
      </c>
      <c r="G259" s="1"/>
    </row>
    <row r="260">
      <c r="A260" s="1" t="s">
        <v>1540</v>
      </c>
      <c r="B260" s="1" t="s">
        <v>1541</v>
      </c>
      <c r="C260" s="1" t="s">
        <v>1542</v>
      </c>
      <c r="D260" s="1" t="s">
        <v>1540</v>
      </c>
      <c r="E260" s="1" t="s">
        <v>144</v>
      </c>
      <c r="F260" s="1" t="s">
        <v>142</v>
      </c>
      <c r="G260" s="1"/>
    </row>
    <row r="261">
      <c r="A261" s="1" t="s">
        <v>1543</v>
      </c>
      <c r="B261" s="1" t="s">
        <v>1544</v>
      </c>
      <c r="C261" s="1" t="s">
        <v>1545</v>
      </c>
      <c r="D261" s="1" t="s">
        <v>1543</v>
      </c>
      <c r="E261" s="1" t="s">
        <v>144</v>
      </c>
      <c r="F261" s="1" t="s">
        <v>142</v>
      </c>
      <c r="G261" s="1"/>
    </row>
    <row r="262">
      <c r="A262" s="1" t="s">
        <v>1546</v>
      </c>
      <c r="B262" s="1" t="s">
        <v>1547</v>
      </c>
      <c r="C262" s="1" t="s">
        <v>1548</v>
      </c>
      <c r="D262" s="1" t="s">
        <v>1546</v>
      </c>
      <c r="E262" s="1" t="s">
        <v>144</v>
      </c>
      <c r="F262" s="1" t="s">
        <v>142</v>
      </c>
      <c r="G262" s="1"/>
    </row>
    <row r="263">
      <c r="A263" s="1" t="s">
        <v>1549</v>
      </c>
      <c r="B263" s="1" t="s">
        <v>1550</v>
      </c>
      <c r="C263" s="1" t="s">
        <v>1551</v>
      </c>
      <c r="D263" s="1" t="s">
        <v>1549</v>
      </c>
      <c r="E263" s="1" t="s">
        <v>144</v>
      </c>
      <c r="F263" s="1" t="s">
        <v>142</v>
      </c>
      <c r="G263" s="1"/>
    </row>
    <row r="264">
      <c r="A264" s="1" t="s">
        <v>1552</v>
      </c>
      <c r="B264" s="1" t="s">
        <v>1553</v>
      </c>
      <c r="C264" s="1" t="s">
        <v>1554</v>
      </c>
      <c r="D264" s="1" t="s">
        <v>1555</v>
      </c>
      <c r="E264" s="1" t="s">
        <v>144</v>
      </c>
      <c r="F264" s="1" t="s">
        <v>142</v>
      </c>
      <c r="G264" s="1"/>
    </row>
    <row r="265">
      <c r="A265" s="1" t="s">
        <v>1556</v>
      </c>
      <c r="B265" s="1" t="s">
        <v>1557</v>
      </c>
      <c r="C265" s="1" t="s">
        <v>1558</v>
      </c>
      <c r="D265" s="1" t="s">
        <v>1559</v>
      </c>
      <c r="E265" s="1" t="s">
        <v>144</v>
      </c>
      <c r="F265" s="1" t="s">
        <v>142</v>
      </c>
      <c r="G265" s="1"/>
    </row>
    <row r="266">
      <c r="A266" s="1" t="s">
        <v>1561</v>
      </c>
      <c r="B266" s="1" t="s">
        <v>1562</v>
      </c>
      <c r="C266" s="1" t="s">
        <v>1564</v>
      </c>
      <c r="D266" s="1" t="s">
        <v>1565</v>
      </c>
      <c r="E266" s="1" t="s">
        <v>144</v>
      </c>
      <c r="F266" s="1" t="s">
        <v>142</v>
      </c>
      <c r="G266" s="1"/>
    </row>
    <row r="267">
      <c r="A267" s="1" t="s">
        <v>1567</v>
      </c>
      <c r="B267" s="1" t="s">
        <v>1568</v>
      </c>
      <c r="C267" s="1" t="s">
        <v>1569</v>
      </c>
      <c r="D267" s="1" t="s">
        <v>1570</v>
      </c>
      <c r="E267" s="1" t="s">
        <v>144</v>
      </c>
      <c r="F267" s="1" t="s">
        <v>142</v>
      </c>
      <c r="G267" s="1"/>
    </row>
    <row r="268">
      <c r="A268" s="1" t="s">
        <v>1571</v>
      </c>
      <c r="B268" s="1" t="s">
        <v>1572</v>
      </c>
      <c r="C268" s="1" t="s">
        <v>1573</v>
      </c>
      <c r="D268" s="1" t="s">
        <v>1574</v>
      </c>
      <c r="E268" s="1" t="s">
        <v>144</v>
      </c>
      <c r="F268" s="1" t="s">
        <v>142</v>
      </c>
      <c r="G268" s="1"/>
    </row>
    <row r="269">
      <c r="A269" s="1" t="s">
        <v>1571</v>
      </c>
      <c r="B269" s="1" t="s">
        <v>1572</v>
      </c>
      <c r="C269" s="1" t="s">
        <v>1573</v>
      </c>
      <c r="D269" s="1" t="s">
        <v>1574</v>
      </c>
      <c r="E269" s="1" t="s">
        <v>144</v>
      </c>
      <c r="F269" s="1" t="s">
        <v>142</v>
      </c>
      <c r="G269" s="1"/>
    </row>
    <row r="270">
      <c r="A270" s="1" t="s">
        <v>1577</v>
      </c>
      <c r="B270" s="1" t="s">
        <v>1578</v>
      </c>
      <c r="C270" s="1" t="s">
        <v>1579</v>
      </c>
      <c r="D270" s="1" t="s">
        <v>1580</v>
      </c>
      <c r="E270" s="1" t="s">
        <v>144</v>
      </c>
      <c r="F270" s="1" t="s">
        <v>142</v>
      </c>
      <c r="G270" s="1"/>
    </row>
    <row r="271">
      <c r="A271" s="1" t="s">
        <v>1581</v>
      </c>
      <c r="B271" s="1" t="s">
        <v>1582</v>
      </c>
      <c r="C271" s="1" t="s">
        <v>1583</v>
      </c>
      <c r="D271" s="1" t="s">
        <v>1584</v>
      </c>
      <c r="E271" s="1" t="s">
        <v>144</v>
      </c>
      <c r="F271" s="1" t="s">
        <v>142</v>
      </c>
      <c r="G271" s="1"/>
    </row>
    <row r="272">
      <c r="A272" s="1" t="s">
        <v>1586</v>
      </c>
      <c r="B272" s="1" t="s">
        <v>1587</v>
      </c>
      <c r="C272" s="1" t="s">
        <v>1588</v>
      </c>
      <c r="D272" s="1" t="s">
        <v>1589</v>
      </c>
      <c r="E272" s="1" t="s">
        <v>144</v>
      </c>
      <c r="F272" s="1" t="s">
        <v>142</v>
      </c>
      <c r="G272" s="1"/>
    </row>
    <row r="273">
      <c r="A273" s="1" t="s">
        <v>1590</v>
      </c>
      <c r="B273" s="1" t="s">
        <v>1591</v>
      </c>
      <c r="C273" s="1" t="s">
        <v>1592</v>
      </c>
      <c r="D273" s="1" t="s">
        <v>1594</v>
      </c>
      <c r="E273" s="1" t="s">
        <v>144</v>
      </c>
      <c r="F273" s="1" t="s">
        <v>142</v>
      </c>
      <c r="G273" s="1"/>
    </row>
    <row r="274">
      <c r="A274" s="1" t="s">
        <v>1595</v>
      </c>
      <c r="B274" s="1" t="s">
        <v>1596</v>
      </c>
      <c r="C274" s="1" t="s">
        <v>1597</v>
      </c>
      <c r="D274" s="1" t="s">
        <v>1598</v>
      </c>
      <c r="E274" s="1" t="s">
        <v>144</v>
      </c>
      <c r="F274" s="1" t="s">
        <v>142</v>
      </c>
      <c r="G274" s="1"/>
    </row>
    <row r="275">
      <c r="A275" s="1" t="s">
        <v>1600</v>
      </c>
      <c r="B275" s="1" t="s">
        <v>1601</v>
      </c>
      <c r="C275" s="1" t="s">
        <v>1602</v>
      </c>
      <c r="D275" s="1" t="s">
        <v>1604</v>
      </c>
      <c r="E275" s="1" t="s">
        <v>238</v>
      </c>
      <c r="F275" s="1">
        <v>2.0</v>
      </c>
      <c r="G275" s="1">
        <v>21.0</v>
      </c>
    </row>
    <row r="276">
      <c r="A276" s="1" t="s">
        <v>1606</v>
      </c>
      <c r="B276" s="1" t="s">
        <v>1607</v>
      </c>
      <c r="C276" s="1" t="s">
        <v>1608</v>
      </c>
      <c r="D276" s="1" t="s">
        <v>1610</v>
      </c>
      <c r="E276" s="1" t="s">
        <v>971</v>
      </c>
      <c r="F276" s="1">
        <v>6.0</v>
      </c>
      <c r="G276" s="1">
        <v>5.0</v>
      </c>
    </row>
    <row r="277">
      <c r="A277" s="1" t="s">
        <v>1612</v>
      </c>
      <c r="B277" s="1" t="s">
        <v>1614</v>
      </c>
      <c r="C277" s="1" t="s">
        <v>1615</v>
      </c>
      <c r="D277" s="1" t="s">
        <v>1616</v>
      </c>
      <c r="E277" s="1" t="s">
        <v>144</v>
      </c>
      <c r="F277" s="1" t="s">
        <v>142</v>
      </c>
      <c r="G277" s="1"/>
    </row>
    <row r="278">
      <c r="A278" s="1" t="s">
        <v>1618</v>
      </c>
      <c r="B278" s="1" t="s">
        <v>1620</v>
      </c>
      <c r="C278" s="1" t="s">
        <v>1621</v>
      </c>
      <c r="D278" s="1" t="s">
        <v>1622</v>
      </c>
      <c r="E278" s="1" t="s">
        <v>144</v>
      </c>
      <c r="F278" s="1" t="s">
        <v>142</v>
      </c>
      <c r="G278" s="1"/>
    </row>
    <row r="279">
      <c r="A279" s="1" t="s">
        <v>1623</v>
      </c>
      <c r="B279" s="1" t="s">
        <v>1624</v>
      </c>
      <c r="C279" s="1" t="s">
        <v>1626</v>
      </c>
      <c r="D279" s="1" t="s">
        <v>1627</v>
      </c>
      <c r="E279" s="1" t="s">
        <v>144</v>
      </c>
      <c r="F279" s="1" t="s">
        <v>142</v>
      </c>
      <c r="G279" s="1"/>
    </row>
    <row r="280">
      <c r="A280" s="1" t="s">
        <v>1628</v>
      </c>
      <c r="B280" s="1" t="s">
        <v>1629</v>
      </c>
      <c r="C280" s="1" t="s">
        <v>1630</v>
      </c>
      <c r="D280" s="1" t="s">
        <v>1631</v>
      </c>
      <c r="E280" s="1" t="s">
        <v>144</v>
      </c>
      <c r="F280" s="1" t="s">
        <v>142</v>
      </c>
      <c r="G280" s="1"/>
    </row>
    <row r="281">
      <c r="A281" s="1" t="s">
        <v>1632</v>
      </c>
      <c r="B281" s="1" t="s">
        <v>1633</v>
      </c>
      <c r="C281" s="1" t="s">
        <v>1634</v>
      </c>
      <c r="D281" s="1" t="s">
        <v>1635</v>
      </c>
      <c r="E281" s="1" t="s">
        <v>144</v>
      </c>
      <c r="F281" s="1" t="s">
        <v>142</v>
      </c>
      <c r="G281" s="1"/>
    </row>
    <row r="282">
      <c r="A282" s="1" t="s">
        <v>1637</v>
      </c>
      <c r="B282" s="1" t="s">
        <v>1638</v>
      </c>
      <c r="C282" s="1" t="s">
        <v>1639</v>
      </c>
      <c r="D282" s="1" t="s">
        <v>1640</v>
      </c>
      <c r="E282" s="1" t="s">
        <v>144</v>
      </c>
      <c r="F282" s="1" t="s">
        <v>142</v>
      </c>
      <c r="G282" s="1"/>
    </row>
    <row r="283">
      <c r="A283" s="1" t="s">
        <v>1641</v>
      </c>
      <c r="B283" s="1" t="s">
        <v>1643</v>
      </c>
      <c r="C283" s="1" t="s">
        <v>1644</v>
      </c>
      <c r="D283" s="1" t="s">
        <v>1646</v>
      </c>
      <c r="E283" s="1" t="s">
        <v>144</v>
      </c>
      <c r="F283" s="1" t="s">
        <v>142</v>
      </c>
      <c r="G283" s="1"/>
    </row>
    <row r="284">
      <c r="A284" s="1" t="s">
        <v>1647</v>
      </c>
      <c r="B284" s="1" t="s">
        <v>1648</v>
      </c>
      <c r="C284" s="1" t="s">
        <v>1649</v>
      </c>
      <c r="D284" s="1" t="s">
        <v>1650</v>
      </c>
      <c r="E284" s="1" t="s">
        <v>144</v>
      </c>
      <c r="F284" s="1" t="s">
        <v>142</v>
      </c>
      <c r="G284" s="1"/>
    </row>
    <row r="285">
      <c r="A285" s="1" t="s">
        <v>1651</v>
      </c>
      <c r="B285" s="1" t="s">
        <v>1652</v>
      </c>
      <c r="C285" s="1" t="s">
        <v>1653</v>
      </c>
      <c r="D285" s="1" t="s">
        <v>1657</v>
      </c>
      <c r="E285" s="1" t="s">
        <v>144</v>
      </c>
      <c r="F285" s="1" t="s">
        <v>142</v>
      </c>
      <c r="G285" s="1"/>
    </row>
    <row r="286">
      <c r="A286" s="1" t="s">
        <v>1658</v>
      </c>
      <c r="B286" s="1" t="s">
        <v>1659</v>
      </c>
      <c r="C286" s="1" t="s">
        <v>1660</v>
      </c>
      <c r="D286" s="1" t="s">
        <v>1662</v>
      </c>
      <c r="E286" s="1" t="s">
        <v>144</v>
      </c>
      <c r="F286" s="1" t="s">
        <v>142</v>
      </c>
      <c r="G286" s="1"/>
    </row>
    <row r="287">
      <c r="A287" s="1" t="s">
        <v>1663</v>
      </c>
      <c r="B287" s="1" t="s">
        <v>1664</v>
      </c>
      <c r="C287" s="1" t="s">
        <v>1665</v>
      </c>
      <c r="D287" s="1" t="s">
        <v>1666</v>
      </c>
      <c r="E287" s="1" t="s">
        <v>144</v>
      </c>
      <c r="F287" s="1" t="s">
        <v>142</v>
      </c>
      <c r="G287" s="1"/>
    </row>
    <row r="288">
      <c r="A288" s="1" t="s">
        <v>1667</v>
      </c>
      <c r="B288" s="1" t="s">
        <v>1668</v>
      </c>
      <c r="C288" s="1" t="s">
        <v>1670</v>
      </c>
      <c r="D288" s="1" t="s">
        <v>1671</v>
      </c>
      <c r="E288" s="1" t="s">
        <v>144</v>
      </c>
      <c r="F288" s="1" t="s">
        <v>142</v>
      </c>
      <c r="G288" s="1"/>
    </row>
    <row r="289">
      <c r="A289" s="1" t="s">
        <v>1672</v>
      </c>
      <c r="B289" s="1" t="s">
        <v>1673</v>
      </c>
      <c r="C289" s="1" t="s">
        <v>1674</v>
      </c>
      <c r="D289" s="1" t="s">
        <v>1675</v>
      </c>
      <c r="E289" s="1" t="s">
        <v>144</v>
      </c>
      <c r="F289" s="1" t="s">
        <v>142</v>
      </c>
      <c r="G289" s="1"/>
    </row>
    <row r="290">
      <c r="A290" s="1" t="s">
        <v>455</v>
      </c>
      <c r="B290" s="1" t="s">
        <v>1678</v>
      </c>
      <c r="C290" s="1" t="s">
        <v>1679</v>
      </c>
      <c r="D290" s="1" t="s">
        <v>1680</v>
      </c>
      <c r="E290" s="1" t="s">
        <v>144</v>
      </c>
      <c r="F290" s="1" t="s">
        <v>142</v>
      </c>
      <c r="G290" s="1"/>
    </row>
    <row r="291">
      <c r="A291" s="1" t="s">
        <v>1682</v>
      </c>
      <c r="B291" s="1" t="s">
        <v>1683</v>
      </c>
      <c r="C291" s="1" t="s">
        <v>1684</v>
      </c>
      <c r="D291" s="1" t="s">
        <v>1685</v>
      </c>
      <c r="E291" s="1" t="s">
        <v>144</v>
      </c>
      <c r="F291" s="1" t="s">
        <v>142</v>
      </c>
      <c r="G291" s="1"/>
    </row>
    <row r="292">
      <c r="A292" s="1" t="s">
        <v>1686</v>
      </c>
      <c r="B292" s="1" t="s">
        <v>1687</v>
      </c>
      <c r="C292" s="1" t="s">
        <v>1688</v>
      </c>
      <c r="D292" s="1" t="s">
        <v>1689</v>
      </c>
      <c r="E292" s="1" t="s">
        <v>144</v>
      </c>
      <c r="F292" s="1" t="s">
        <v>142</v>
      </c>
      <c r="G292" s="1"/>
    </row>
    <row r="293">
      <c r="A293" s="1" t="s">
        <v>1691</v>
      </c>
      <c r="B293" s="1" t="s">
        <v>1692</v>
      </c>
      <c r="C293" s="1" t="s">
        <v>1693</v>
      </c>
      <c r="D293" s="1" t="s">
        <v>1694</v>
      </c>
      <c r="E293" s="1" t="s">
        <v>144</v>
      </c>
      <c r="F293" s="1" t="s">
        <v>142</v>
      </c>
      <c r="G293" s="1"/>
    </row>
    <row r="294">
      <c r="A294" s="1" t="s">
        <v>1691</v>
      </c>
      <c r="B294" s="1" t="s">
        <v>1692</v>
      </c>
      <c r="C294" s="1" t="s">
        <v>1693</v>
      </c>
      <c r="D294" s="1" t="s">
        <v>1694</v>
      </c>
      <c r="E294" s="1" t="s">
        <v>144</v>
      </c>
      <c r="F294" s="1" t="s">
        <v>142</v>
      </c>
      <c r="G294" s="1"/>
    </row>
    <row r="295">
      <c r="A295" s="1" t="s">
        <v>1697</v>
      </c>
      <c r="B295" s="1" t="s">
        <v>1698</v>
      </c>
      <c r="C295" s="1" t="s">
        <v>1699</v>
      </c>
      <c r="D295" s="1" t="s">
        <v>1700</v>
      </c>
      <c r="E295" s="1" t="s">
        <v>144</v>
      </c>
      <c r="F295" s="1" t="s">
        <v>142</v>
      </c>
      <c r="G295" s="1"/>
    </row>
    <row r="296">
      <c r="A296" s="1" t="s">
        <v>1702</v>
      </c>
      <c r="B296" s="1" t="s">
        <v>1703</v>
      </c>
      <c r="C296" s="1" t="s">
        <v>1704</v>
      </c>
      <c r="D296" s="1" t="s">
        <v>1705</v>
      </c>
      <c r="E296" s="1" t="s">
        <v>144</v>
      </c>
      <c r="F296" s="1" t="s">
        <v>142</v>
      </c>
      <c r="G296" s="1"/>
    </row>
    <row r="297">
      <c r="A297" s="1" t="s">
        <v>1706</v>
      </c>
      <c r="B297" s="1" t="s">
        <v>1707</v>
      </c>
      <c r="C297" s="1" t="s">
        <v>1708</v>
      </c>
      <c r="D297" s="1" t="s">
        <v>1710</v>
      </c>
      <c r="E297" s="1" t="s">
        <v>144</v>
      </c>
      <c r="F297" s="1" t="s">
        <v>142</v>
      </c>
      <c r="G297" s="1"/>
    </row>
    <row r="298">
      <c r="A298" s="1" t="s">
        <v>1711</v>
      </c>
      <c r="B298" s="1" t="s">
        <v>1712</v>
      </c>
      <c r="C298" s="1" t="s">
        <v>1713</v>
      </c>
      <c r="D298" s="1" t="s">
        <v>1714</v>
      </c>
      <c r="E298" s="1" t="s">
        <v>144</v>
      </c>
      <c r="F298" s="1" t="s">
        <v>142</v>
      </c>
      <c r="G298" s="1"/>
    </row>
    <row r="299">
      <c r="A299" s="1" t="s">
        <v>1715</v>
      </c>
      <c r="B299" s="1" t="s">
        <v>1717</v>
      </c>
      <c r="C299" s="1" t="s">
        <v>1718</v>
      </c>
      <c r="D299" s="1" t="s">
        <v>1719</v>
      </c>
      <c r="E299" s="1" t="s">
        <v>144</v>
      </c>
      <c r="F299" s="1" t="s">
        <v>142</v>
      </c>
      <c r="G299" s="1"/>
    </row>
    <row r="300">
      <c r="A300" s="1" t="s">
        <v>1720</v>
      </c>
      <c r="B300" s="1" t="s">
        <v>1721</v>
      </c>
      <c r="C300" s="1" t="s">
        <v>1722</v>
      </c>
      <c r="D300" s="1" t="s">
        <v>1723</v>
      </c>
      <c r="E300" s="1" t="s">
        <v>144</v>
      </c>
      <c r="F300" s="1" t="s">
        <v>142</v>
      </c>
      <c r="G300" s="1"/>
    </row>
    <row r="301">
      <c r="A301" s="1" t="s">
        <v>1725</v>
      </c>
      <c r="B301" s="1" t="s">
        <v>1726</v>
      </c>
      <c r="C301" s="1" t="s">
        <v>1727</v>
      </c>
      <c r="D301" s="1" t="s">
        <v>1728</v>
      </c>
      <c r="E301" s="1" t="s">
        <v>144</v>
      </c>
      <c r="F301" s="1" t="s">
        <v>142</v>
      </c>
      <c r="G301" s="1"/>
    </row>
    <row r="302">
      <c r="A302" s="1" t="s">
        <v>1729</v>
      </c>
      <c r="B302" s="1" t="s">
        <v>1730</v>
      </c>
      <c r="C302" s="1" t="s">
        <v>1731</v>
      </c>
      <c r="D302" s="1" t="s">
        <v>1732</v>
      </c>
      <c r="E302" s="1" t="s">
        <v>144</v>
      </c>
      <c r="F302" s="1" t="s">
        <v>142</v>
      </c>
      <c r="G302" s="1"/>
    </row>
    <row r="303">
      <c r="A303" s="1" t="s">
        <v>1733</v>
      </c>
      <c r="B303" s="1" t="s">
        <v>1734</v>
      </c>
      <c r="C303" s="1" t="s">
        <v>1735</v>
      </c>
      <c r="D303" s="1" t="s">
        <v>1736</v>
      </c>
      <c r="E303" s="1" t="s">
        <v>144</v>
      </c>
      <c r="F303" s="1" t="s">
        <v>142</v>
      </c>
      <c r="G303" s="1"/>
    </row>
    <row r="304">
      <c r="A304" s="1" t="s">
        <v>1737</v>
      </c>
      <c r="B304" s="1" t="s">
        <v>1738</v>
      </c>
      <c r="C304" s="1" t="s">
        <v>1739</v>
      </c>
      <c r="D304" s="1" t="s">
        <v>1740</v>
      </c>
      <c r="E304" s="1" t="s">
        <v>144</v>
      </c>
      <c r="F304" s="1" t="s">
        <v>142</v>
      </c>
      <c r="G304" s="1"/>
    </row>
    <row r="305">
      <c r="A305" s="1" t="s">
        <v>1741</v>
      </c>
      <c r="B305" s="1" t="s">
        <v>1742</v>
      </c>
      <c r="C305" s="1" t="s">
        <v>1743</v>
      </c>
      <c r="D305" s="1" t="s">
        <v>1744</v>
      </c>
      <c r="E305" s="1" t="s">
        <v>144</v>
      </c>
      <c r="F305" s="1" t="s">
        <v>142</v>
      </c>
      <c r="G305" s="1"/>
    </row>
    <row r="306">
      <c r="A306" s="1" t="s">
        <v>1745</v>
      </c>
      <c r="B306" s="1" t="s">
        <v>1746</v>
      </c>
      <c r="C306" s="1" t="s">
        <v>1747</v>
      </c>
      <c r="D306" s="1" t="s">
        <v>1748</v>
      </c>
      <c r="E306" s="1" t="s">
        <v>144</v>
      </c>
      <c r="F306" s="1" t="s">
        <v>142</v>
      </c>
      <c r="G306" s="1"/>
    </row>
    <row r="307">
      <c r="A307" s="1" t="s">
        <v>1749</v>
      </c>
      <c r="B307" s="1" t="s">
        <v>1750</v>
      </c>
      <c r="C307" s="1" t="s">
        <v>1751</v>
      </c>
      <c r="D307" s="1" t="s">
        <v>1752</v>
      </c>
      <c r="E307" s="1" t="s">
        <v>144</v>
      </c>
      <c r="F307" s="1" t="s">
        <v>142</v>
      </c>
      <c r="G307" s="1"/>
    </row>
    <row r="308">
      <c r="A308" s="1" t="s">
        <v>1753</v>
      </c>
      <c r="B308" s="1" t="s">
        <v>1754</v>
      </c>
      <c r="C308" s="1" t="s">
        <v>1755</v>
      </c>
      <c r="D308" s="1" t="s">
        <v>1756</v>
      </c>
      <c r="E308" s="1" t="s">
        <v>144</v>
      </c>
      <c r="F308" s="1" t="s">
        <v>142</v>
      </c>
      <c r="G308" s="1"/>
    </row>
    <row r="309">
      <c r="A309" s="1" t="s">
        <v>1757</v>
      </c>
      <c r="B309" s="1" t="s">
        <v>1758</v>
      </c>
      <c r="C309" s="1" t="s">
        <v>1759</v>
      </c>
      <c r="D309" s="1" t="s">
        <v>1760</v>
      </c>
      <c r="E309" s="1" t="s">
        <v>144</v>
      </c>
      <c r="F309" s="1" t="s">
        <v>142</v>
      </c>
      <c r="G309" s="1"/>
    </row>
    <row r="310">
      <c r="A310" s="1" t="s">
        <v>1761</v>
      </c>
      <c r="B310" s="1" t="s">
        <v>1762</v>
      </c>
      <c r="C310" s="1" t="s">
        <v>1763</v>
      </c>
      <c r="D310" s="1" t="s">
        <v>1764</v>
      </c>
      <c r="E310" s="1" t="s">
        <v>144</v>
      </c>
      <c r="F310" s="1" t="s">
        <v>142</v>
      </c>
      <c r="G310" s="1"/>
    </row>
    <row r="311">
      <c r="A311" s="1" t="s">
        <v>1765</v>
      </c>
      <c r="B311" s="1" t="s">
        <v>1766</v>
      </c>
      <c r="C311" s="1" t="s">
        <v>1767</v>
      </c>
      <c r="D311" s="1" t="s">
        <v>1768</v>
      </c>
      <c r="E311" s="1" t="s">
        <v>144</v>
      </c>
      <c r="F311" s="1" t="s">
        <v>142</v>
      </c>
      <c r="G311" s="1"/>
    </row>
    <row r="312">
      <c r="A312" s="1" t="s">
        <v>1769</v>
      </c>
      <c r="B312" s="1" t="s">
        <v>1770</v>
      </c>
      <c r="C312" s="1" t="s">
        <v>1771</v>
      </c>
      <c r="D312" s="1" t="s">
        <v>1772</v>
      </c>
      <c r="E312" s="1" t="s">
        <v>144</v>
      </c>
      <c r="F312" s="1" t="s">
        <v>142</v>
      </c>
      <c r="G312" s="1"/>
    </row>
    <row r="313">
      <c r="A313" s="1" t="s">
        <v>1774</v>
      </c>
      <c r="B313" s="1" t="s">
        <v>1775</v>
      </c>
      <c r="C313" s="1" t="s">
        <v>1776</v>
      </c>
      <c r="D313" s="1" t="s">
        <v>1777</v>
      </c>
      <c r="E313" s="1" t="s">
        <v>144</v>
      </c>
      <c r="F313" s="1" t="s">
        <v>142</v>
      </c>
      <c r="G313" s="1"/>
    </row>
    <row r="314">
      <c r="A314" s="1" t="s">
        <v>1778</v>
      </c>
      <c r="B314" s="1" t="s">
        <v>1779</v>
      </c>
      <c r="C314" s="1" t="s">
        <v>1780</v>
      </c>
      <c r="D314" s="1" t="s">
        <v>1781</v>
      </c>
      <c r="E314" s="1" t="s">
        <v>144</v>
      </c>
      <c r="F314" s="1" t="s">
        <v>142</v>
      </c>
      <c r="G314" s="1"/>
    </row>
    <row r="315">
      <c r="A315" s="1" t="s">
        <v>1782</v>
      </c>
      <c r="B315" s="1" t="s">
        <v>1783</v>
      </c>
      <c r="C315" s="1" t="s">
        <v>1784</v>
      </c>
      <c r="D315" s="1" t="s">
        <v>1785</v>
      </c>
      <c r="E315" s="1" t="s">
        <v>144</v>
      </c>
      <c r="F315" s="1" t="s">
        <v>142</v>
      </c>
      <c r="G315" s="1"/>
    </row>
    <row r="316">
      <c r="A316" s="1" t="s">
        <v>1786</v>
      </c>
      <c r="B316" s="1" t="s">
        <v>1787</v>
      </c>
      <c r="C316" s="1" t="s">
        <v>1788</v>
      </c>
      <c r="D316" s="1" t="s">
        <v>1789</v>
      </c>
      <c r="E316" s="1" t="s">
        <v>144</v>
      </c>
      <c r="F316" s="1" t="s">
        <v>142</v>
      </c>
      <c r="G316" s="1"/>
    </row>
    <row r="317">
      <c r="A317" s="1" t="s">
        <v>1790</v>
      </c>
      <c r="B317" s="1" t="s">
        <v>1791</v>
      </c>
      <c r="C317" s="1" t="s">
        <v>1792</v>
      </c>
      <c r="D317" s="1" t="s">
        <v>1793</v>
      </c>
      <c r="E317" s="1" t="s">
        <v>144</v>
      </c>
      <c r="F317" s="1" t="s">
        <v>142</v>
      </c>
      <c r="G317" s="1"/>
    </row>
    <row r="318">
      <c r="A318" s="1" t="s">
        <v>1794</v>
      </c>
      <c r="B318" s="1" t="s">
        <v>1795</v>
      </c>
      <c r="C318" s="1" t="s">
        <v>1796</v>
      </c>
      <c r="D318" s="1" t="s">
        <v>1797</v>
      </c>
      <c r="E318" s="1" t="s">
        <v>144</v>
      </c>
      <c r="F318" s="1" t="s">
        <v>142</v>
      </c>
      <c r="G318" s="1"/>
    </row>
    <row r="319">
      <c r="A319" s="1" t="s">
        <v>1798</v>
      </c>
      <c r="B319" s="1" t="s">
        <v>1799</v>
      </c>
      <c r="C319" s="1" t="s">
        <v>1800</v>
      </c>
      <c r="D319" s="1" t="s">
        <v>1801</v>
      </c>
      <c r="E319" s="1" t="s">
        <v>144</v>
      </c>
      <c r="F319" s="1" t="s">
        <v>142</v>
      </c>
      <c r="G319" s="1"/>
    </row>
    <row r="320">
      <c r="A320" s="1" t="s">
        <v>1802</v>
      </c>
      <c r="B320" s="1" t="s">
        <v>1803</v>
      </c>
      <c r="C320" s="1" t="s">
        <v>1804</v>
      </c>
      <c r="D320" s="1" t="s">
        <v>1805</v>
      </c>
      <c r="E320" s="1" t="s">
        <v>144</v>
      </c>
      <c r="F320" s="1" t="s">
        <v>142</v>
      </c>
      <c r="G320" s="1"/>
    </row>
    <row r="321">
      <c r="A321" s="1" t="s">
        <v>1806</v>
      </c>
      <c r="B321" s="1" t="s">
        <v>1807</v>
      </c>
      <c r="C321" s="1" t="s">
        <v>1808</v>
      </c>
      <c r="D321" s="1" t="s">
        <v>1809</v>
      </c>
      <c r="E321" s="1" t="s">
        <v>144</v>
      </c>
      <c r="F321" s="1" t="s">
        <v>142</v>
      </c>
      <c r="G321" s="1"/>
    </row>
    <row r="322">
      <c r="A322" s="1" t="s">
        <v>1810</v>
      </c>
      <c r="B322" s="1" t="s">
        <v>1811</v>
      </c>
      <c r="C322" s="1" t="s">
        <v>1812</v>
      </c>
      <c r="D322" s="1" t="s">
        <v>1813</v>
      </c>
      <c r="E322" s="1" t="s">
        <v>144</v>
      </c>
      <c r="F322" s="1" t="s">
        <v>142</v>
      </c>
      <c r="G322" s="1"/>
    </row>
    <row r="323">
      <c r="A323" s="1" t="s">
        <v>1814</v>
      </c>
      <c r="B323" s="1" t="s">
        <v>1815</v>
      </c>
      <c r="C323" s="1" t="s">
        <v>1816</v>
      </c>
      <c r="D323" s="1" t="s">
        <v>1817</v>
      </c>
      <c r="E323" s="1" t="s">
        <v>144</v>
      </c>
      <c r="F323" s="1" t="s">
        <v>142</v>
      </c>
      <c r="G323" s="1"/>
    </row>
    <row r="324">
      <c r="A324" s="1" t="s">
        <v>1818</v>
      </c>
      <c r="B324" s="1" t="s">
        <v>1819</v>
      </c>
      <c r="C324" s="1" t="s">
        <v>1820</v>
      </c>
      <c r="D324" s="1" t="s">
        <v>1821</v>
      </c>
      <c r="E324" s="1" t="s">
        <v>971</v>
      </c>
      <c r="F324" s="1">
        <v>6.0</v>
      </c>
      <c r="G324" s="1">
        <v>6.0</v>
      </c>
    </row>
    <row r="325">
      <c r="A325" s="1" t="s">
        <v>1818</v>
      </c>
      <c r="B325" s="1" t="s">
        <v>1822</v>
      </c>
      <c r="C325" s="1" t="s">
        <v>1820</v>
      </c>
      <c r="D325" s="1" t="s">
        <v>1823</v>
      </c>
      <c r="E325" s="1" t="s">
        <v>144</v>
      </c>
      <c r="F325" s="1" t="s">
        <v>142</v>
      </c>
      <c r="G325" s="1"/>
    </row>
    <row r="326">
      <c r="A326" s="1" t="s">
        <v>1824</v>
      </c>
      <c r="B326" s="1" t="s">
        <v>1825</v>
      </c>
      <c r="C326" s="1" t="s">
        <v>1826</v>
      </c>
      <c r="D326" s="1" t="s">
        <v>1827</v>
      </c>
      <c r="E326" s="1" t="s">
        <v>144</v>
      </c>
      <c r="F326" s="1" t="s">
        <v>142</v>
      </c>
      <c r="G326" s="1"/>
    </row>
    <row r="327">
      <c r="A327" s="1" t="s">
        <v>1828</v>
      </c>
      <c r="B327" s="1" t="s">
        <v>1829</v>
      </c>
      <c r="C327" s="1" t="s">
        <v>1830</v>
      </c>
      <c r="D327" s="1" t="s">
        <v>1831</v>
      </c>
      <c r="E327" s="1" t="s">
        <v>144</v>
      </c>
      <c r="F327" s="1" t="s">
        <v>142</v>
      </c>
      <c r="G327" s="1"/>
    </row>
    <row r="328">
      <c r="A328" s="1" t="s">
        <v>1832</v>
      </c>
      <c r="B328" s="1" t="s">
        <v>1833</v>
      </c>
      <c r="C328" s="1" t="s">
        <v>1834</v>
      </c>
      <c r="D328" s="1" t="s">
        <v>1835</v>
      </c>
      <c r="E328" s="1" t="s">
        <v>144</v>
      </c>
      <c r="F328" s="1" t="s">
        <v>142</v>
      </c>
      <c r="G328" s="1"/>
    </row>
    <row r="329">
      <c r="A329" s="1" t="s">
        <v>1836</v>
      </c>
      <c r="B329" s="1" t="s">
        <v>1837</v>
      </c>
      <c r="C329" s="1" t="s">
        <v>1838</v>
      </c>
      <c r="D329" s="1" t="s">
        <v>1839</v>
      </c>
      <c r="E329" s="1" t="s">
        <v>144</v>
      </c>
      <c r="F329" s="1" t="s">
        <v>142</v>
      </c>
      <c r="G329" s="1"/>
    </row>
    <row r="330">
      <c r="A330" s="1" t="s">
        <v>1840</v>
      </c>
      <c r="B330" s="1" t="s">
        <v>1841</v>
      </c>
      <c r="C330" s="1" t="s">
        <v>1842</v>
      </c>
      <c r="D330" s="1" t="s">
        <v>1843</v>
      </c>
      <c r="E330" s="1" t="s">
        <v>144</v>
      </c>
      <c r="F330" s="1" t="s">
        <v>142</v>
      </c>
      <c r="G330" s="1"/>
    </row>
    <row r="331">
      <c r="A331" s="1" t="s">
        <v>1844</v>
      </c>
      <c r="B331" s="1" t="s">
        <v>1845</v>
      </c>
      <c r="C331" s="1" t="s">
        <v>1846</v>
      </c>
      <c r="D331" s="1" t="s">
        <v>1847</v>
      </c>
      <c r="E331" s="1" t="s">
        <v>144</v>
      </c>
      <c r="F331" s="1" t="s">
        <v>142</v>
      </c>
      <c r="G331" s="1"/>
    </row>
    <row r="332">
      <c r="A332" s="1" t="s">
        <v>1848</v>
      </c>
      <c r="B332" s="1" t="s">
        <v>1849</v>
      </c>
      <c r="C332" s="1" t="s">
        <v>1850</v>
      </c>
      <c r="D332" s="1" t="s">
        <v>1851</v>
      </c>
      <c r="E332" s="1" t="s">
        <v>144</v>
      </c>
      <c r="F332" s="1" t="s">
        <v>142</v>
      </c>
      <c r="G332" s="1"/>
    </row>
    <row r="333">
      <c r="A333" s="1" t="s">
        <v>1852</v>
      </c>
      <c r="B333" s="1" t="s">
        <v>1853</v>
      </c>
      <c r="C333" s="1" t="s">
        <v>1854</v>
      </c>
      <c r="D333" s="1" t="s">
        <v>1855</v>
      </c>
      <c r="E333" s="1" t="s">
        <v>144</v>
      </c>
      <c r="F333" s="1" t="s">
        <v>142</v>
      </c>
      <c r="G333" s="1"/>
    </row>
    <row r="334">
      <c r="A334" s="1" t="s">
        <v>1856</v>
      </c>
      <c r="B334" s="1" t="s">
        <v>1857</v>
      </c>
      <c r="C334" s="1" t="s">
        <v>1858</v>
      </c>
      <c r="D334" s="1" t="s">
        <v>1859</v>
      </c>
      <c r="E334" s="1" t="s">
        <v>144</v>
      </c>
      <c r="F334" s="1" t="s">
        <v>142</v>
      </c>
      <c r="G334" s="1"/>
    </row>
    <row r="335">
      <c r="A335" s="1" t="s">
        <v>1860</v>
      </c>
      <c r="B335" s="1" t="s">
        <v>1861</v>
      </c>
      <c r="C335" s="1" t="s">
        <v>1862</v>
      </c>
      <c r="D335" s="1" t="s">
        <v>1863</v>
      </c>
      <c r="E335" s="1" t="s">
        <v>144</v>
      </c>
      <c r="F335" s="1" t="s">
        <v>142</v>
      </c>
      <c r="G335" s="1"/>
    </row>
    <row r="336">
      <c r="A336" s="1" t="s">
        <v>1864</v>
      </c>
      <c r="B336" s="1" t="s">
        <v>1865</v>
      </c>
      <c r="C336" s="1" t="s">
        <v>1866</v>
      </c>
      <c r="D336" s="1" t="s">
        <v>1867</v>
      </c>
      <c r="E336" s="1" t="s">
        <v>144</v>
      </c>
      <c r="F336" s="1" t="s">
        <v>142</v>
      </c>
      <c r="G336" s="1"/>
    </row>
    <row r="337">
      <c r="A337" s="1" t="s">
        <v>1868</v>
      </c>
      <c r="B337" s="1" t="s">
        <v>1869</v>
      </c>
      <c r="C337" s="1" t="s">
        <v>1870</v>
      </c>
      <c r="D337" s="1" t="s">
        <v>1871</v>
      </c>
      <c r="E337" s="1" t="s">
        <v>144</v>
      </c>
      <c r="F337" s="1" t="s">
        <v>142</v>
      </c>
      <c r="G337" s="1"/>
    </row>
    <row r="338">
      <c r="A338" s="1" t="s">
        <v>1872</v>
      </c>
      <c r="B338" s="1" t="s">
        <v>1873</v>
      </c>
      <c r="C338" s="1" t="s">
        <v>1874</v>
      </c>
      <c r="D338" s="1" t="s">
        <v>1875</v>
      </c>
      <c r="E338" s="1" t="s">
        <v>144</v>
      </c>
      <c r="F338" s="1" t="s">
        <v>142</v>
      </c>
      <c r="G338" s="1"/>
    </row>
    <row r="339">
      <c r="A339" s="1" t="s">
        <v>1876</v>
      </c>
      <c r="B339" s="1" t="s">
        <v>1877</v>
      </c>
      <c r="C339" s="1" t="s">
        <v>1878</v>
      </c>
      <c r="D339" s="1" t="s">
        <v>1879</v>
      </c>
      <c r="E339" s="1" t="s">
        <v>144</v>
      </c>
      <c r="F339" s="1" t="s">
        <v>142</v>
      </c>
      <c r="G339" s="1"/>
    </row>
    <row r="340">
      <c r="A340" s="1" t="s">
        <v>1880</v>
      </c>
      <c r="B340" s="1" t="s">
        <v>1881</v>
      </c>
      <c r="C340" s="1" t="s">
        <v>1882</v>
      </c>
      <c r="D340" s="1" t="s">
        <v>1883</v>
      </c>
      <c r="E340" s="1" t="s">
        <v>144</v>
      </c>
      <c r="F340" s="1" t="s">
        <v>142</v>
      </c>
      <c r="G340" s="1"/>
    </row>
    <row r="341">
      <c r="A341" s="1" t="s">
        <v>1884</v>
      </c>
      <c r="B341" s="1" t="s">
        <v>1885</v>
      </c>
      <c r="C341" s="1" t="s">
        <v>1886</v>
      </c>
      <c r="D341" s="1" t="s">
        <v>1887</v>
      </c>
      <c r="E341" s="1" t="s">
        <v>144</v>
      </c>
      <c r="F341" s="1" t="s">
        <v>142</v>
      </c>
      <c r="G341" s="1"/>
    </row>
    <row r="342">
      <c r="A342" s="1" t="s">
        <v>1888</v>
      </c>
      <c r="B342" s="1" t="s">
        <v>1889</v>
      </c>
      <c r="C342" s="1" t="s">
        <v>1890</v>
      </c>
      <c r="D342" s="1" t="s">
        <v>1891</v>
      </c>
      <c r="E342" s="1" t="s">
        <v>144</v>
      </c>
      <c r="F342" s="1" t="s">
        <v>142</v>
      </c>
      <c r="G342" s="1"/>
    </row>
    <row r="343">
      <c r="A343" s="1" t="s">
        <v>1892</v>
      </c>
      <c r="B343" s="1" t="s">
        <v>1893</v>
      </c>
      <c r="C343" s="1" t="s">
        <v>1894</v>
      </c>
      <c r="D343" s="1" t="s">
        <v>1895</v>
      </c>
      <c r="E343" s="1" t="s">
        <v>144</v>
      </c>
      <c r="F343" s="1" t="s">
        <v>142</v>
      </c>
      <c r="G343" s="1"/>
    </row>
    <row r="344">
      <c r="A344" s="1" t="s">
        <v>1896</v>
      </c>
      <c r="B344" s="1" t="s">
        <v>1897</v>
      </c>
      <c r="C344" s="1" t="s">
        <v>1898</v>
      </c>
      <c r="D344" s="1" t="s">
        <v>1899</v>
      </c>
      <c r="E344" s="1" t="s">
        <v>144</v>
      </c>
      <c r="F344" s="1" t="s">
        <v>142</v>
      </c>
      <c r="G344" s="1"/>
    </row>
    <row r="345">
      <c r="A345" s="1" t="s">
        <v>1900</v>
      </c>
      <c r="B345" s="1" t="s">
        <v>1901</v>
      </c>
      <c r="C345" s="1" t="s">
        <v>1902</v>
      </c>
      <c r="D345" s="1" t="s">
        <v>1903</v>
      </c>
      <c r="E345" s="1" t="s">
        <v>144</v>
      </c>
      <c r="F345" s="1" t="s">
        <v>142</v>
      </c>
      <c r="G345" s="1"/>
    </row>
    <row r="346">
      <c r="A346" s="1" t="s">
        <v>1904</v>
      </c>
      <c r="B346" s="1" t="s">
        <v>1905</v>
      </c>
      <c r="C346" s="1" t="s">
        <v>1906</v>
      </c>
      <c r="D346" s="1" t="s">
        <v>1907</v>
      </c>
      <c r="E346" s="1" t="s">
        <v>144</v>
      </c>
      <c r="F346" s="1" t="s">
        <v>142</v>
      </c>
      <c r="G346" s="1"/>
    </row>
    <row r="347">
      <c r="A347" s="1" t="s">
        <v>1908</v>
      </c>
      <c r="B347" s="1" t="s">
        <v>1909</v>
      </c>
      <c r="C347" s="1" t="s">
        <v>1910</v>
      </c>
      <c r="D347" s="1" t="s">
        <v>1911</v>
      </c>
      <c r="E347" s="1" t="s">
        <v>144</v>
      </c>
      <c r="F347" s="1" t="s">
        <v>142</v>
      </c>
      <c r="G347" s="1"/>
    </row>
    <row r="348">
      <c r="A348" s="1" t="s">
        <v>1913</v>
      </c>
      <c r="B348" s="1" t="s">
        <v>1914</v>
      </c>
      <c r="C348" s="1" t="s">
        <v>1915</v>
      </c>
      <c r="D348" s="1" t="s">
        <v>1916</v>
      </c>
      <c r="E348" s="1" t="s">
        <v>144</v>
      </c>
      <c r="F348" s="1" t="s">
        <v>142</v>
      </c>
      <c r="G348" s="1"/>
    </row>
    <row r="349">
      <c r="A349" s="1" t="s">
        <v>1917</v>
      </c>
      <c r="B349" s="1" t="s">
        <v>1918</v>
      </c>
      <c r="C349" s="1" t="s">
        <v>1919</v>
      </c>
      <c r="D349" s="1" t="s">
        <v>1920</v>
      </c>
      <c r="E349" s="1" t="s">
        <v>144</v>
      </c>
      <c r="F349" s="1" t="s">
        <v>142</v>
      </c>
      <c r="G349" s="1"/>
    </row>
    <row r="350">
      <c r="A350" s="1" t="s">
        <v>1921</v>
      </c>
      <c r="B350" s="1" t="s">
        <v>1922</v>
      </c>
      <c r="C350" s="1" t="s">
        <v>1923</v>
      </c>
      <c r="D350" s="1" t="s">
        <v>1925</v>
      </c>
      <c r="E350" s="1" t="s">
        <v>144</v>
      </c>
      <c r="F350" s="1" t="s">
        <v>142</v>
      </c>
      <c r="G350" s="1"/>
    </row>
    <row r="351">
      <c r="A351" s="1" t="s">
        <v>1926</v>
      </c>
      <c r="B351" s="1" t="s">
        <v>1927</v>
      </c>
      <c r="C351" s="1" t="s">
        <v>1928</v>
      </c>
      <c r="D351" s="1" t="s">
        <v>1929</v>
      </c>
      <c r="E351" s="1" t="s">
        <v>144</v>
      </c>
      <c r="F351" s="1" t="s">
        <v>142</v>
      </c>
      <c r="G351" s="1"/>
    </row>
    <row r="352">
      <c r="A352" s="1" t="s">
        <v>1931</v>
      </c>
      <c r="B352" s="1" t="s">
        <v>1932</v>
      </c>
      <c r="C352" s="1" t="s">
        <v>1933</v>
      </c>
      <c r="D352" s="1" t="s">
        <v>1934</v>
      </c>
      <c r="E352" s="1" t="s">
        <v>144</v>
      </c>
      <c r="F352" s="1" t="s">
        <v>142</v>
      </c>
      <c r="G352" s="1"/>
    </row>
    <row r="353">
      <c r="A353" s="1" t="s">
        <v>1935</v>
      </c>
      <c r="B353" s="1" t="s">
        <v>1936</v>
      </c>
      <c r="C353" s="1" t="s">
        <v>1937</v>
      </c>
      <c r="D353" s="1" t="s">
        <v>1938</v>
      </c>
      <c r="E353" s="1" t="s">
        <v>144</v>
      </c>
      <c r="F353" s="1" t="s">
        <v>142</v>
      </c>
      <c r="G353" s="1"/>
    </row>
    <row r="354">
      <c r="A354" s="1" t="s">
        <v>1935</v>
      </c>
      <c r="B354" s="1" t="s">
        <v>1936</v>
      </c>
      <c r="C354" s="1" t="s">
        <v>1937</v>
      </c>
      <c r="D354" s="1" t="s">
        <v>1938</v>
      </c>
      <c r="E354" s="1" t="s">
        <v>144</v>
      </c>
      <c r="F354" s="1" t="s">
        <v>142</v>
      </c>
      <c r="G354" s="1"/>
    </row>
    <row r="355">
      <c r="A355" s="1" t="s">
        <v>1940</v>
      </c>
      <c r="B355" s="1" t="s">
        <v>1941</v>
      </c>
      <c r="C355" s="1" t="s">
        <v>1942</v>
      </c>
      <c r="D355" s="1" t="s">
        <v>1943</v>
      </c>
      <c r="E355" s="1" t="s">
        <v>144</v>
      </c>
      <c r="F355" s="1" t="s">
        <v>142</v>
      </c>
      <c r="G355" s="1"/>
    </row>
    <row r="356">
      <c r="A356" s="1" t="s">
        <v>1945</v>
      </c>
      <c r="B356" s="1" t="s">
        <v>1946</v>
      </c>
      <c r="C356" s="1" t="s">
        <v>1947</v>
      </c>
      <c r="D356" s="1" t="s">
        <v>1948</v>
      </c>
      <c r="E356" s="1" t="s">
        <v>144</v>
      </c>
      <c r="F356" s="1" t="s">
        <v>142</v>
      </c>
      <c r="G356" s="1"/>
    </row>
    <row r="357">
      <c r="A357" s="1" t="s">
        <v>1949</v>
      </c>
      <c r="B357" s="1" t="s">
        <v>1950</v>
      </c>
      <c r="C357" s="1" t="s">
        <v>1951</v>
      </c>
      <c r="D357" s="1" t="s">
        <v>1952</v>
      </c>
      <c r="E357" s="1" t="s">
        <v>144</v>
      </c>
      <c r="F357" s="1" t="s">
        <v>142</v>
      </c>
      <c r="G357" s="1"/>
    </row>
    <row r="358">
      <c r="A358" s="1" t="s">
        <v>1954</v>
      </c>
      <c r="B358" s="1" t="s">
        <v>1955</v>
      </c>
      <c r="C358" s="1" t="s">
        <v>1956</v>
      </c>
      <c r="D358" s="1" t="s">
        <v>1957</v>
      </c>
      <c r="E358" s="1" t="s">
        <v>144</v>
      </c>
      <c r="F358" s="1" t="s">
        <v>142</v>
      </c>
      <c r="G358" s="1"/>
    </row>
    <row r="359">
      <c r="A359" s="1" t="s">
        <v>1958</v>
      </c>
      <c r="B359" s="1" t="s">
        <v>1959</v>
      </c>
      <c r="C359" s="1" t="s">
        <v>1960</v>
      </c>
      <c r="D359" s="1" t="s">
        <v>1962</v>
      </c>
      <c r="E359" s="1" t="s">
        <v>144</v>
      </c>
      <c r="F359" s="1" t="s">
        <v>142</v>
      </c>
      <c r="G359" s="1"/>
    </row>
    <row r="360">
      <c r="A360" s="1" t="s">
        <v>1964</v>
      </c>
      <c r="B360" s="1" t="s">
        <v>1965</v>
      </c>
      <c r="C360" s="1" t="s">
        <v>1966</v>
      </c>
      <c r="D360" s="1" t="s">
        <v>1967</v>
      </c>
      <c r="E360" s="1" t="s">
        <v>144</v>
      </c>
      <c r="F360" s="1" t="s">
        <v>142</v>
      </c>
      <c r="G360" s="1"/>
    </row>
    <row r="361">
      <c r="A361" s="1" t="s">
        <v>1968</v>
      </c>
      <c r="B361" s="1" t="s">
        <v>1969</v>
      </c>
      <c r="C361" s="1" t="s">
        <v>1970</v>
      </c>
      <c r="D361" s="1" t="s">
        <v>1971</v>
      </c>
      <c r="E361" s="1" t="s">
        <v>144</v>
      </c>
      <c r="F361" s="1" t="s">
        <v>142</v>
      </c>
      <c r="G361" s="1"/>
    </row>
    <row r="362">
      <c r="A362" s="1" t="s">
        <v>1972</v>
      </c>
      <c r="B362" s="1" t="s">
        <v>1973</v>
      </c>
      <c r="C362" s="1" t="s">
        <v>1974</v>
      </c>
      <c r="D362" s="1" t="s">
        <v>1975</v>
      </c>
      <c r="E362" s="1" t="s">
        <v>144</v>
      </c>
      <c r="F362" s="1" t="s">
        <v>142</v>
      </c>
      <c r="G362" s="1"/>
    </row>
    <row r="363">
      <c r="A363" s="1" t="s">
        <v>1976</v>
      </c>
      <c r="B363" s="1" t="s">
        <v>1977</v>
      </c>
      <c r="C363" s="1" t="s">
        <v>1978</v>
      </c>
      <c r="D363" s="1" t="s">
        <v>1979</v>
      </c>
      <c r="E363" s="1" t="s">
        <v>144</v>
      </c>
      <c r="F363" s="1" t="s">
        <v>142</v>
      </c>
      <c r="G363" s="1"/>
    </row>
    <row r="364">
      <c r="A364" s="1" t="s">
        <v>1981</v>
      </c>
      <c r="B364" s="1" t="s">
        <v>1982</v>
      </c>
      <c r="C364" s="1" t="s">
        <v>1983</v>
      </c>
      <c r="D364" s="1" t="s">
        <v>1984</v>
      </c>
      <c r="E364" s="1" t="s">
        <v>144</v>
      </c>
      <c r="F364" s="1" t="s">
        <v>142</v>
      </c>
      <c r="G364" s="1"/>
    </row>
    <row r="365">
      <c r="A365" s="1" t="s">
        <v>1985</v>
      </c>
      <c r="B365" s="1" t="s">
        <v>1986</v>
      </c>
      <c r="C365" s="1" t="s">
        <v>1987</v>
      </c>
      <c r="D365" s="1" t="s">
        <v>1988</v>
      </c>
      <c r="E365" s="1" t="s">
        <v>144</v>
      </c>
      <c r="F365" s="1" t="s">
        <v>142</v>
      </c>
      <c r="G365" s="1"/>
    </row>
    <row r="366">
      <c r="A366" s="1" t="s">
        <v>1990</v>
      </c>
      <c r="B366" s="1" t="s">
        <v>1991</v>
      </c>
      <c r="C366" s="1" t="s">
        <v>1992</v>
      </c>
      <c r="D366" s="1" t="s">
        <v>1993</v>
      </c>
      <c r="E366" s="1" t="s">
        <v>144</v>
      </c>
      <c r="F366" s="1" t="s">
        <v>142</v>
      </c>
      <c r="G366" s="1"/>
    </row>
    <row r="367">
      <c r="A367" s="1" t="s">
        <v>1994</v>
      </c>
      <c r="B367" s="1" t="s">
        <v>1995</v>
      </c>
      <c r="C367" s="1" t="s">
        <v>1996</v>
      </c>
      <c r="D367" s="1" t="s">
        <v>1997</v>
      </c>
      <c r="E367" s="1" t="s">
        <v>144</v>
      </c>
      <c r="F367" s="1" t="s">
        <v>142</v>
      </c>
      <c r="G367" s="1"/>
    </row>
    <row r="368">
      <c r="A368" s="1" t="s">
        <v>1999</v>
      </c>
      <c r="B368" s="1" t="s">
        <v>2000</v>
      </c>
      <c r="C368" s="1" t="s">
        <v>2001</v>
      </c>
      <c r="D368" s="1" t="s">
        <v>2002</v>
      </c>
      <c r="E368" s="1" t="s">
        <v>144</v>
      </c>
      <c r="F368" s="1" t="s">
        <v>142</v>
      </c>
      <c r="G368" s="1"/>
    </row>
    <row r="369">
      <c r="A369" s="1" t="s">
        <v>2003</v>
      </c>
      <c r="B369" s="1" t="s">
        <v>2004</v>
      </c>
      <c r="C369" s="1" t="s">
        <v>2005</v>
      </c>
      <c r="D369" s="1" t="s">
        <v>2006</v>
      </c>
      <c r="E369" s="1" t="s">
        <v>144</v>
      </c>
      <c r="F369" s="1" t="s">
        <v>142</v>
      </c>
      <c r="G369" s="1"/>
    </row>
    <row r="370">
      <c r="A370" s="1" t="s">
        <v>2007</v>
      </c>
      <c r="B370" s="1" t="s">
        <v>2008</v>
      </c>
      <c r="C370" s="1" t="s">
        <v>2009</v>
      </c>
      <c r="D370" s="1" t="s">
        <v>2010</v>
      </c>
      <c r="E370" s="1" t="s">
        <v>144</v>
      </c>
      <c r="F370" s="1" t="s">
        <v>142</v>
      </c>
      <c r="G370" s="1"/>
    </row>
    <row r="371">
      <c r="A371" s="1" t="s">
        <v>2011</v>
      </c>
      <c r="B371" s="1" t="s">
        <v>2012</v>
      </c>
      <c r="C371" s="1" t="s">
        <v>2013</v>
      </c>
      <c r="D371" s="1" t="s">
        <v>2014</v>
      </c>
      <c r="E371" s="1" t="s">
        <v>144</v>
      </c>
      <c r="F371" s="1" t="s">
        <v>142</v>
      </c>
      <c r="G371" s="1"/>
    </row>
    <row r="372">
      <c r="A372" s="1" t="s">
        <v>2015</v>
      </c>
      <c r="B372" s="1" t="s">
        <v>2016</v>
      </c>
      <c r="C372" s="1" t="s">
        <v>2017</v>
      </c>
      <c r="D372" s="1" t="s">
        <v>2018</v>
      </c>
      <c r="E372" s="1" t="s">
        <v>144</v>
      </c>
      <c r="F372" s="1" t="s">
        <v>142</v>
      </c>
      <c r="G372" s="1"/>
    </row>
    <row r="373">
      <c r="A373" s="1" t="s">
        <v>2019</v>
      </c>
      <c r="B373" s="1" t="s">
        <v>2020</v>
      </c>
      <c r="C373" s="1" t="s">
        <v>2021</v>
      </c>
      <c r="D373" s="1" t="s">
        <v>2022</v>
      </c>
      <c r="E373" s="1" t="s">
        <v>144</v>
      </c>
      <c r="F373" s="1" t="s">
        <v>142</v>
      </c>
      <c r="G373" s="1"/>
    </row>
    <row r="374">
      <c r="A374" s="1" t="s">
        <v>2023</v>
      </c>
      <c r="B374" s="1" t="s">
        <v>2024</v>
      </c>
      <c r="C374" s="1" t="s">
        <v>2025</v>
      </c>
      <c r="D374" s="1" t="s">
        <v>2026</v>
      </c>
      <c r="E374" s="1" t="s">
        <v>144</v>
      </c>
      <c r="F374" s="1" t="s">
        <v>142</v>
      </c>
      <c r="G374" s="1"/>
    </row>
    <row r="375">
      <c r="A375" s="1" t="s">
        <v>2027</v>
      </c>
      <c r="B375" s="1" t="s">
        <v>2028</v>
      </c>
      <c r="C375" s="1" t="s">
        <v>2029</v>
      </c>
      <c r="D375" s="1" t="s">
        <v>2030</v>
      </c>
      <c r="E375" s="1" t="s">
        <v>144</v>
      </c>
      <c r="F375" s="1" t="s">
        <v>142</v>
      </c>
      <c r="G375" s="1"/>
    </row>
    <row r="376">
      <c r="A376" s="1" t="s">
        <v>2031</v>
      </c>
      <c r="B376" s="1" t="s">
        <v>2032</v>
      </c>
      <c r="C376" s="1" t="s">
        <v>2033</v>
      </c>
      <c r="D376" s="1" t="s">
        <v>2034</v>
      </c>
      <c r="E376" s="1" t="s">
        <v>144</v>
      </c>
      <c r="F376" s="1" t="s">
        <v>142</v>
      </c>
      <c r="G376" s="1"/>
    </row>
    <row r="377">
      <c r="A377" s="1" t="s">
        <v>2035</v>
      </c>
      <c r="B377" s="1" t="s">
        <v>2036</v>
      </c>
      <c r="C377" s="1" t="s">
        <v>2037</v>
      </c>
      <c r="D377" s="1" t="s">
        <v>2038</v>
      </c>
      <c r="E377" s="1" t="s">
        <v>144</v>
      </c>
      <c r="F377" s="1" t="s">
        <v>142</v>
      </c>
      <c r="G377" s="1"/>
    </row>
    <row r="378">
      <c r="A378" s="1" t="s">
        <v>2039</v>
      </c>
      <c r="B378" s="1" t="s">
        <v>2041</v>
      </c>
      <c r="C378" s="1" t="s">
        <v>2042</v>
      </c>
      <c r="D378" s="1" t="s">
        <v>2043</v>
      </c>
      <c r="E378" s="1" t="s">
        <v>144</v>
      </c>
      <c r="F378" s="1" t="s">
        <v>142</v>
      </c>
      <c r="G378" s="1"/>
    </row>
    <row r="379">
      <c r="A379" s="1" t="s">
        <v>2044</v>
      </c>
      <c r="B379" s="1" t="s">
        <v>2045</v>
      </c>
      <c r="C379" s="1" t="s">
        <v>2046</v>
      </c>
      <c r="D379" s="1" t="s">
        <v>2047</v>
      </c>
      <c r="E379" s="1" t="s">
        <v>144</v>
      </c>
      <c r="F379" s="1" t="s">
        <v>142</v>
      </c>
      <c r="G379" s="1"/>
    </row>
    <row r="380">
      <c r="A380" s="1" t="s">
        <v>2048</v>
      </c>
      <c r="B380" s="1" t="s">
        <v>2050</v>
      </c>
      <c r="C380" s="1" t="s">
        <v>2051</v>
      </c>
      <c r="D380" s="1" t="s">
        <v>2052</v>
      </c>
      <c r="E380" s="1" t="s">
        <v>144</v>
      </c>
      <c r="F380" s="1" t="s">
        <v>142</v>
      </c>
      <c r="G380" s="1"/>
    </row>
    <row r="381">
      <c r="A381" s="1" t="s">
        <v>2053</v>
      </c>
      <c r="B381" s="1" t="s">
        <v>2054</v>
      </c>
      <c r="C381" s="1" t="s">
        <v>2055</v>
      </c>
      <c r="D381" s="1" t="s">
        <v>2056</v>
      </c>
      <c r="E381" s="1" t="s">
        <v>144</v>
      </c>
      <c r="F381" s="1" t="s">
        <v>142</v>
      </c>
      <c r="G381" s="1"/>
    </row>
    <row r="382">
      <c r="A382" s="1" t="s">
        <v>2057</v>
      </c>
      <c r="B382" s="1" t="s">
        <v>2058</v>
      </c>
      <c r="C382" s="1" t="s">
        <v>2059</v>
      </c>
      <c r="D382" s="1" t="s">
        <v>2060</v>
      </c>
      <c r="E382" s="1" t="s">
        <v>144</v>
      </c>
      <c r="F382" s="1" t="s">
        <v>142</v>
      </c>
      <c r="G382" s="1"/>
    </row>
    <row r="383">
      <c r="A383" s="1" t="s">
        <v>2061</v>
      </c>
      <c r="B383" s="1" t="s">
        <v>2062</v>
      </c>
      <c r="C383" s="1" t="s">
        <v>2063</v>
      </c>
      <c r="D383" s="1" t="s">
        <v>2064</v>
      </c>
      <c r="E383" s="1" t="s">
        <v>144</v>
      </c>
      <c r="F383" s="1" t="s">
        <v>142</v>
      </c>
      <c r="G383" s="1"/>
    </row>
    <row r="384">
      <c r="A384" s="1" t="s">
        <v>2065</v>
      </c>
      <c r="B384" s="1" t="s">
        <v>2066</v>
      </c>
      <c r="C384" s="1" t="s">
        <v>2067</v>
      </c>
      <c r="D384" s="1" t="s">
        <v>2068</v>
      </c>
      <c r="E384" s="1" t="s">
        <v>144</v>
      </c>
      <c r="F384" s="1" t="s">
        <v>142</v>
      </c>
      <c r="G384" s="1"/>
    </row>
    <row r="385">
      <c r="A385" s="1" t="s">
        <v>2069</v>
      </c>
      <c r="B385" s="1" t="s">
        <v>2070</v>
      </c>
      <c r="C385" s="1" t="s">
        <v>2071</v>
      </c>
      <c r="D385" s="1" t="s">
        <v>2072</v>
      </c>
      <c r="E385" s="1" t="s">
        <v>144</v>
      </c>
      <c r="F385" s="1" t="s">
        <v>142</v>
      </c>
      <c r="G385" s="1"/>
    </row>
    <row r="386">
      <c r="A386" s="1" t="s">
        <v>2073</v>
      </c>
      <c r="B386" s="1" t="s">
        <v>2074</v>
      </c>
      <c r="C386" s="1" t="s">
        <v>2075</v>
      </c>
      <c r="D386" s="1" t="s">
        <v>2076</v>
      </c>
      <c r="E386" s="1" t="s">
        <v>144</v>
      </c>
      <c r="F386" s="1" t="s">
        <v>142</v>
      </c>
      <c r="G386" s="1"/>
    </row>
    <row r="387">
      <c r="A387" s="1" t="s">
        <v>2077</v>
      </c>
      <c r="B387" s="1" t="s">
        <v>2078</v>
      </c>
      <c r="C387" s="1" t="s">
        <v>2079</v>
      </c>
      <c r="D387" s="1" t="s">
        <v>2080</v>
      </c>
      <c r="E387" s="1" t="s">
        <v>144</v>
      </c>
      <c r="F387" s="1" t="s">
        <v>142</v>
      </c>
      <c r="G387" s="1"/>
    </row>
    <row r="388">
      <c r="A388" s="1" t="s">
        <v>2081</v>
      </c>
      <c r="B388" s="1" t="s">
        <v>2082</v>
      </c>
      <c r="C388" s="1" t="s">
        <v>2083</v>
      </c>
      <c r="D388" s="1" t="s">
        <v>2084</v>
      </c>
      <c r="E388" s="1" t="s">
        <v>144</v>
      </c>
      <c r="F388" s="1" t="s">
        <v>142</v>
      </c>
      <c r="G388" s="1"/>
    </row>
    <row r="389">
      <c r="A389" s="1" t="s">
        <v>2081</v>
      </c>
      <c r="B389" s="1" t="s">
        <v>2082</v>
      </c>
      <c r="C389" s="1" t="s">
        <v>2083</v>
      </c>
      <c r="D389" s="1" t="s">
        <v>2084</v>
      </c>
      <c r="E389" s="1" t="s">
        <v>144</v>
      </c>
      <c r="F389" s="1" t="s">
        <v>142</v>
      </c>
      <c r="G389" s="1"/>
    </row>
    <row r="390">
      <c r="A390" s="1" t="s">
        <v>2085</v>
      </c>
      <c r="B390" s="1" t="s">
        <v>2086</v>
      </c>
      <c r="C390" s="1" t="s">
        <v>2087</v>
      </c>
      <c r="D390" s="1" t="s">
        <v>2088</v>
      </c>
      <c r="E390" s="1" t="s">
        <v>144</v>
      </c>
      <c r="F390" s="1" t="s">
        <v>142</v>
      </c>
      <c r="G390" s="1"/>
    </row>
    <row r="391">
      <c r="A391" s="1" t="s">
        <v>2089</v>
      </c>
      <c r="B391" s="1" t="s">
        <v>2090</v>
      </c>
      <c r="C391" s="1" t="s">
        <v>2091</v>
      </c>
      <c r="D391" s="1" t="s">
        <v>2092</v>
      </c>
      <c r="E391" s="1" t="s">
        <v>144</v>
      </c>
      <c r="F391" s="1" t="s">
        <v>142</v>
      </c>
      <c r="G391" s="1"/>
    </row>
    <row r="392">
      <c r="A392" s="1" t="s">
        <v>2089</v>
      </c>
      <c r="B392" s="1" t="s">
        <v>2093</v>
      </c>
      <c r="C392" s="1" t="s">
        <v>2094</v>
      </c>
      <c r="D392" s="1" t="s">
        <v>2095</v>
      </c>
      <c r="E392" s="1" t="s">
        <v>144</v>
      </c>
      <c r="F392" s="1" t="s">
        <v>142</v>
      </c>
      <c r="G392" s="1"/>
    </row>
    <row r="393">
      <c r="A393" s="1" t="s">
        <v>2096</v>
      </c>
      <c r="B393" s="1" t="s">
        <v>2097</v>
      </c>
      <c r="C393" s="1" t="s">
        <v>2098</v>
      </c>
      <c r="D393" s="1" t="s">
        <v>2099</v>
      </c>
      <c r="E393" s="1" t="s">
        <v>144</v>
      </c>
      <c r="F393" s="1" t="s">
        <v>142</v>
      </c>
      <c r="G393" s="1"/>
    </row>
    <row r="394">
      <c r="A394" s="1" t="s">
        <v>2100</v>
      </c>
      <c r="B394" s="1" t="s">
        <v>2101</v>
      </c>
      <c r="C394" s="1" t="s">
        <v>2102</v>
      </c>
      <c r="D394" s="1" t="s">
        <v>2103</v>
      </c>
      <c r="E394" s="1" t="s">
        <v>144</v>
      </c>
      <c r="F394" s="1" t="s">
        <v>142</v>
      </c>
      <c r="G394" s="1"/>
    </row>
    <row r="395">
      <c r="A395" s="1" t="s">
        <v>2104</v>
      </c>
      <c r="B395" s="1" t="s">
        <v>2105</v>
      </c>
      <c r="C395" s="1" t="s">
        <v>2106</v>
      </c>
      <c r="D395" s="1" t="s">
        <v>2107</v>
      </c>
      <c r="E395" s="1" t="s">
        <v>144</v>
      </c>
      <c r="F395" s="1" t="s">
        <v>142</v>
      </c>
      <c r="G395" s="1"/>
    </row>
    <row r="396">
      <c r="A396" s="1" t="s">
        <v>2108</v>
      </c>
      <c r="B396" s="1" t="s">
        <v>2109</v>
      </c>
      <c r="C396" s="1" t="s">
        <v>2110</v>
      </c>
      <c r="D396" s="1" t="s">
        <v>2111</v>
      </c>
      <c r="E396" s="1" t="s">
        <v>144</v>
      </c>
      <c r="F396" s="1" t="s">
        <v>142</v>
      </c>
      <c r="G396" s="1"/>
    </row>
    <row r="397">
      <c r="A397" s="1" t="s">
        <v>2112</v>
      </c>
      <c r="B397" s="1" t="s">
        <v>2113</v>
      </c>
      <c r="C397" s="1" t="s">
        <v>2114</v>
      </c>
      <c r="D397" s="1" t="s">
        <v>2115</v>
      </c>
      <c r="E397" s="1" t="s">
        <v>144</v>
      </c>
      <c r="F397" s="1" t="s">
        <v>142</v>
      </c>
      <c r="G397" s="1"/>
    </row>
    <row r="398">
      <c r="A398" s="1" t="s">
        <v>2116</v>
      </c>
      <c r="B398" s="1" t="s">
        <v>2118</v>
      </c>
      <c r="C398" s="1" t="s">
        <v>2119</v>
      </c>
      <c r="D398" s="1" t="s">
        <v>2120</v>
      </c>
      <c r="E398" s="1" t="s">
        <v>144</v>
      </c>
      <c r="F398" s="1" t="s">
        <v>142</v>
      </c>
      <c r="G398" s="1"/>
    </row>
    <row r="399">
      <c r="A399" s="1" t="s">
        <v>2121</v>
      </c>
      <c r="B399" s="1" t="s">
        <v>2122</v>
      </c>
      <c r="C399" s="1" t="s">
        <v>2123</v>
      </c>
      <c r="D399" s="1" t="s">
        <v>2124</v>
      </c>
      <c r="E399" s="1" t="s">
        <v>144</v>
      </c>
      <c r="F399" s="1" t="s">
        <v>142</v>
      </c>
      <c r="G399" s="1"/>
    </row>
    <row r="400">
      <c r="A400" s="1" t="s">
        <v>2125</v>
      </c>
      <c r="B400" s="1" t="s">
        <v>2126</v>
      </c>
      <c r="C400" s="1" t="s">
        <v>2127</v>
      </c>
      <c r="D400" s="1" t="s">
        <v>2128</v>
      </c>
      <c r="E400" s="1" t="s">
        <v>144</v>
      </c>
      <c r="F400" s="1" t="s">
        <v>142</v>
      </c>
      <c r="G400" s="1"/>
    </row>
    <row r="401">
      <c r="A401" s="1" t="s">
        <v>2129</v>
      </c>
      <c r="B401" s="1" t="s">
        <v>2130</v>
      </c>
      <c r="C401" s="1" t="s">
        <v>2132</v>
      </c>
      <c r="D401" s="1" t="s">
        <v>2133</v>
      </c>
      <c r="E401" s="1" t="s">
        <v>144</v>
      </c>
      <c r="F401" s="1" t="s">
        <v>142</v>
      </c>
      <c r="G401" s="1"/>
    </row>
    <row r="402">
      <c r="A402" s="1" t="s">
        <v>2134</v>
      </c>
      <c r="B402" s="1" t="s">
        <v>2135</v>
      </c>
      <c r="C402" s="1" t="s">
        <v>2136</v>
      </c>
      <c r="D402" s="1" t="s">
        <v>2137</v>
      </c>
      <c r="E402" s="1" t="s">
        <v>144</v>
      </c>
      <c r="F402" s="1" t="s">
        <v>142</v>
      </c>
      <c r="G402" s="1"/>
    </row>
    <row r="403">
      <c r="A403" s="1" t="s">
        <v>2139</v>
      </c>
      <c r="B403" s="1" t="s">
        <v>2140</v>
      </c>
      <c r="C403" s="1" t="s">
        <v>2141</v>
      </c>
      <c r="D403" s="1" t="s">
        <v>2142</v>
      </c>
      <c r="E403" s="1" t="s">
        <v>144</v>
      </c>
      <c r="F403" s="1" t="s">
        <v>142</v>
      </c>
      <c r="G403" s="1"/>
    </row>
    <row r="404">
      <c r="A404" s="1" t="s">
        <v>2143</v>
      </c>
      <c r="B404" s="1" t="s">
        <v>2144</v>
      </c>
      <c r="C404" s="1" t="s">
        <v>2145</v>
      </c>
      <c r="D404" s="1" t="s">
        <v>2146</v>
      </c>
      <c r="E404" s="1" t="s">
        <v>144</v>
      </c>
      <c r="F404" s="1" t="s">
        <v>142</v>
      </c>
      <c r="G404" s="1"/>
    </row>
    <row r="405">
      <c r="A405" s="1" t="s">
        <v>2148</v>
      </c>
      <c r="B405" s="1" t="s">
        <v>142</v>
      </c>
      <c r="C405" s="1" t="s">
        <v>142</v>
      </c>
      <c r="D405" s="1" t="s">
        <v>2150</v>
      </c>
      <c r="E405" s="1" t="s">
        <v>144</v>
      </c>
      <c r="F405" s="1" t="s">
        <v>142</v>
      </c>
      <c r="G405" s="1"/>
    </row>
    <row r="406">
      <c r="A406" s="1" t="s">
        <v>2151</v>
      </c>
      <c r="B406" s="1" t="s">
        <v>142</v>
      </c>
      <c r="C406" s="1" t="s">
        <v>142</v>
      </c>
      <c r="D406" s="1" t="s">
        <v>2153</v>
      </c>
      <c r="E406" s="1" t="s">
        <v>144</v>
      </c>
      <c r="F406" s="1" t="s">
        <v>142</v>
      </c>
      <c r="G406" s="1"/>
    </row>
    <row r="407">
      <c r="A407" s="1" t="s">
        <v>2154</v>
      </c>
      <c r="B407" s="1" t="s">
        <v>142</v>
      </c>
      <c r="C407" s="1" t="s">
        <v>142</v>
      </c>
      <c r="D407" s="1" t="s">
        <v>2155</v>
      </c>
      <c r="E407" s="1" t="s">
        <v>144</v>
      </c>
      <c r="F407" s="1" t="s">
        <v>142</v>
      </c>
      <c r="G407" s="1"/>
    </row>
    <row r="408">
      <c r="A408" s="1" t="s">
        <v>2156</v>
      </c>
      <c r="B408" s="1" t="s">
        <v>142</v>
      </c>
      <c r="C408" s="1" t="s">
        <v>142</v>
      </c>
      <c r="D408" s="1" t="s">
        <v>2158</v>
      </c>
      <c r="E408" s="1" t="s">
        <v>144</v>
      </c>
      <c r="F408" s="1" t="s">
        <v>142</v>
      </c>
      <c r="G408" s="1"/>
    </row>
    <row r="409">
      <c r="A409" s="1" t="s">
        <v>2159</v>
      </c>
      <c r="B409" s="1" t="s">
        <v>142</v>
      </c>
      <c r="C409" s="1" t="s">
        <v>142</v>
      </c>
      <c r="D409" s="1" t="s">
        <v>2160</v>
      </c>
      <c r="E409" s="1" t="s">
        <v>144</v>
      </c>
      <c r="F409" s="1" t="s">
        <v>142</v>
      </c>
      <c r="G409" s="1"/>
    </row>
    <row r="410">
      <c r="A410" s="1" t="s">
        <v>2161</v>
      </c>
      <c r="B410" s="1" t="s">
        <v>142</v>
      </c>
      <c r="C410" s="1" t="s">
        <v>142</v>
      </c>
      <c r="D410" s="1" t="s">
        <v>2163</v>
      </c>
      <c r="E410" s="1" t="s">
        <v>144</v>
      </c>
      <c r="F410" s="1" t="s">
        <v>142</v>
      </c>
      <c r="G410" s="1"/>
    </row>
    <row r="411">
      <c r="A411" s="1" t="s">
        <v>2165</v>
      </c>
      <c r="B411" s="1" t="s">
        <v>142</v>
      </c>
      <c r="C411" s="1" t="s">
        <v>142</v>
      </c>
      <c r="D411" s="1" t="s">
        <v>2166</v>
      </c>
      <c r="E411" s="1" t="s">
        <v>144</v>
      </c>
      <c r="F411" s="1" t="s">
        <v>142</v>
      </c>
      <c r="G411" s="1"/>
    </row>
    <row r="412">
      <c r="A412" s="1" t="s">
        <v>2168</v>
      </c>
      <c r="B412" s="1" t="s">
        <v>2169</v>
      </c>
      <c r="C412" s="1" t="s">
        <v>2170</v>
      </c>
      <c r="D412" s="1" t="s">
        <v>2171</v>
      </c>
      <c r="E412" s="1" t="s">
        <v>144</v>
      </c>
      <c r="F412" s="1" t="s">
        <v>142</v>
      </c>
      <c r="G412" s="1"/>
    </row>
    <row r="413">
      <c r="A413" s="1" t="s">
        <v>2168</v>
      </c>
      <c r="B413" s="1" t="s">
        <v>2169</v>
      </c>
      <c r="C413" s="1" t="s">
        <v>2170</v>
      </c>
      <c r="D413" s="1" t="s">
        <v>2173</v>
      </c>
      <c r="E413" s="1" t="s">
        <v>144</v>
      </c>
      <c r="F413" s="1" t="s">
        <v>142</v>
      </c>
      <c r="G413" s="1"/>
    </row>
    <row r="414">
      <c r="A414" s="1" t="s">
        <v>2168</v>
      </c>
      <c r="B414" s="1" t="s">
        <v>2175</v>
      </c>
      <c r="C414" s="1" t="s">
        <v>2176</v>
      </c>
      <c r="D414" s="1" t="s">
        <v>2171</v>
      </c>
      <c r="E414" s="1" t="s">
        <v>144</v>
      </c>
      <c r="F414" s="1" t="s">
        <v>142</v>
      </c>
      <c r="G414" s="1"/>
    </row>
    <row r="415">
      <c r="A415" s="1" t="s">
        <v>2168</v>
      </c>
      <c r="B415" s="1" t="s">
        <v>2175</v>
      </c>
      <c r="C415" s="1" t="s">
        <v>2176</v>
      </c>
      <c r="D415" s="1" t="s">
        <v>2171</v>
      </c>
      <c r="E415" s="1" t="s">
        <v>144</v>
      </c>
      <c r="F415" s="1" t="s">
        <v>142</v>
      </c>
      <c r="G415" s="1"/>
    </row>
    <row r="416">
      <c r="A416" s="1" t="s">
        <v>2178</v>
      </c>
      <c r="B416" s="1" t="s">
        <v>142</v>
      </c>
      <c r="C416" s="1" t="s">
        <v>142</v>
      </c>
      <c r="D416" s="1" t="s">
        <v>2180</v>
      </c>
      <c r="E416" s="1" t="s">
        <v>144</v>
      </c>
      <c r="F416" s="1" t="s">
        <v>142</v>
      </c>
      <c r="G416" s="1"/>
    </row>
    <row r="417">
      <c r="A417" s="1" t="s">
        <v>2181</v>
      </c>
      <c r="B417" s="1" t="s">
        <v>142</v>
      </c>
      <c r="C417" s="1" t="s">
        <v>142</v>
      </c>
      <c r="D417" s="1" t="s">
        <v>2182</v>
      </c>
      <c r="E417" s="1" t="s">
        <v>144</v>
      </c>
      <c r="F417" s="1" t="s">
        <v>142</v>
      </c>
      <c r="G417" s="1"/>
    </row>
    <row r="418">
      <c r="A418" s="1" t="s">
        <v>2184</v>
      </c>
      <c r="B418" s="1" t="s">
        <v>142</v>
      </c>
      <c r="C418" s="1" t="s">
        <v>142</v>
      </c>
      <c r="D418" s="1" t="s">
        <v>2186</v>
      </c>
      <c r="E418" s="1" t="s">
        <v>144</v>
      </c>
      <c r="F418" s="1" t="s">
        <v>142</v>
      </c>
      <c r="G418" s="1"/>
    </row>
    <row r="419">
      <c r="A419" s="1" t="s">
        <v>2187</v>
      </c>
      <c r="B419" s="1" t="s">
        <v>142</v>
      </c>
      <c r="C419" s="1" t="s">
        <v>142</v>
      </c>
      <c r="D419" s="1" t="s">
        <v>2188</v>
      </c>
      <c r="E419" s="1" t="s">
        <v>144</v>
      </c>
      <c r="F419" s="1" t="s">
        <v>142</v>
      </c>
      <c r="G419" s="1"/>
    </row>
    <row r="420">
      <c r="A420" s="1" t="s">
        <v>2189</v>
      </c>
      <c r="B420" s="1" t="s">
        <v>142</v>
      </c>
      <c r="C420" s="1" t="s">
        <v>142</v>
      </c>
      <c r="D420" s="1" t="s">
        <v>2192</v>
      </c>
      <c r="E420" s="1" t="s">
        <v>144</v>
      </c>
      <c r="F420" s="1" t="s">
        <v>142</v>
      </c>
      <c r="G420" s="1"/>
    </row>
    <row r="421">
      <c r="A421" s="1" t="s">
        <v>2194</v>
      </c>
      <c r="B421" s="1" t="s">
        <v>142</v>
      </c>
      <c r="C421" s="1" t="s">
        <v>142</v>
      </c>
      <c r="D421" s="1" t="s">
        <v>2195</v>
      </c>
      <c r="E421" s="1" t="s">
        <v>144</v>
      </c>
      <c r="F421" s="1" t="s">
        <v>142</v>
      </c>
      <c r="G421" s="1"/>
    </row>
    <row r="422">
      <c r="A422" s="1" t="s">
        <v>2197</v>
      </c>
      <c r="B422" s="1" t="s">
        <v>142</v>
      </c>
      <c r="C422" s="1" t="s">
        <v>142</v>
      </c>
      <c r="D422" s="1" t="s">
        <v>2199</v>
      </c>
      <c r="E422" s="1" t="s">
        <v>144</v>
      </c>
      <c r="F422" s="1" t="s">
        <v>142</v>
      </c>
      <c r="G422" s="1"/>
    </row>
    <row r="423">
      <c r="A423" s="1" t="s">
        <v>555</v>
      </c>
      <c r="B423" s="1" t="s">
        <v>142</v>
      </c>
      <c r="C423" s="1" t="s">
        <v>142</v>
      </c>
      <c r="D423" s="1" t="s">
        <v>2201</v>
      </c>
      <c r="E423" s="1" t="s">
        <v>144</v>
      </c>
      <c r="F423" s="1" t="s">
        <v>142</v>
      </c>
      <c r="G423" s="1"/>
    </row>
    <row r="424">
      <c r="A424" s="1" t="s">
        <v>2202</v>
      </c>
      <c r="B424" s="1" t="s">
        <v>142</v>
      </c>
      <c r="C424" s="1" t="s">
        <v>142</v>
      </c>
      <c r="D424" s="1" t="s">
        <v>2204</v>
      </c>
      <c r="E424" s="1" t="s">
        <v>144</v>
      </c>
      <c r="F424" s="1" t="s">
        <v>142</v>
      </c>
      <c r="G424" s="1"/>
    </row>
    <row r="425">
      <c r="A425" s="1" t="s">
        <v>2205</v>
      </c>
      <c r="B425" s="1" t="s">
        <v>142</v>
      </c>
      <c r="C425" s="1" t="s">
        <v>142</v>
      </c>
      <c r="D425" s="1" t="s">
        <v>2207</v>
      </c>
      <c r="E425" s="1" t="s">
        <v>144</v>
      </c>
      <c r="F425" s="1" t="s">
        <v>142</v>
      </c>
      <c r="G425" s="1"/>
    </row>
    <row r="426">
      <c r="A426" s="1" t="s">
        <v>2210</v>
      </c>
      <c r="B426" s="1" t="s">
        <v>142</v>
      </c>
      <c r="C426" s="1" t="s">
        <v>142</v>
      </c>
      <c r="D426" s="1" t="s">
        <v>2211</v>
      </c>
      <c r="E426" s="1" t="s">
        <v>144</v>
      </c>
      <c r="F426" s="1" t="s">
        <v>142</v>
      </c>
      <c r="G426" s="1"/>
    </row>
    <row r="427">
      <c r="A427" s="1" t="s">
        <v>2213</v>
      </c>
      <c r="B427" s="1" t="s">
        <v>142</v>
      </c>
      <c r="C427" s="1" t="s">
        <v>142</v>
      </c>
      <c r="D427" s="1" t="s">
        <v>2215</v>
      </c>
      <c r="E427" s="1" t="s">
        <v>144</v>
      </c>
      <c r="F427" s="1" t="s">
        <v>142</v>
      </c>
      <c r="G427" s="1"/>
    </row>
    <row r="428">
      <c r="A428" s="1" t="s">
        <v>2216</v>
      </c>
      <c r="B428" s="1" t="s">
        <v>142</v>
      </c>
      <c r="C428" s="1" t="s">
        <v>142</v>
      </c>
      <c r="D428" s="1" t="s">
        <v>2217</v>
      </c>
      <c r="E428" s="1" t="s">
        <v>144</v>
      </c>
      <c r="F428" s="1" t="s">
        <v>142</v>
      </c>
      <c r="G428" s="1"/>
    </row>
    <row r="429">
      <c r="A429" s="1" t="s">
        <v>2219</v>
      </c>
      <c r="B429" s="1" t="s">
        <v>142</v>
      </c>
      <c r="C429" s="1" t="s">
        <v>142</v>
      </c>
      <c r="D429" s="1" t="s">
        <v>2220</v>
      </c>
      <c r="E429" s="1" t="s">
        <v>144</v>
      </c>
      <c r="F429" s="1" t="s">
        <v>142</v>
      </c>
      <c r="G429" s="1"/>
    </row>
    <row r="430">
      <c r="A430" s="1" t="s">
        <v>2227</v>
      </c>
      <c r="B430" s="1" t="s">
        <v>142</v>
      </c>
      <c r="C430" s="1" t="s">
        <v>142</v>
      </c>
      <c r="D430" s="1" t="s">
        <v>2228</v>
      </c>
      <c r="E430" s="1" t="s">
        <v>144</v>
      </c>
      <c r="F430" s="1" t="s">
        <v>142</v>
      </c>
      <c r="G430" s="1"/>
    </row>
    <row r="431">
      <c r="A431" s="1" t="s">
        <v>2229</v>
      </c>
      <c r="B431" s="1" t="s">
        <v>142</v>
      </c>
      <c r="C431" s="1" t="s">
        <v>142</v>
      </c>
      <c r="D431" s="1" t="s">
        <v>2230</v>
      </c>
      <c r="E431" s="1" t="s">
        <v>144</v>
      </c>
      <c r="F431" s="1" t="s">
        <v>142</v>
      </c>
      <c r="G431" s="1"/>
    </row>
    <row r="432">
      <c r="A432" s="1" t="s">
        <v>2231</v>
      </c>
      <c r="B432" s="1" t="s">
        <v>142</v>
      </c>
      <c r="C432" s="1" t="s">
        <v>142</v>
      </c>
      <c r="D432" s="1" t="s">
        <v>2234</v>
      </c>
      <c r="E432" s="1" t="s">
        <v>144</v>
      </c>
      <c r="F432" s="1" t="s">
        <v>142</v>
      </c>
      <c r="G432" s="1"/>
    </row>
    <row r="433">
      <c r="A433" s="1" t="s">
        <v>2236</v>
      </c>
      <c r="B433" s="1" t="s">
        <v>142</v>
      </c>
      <c r="C433" s="1" t="s">
        <v>142</v>
      </c>
      <c r="D433" s="1" t="s">
        <v>2237</v>
      </c>
      <c r="E433" s="1" t="s">
        <v>144</v>
      </c>
      <c r="F433" s="1" t="s">
        <v>142</v>
      </c>
      <c r="G433" s="1"/>
    </row>
    <row r="434">
      <c r="A434" s="1" t="s">
        <v>2238</v>
      </c>
      <c r="B434" s="1" t="s">
        <v>142</v>
      </c>
      <c r="C434" s="1" t="s">
        <v>142</v>
      </c>
      <c r="D434" s="1" t="s">
        <v>2239</v>
      </c>
      <c r="E434" s="1" t="s">
        <v>144</v>
      </c>
      <c r="F434" s="1" t="s">
        <v>142</v>
      </c>
      <c r="G434" s="1"/>
    </row>
    <row r="435">
      <c r="A435" s="1" t="s">
        <v>2242</v>
      </c>
      <c r="B435" s="1" t="s">
        <v>142</v>
      </c>
      <c r="C435" s="1" t="s">
        <v>142</v>
      </c>
      <c r="D435" s="1" t="s">
        <v>2244</v>
      </c>
      <c r="E435" s="1" t="s">
        <v>144</v>
      </c>
      <c r="F435" s="1" t="s">
        <v>142</v>
      </c>
      <c r="G435" s="1"/>
    </row>
    <row r="436">
      <c r="A436" s="1" t="s">
        <v>2245</v>
      </c>
      <c r="B436" s="1" t="s">
        <v>142</v>
      </c>
      <c r="C436" s="1" t="s">
        <v>142</v>
      </c>
      <c r="D436" s="1" t="s">
        <v>2246</v>
      </c>
      <c r="E436" s="1" t="s">
        <v>144</v>
      </c>
      <c r="F436" s="1" t="s">
        <v>142</v>
      </c>
      <c r="G436" s="1"/>
    </row>
    <row r="437">
      <c r="A437" s="1" t="s">
        <v>2248</v>
      </c>
      <c r="B437" s="1" t="s">
        <v>142</v>
      </c>
      <c r="C437" s="1" t="s">
        <v>142</v>
      </c>
      <c r="D437" s="1" t="s">
        <v>2250</v>
      </c>
      <c r="E437" s="1" t="s">
        <v>144</v>
      </c>
      <c r="F437" s="1" t="s">
        <v>142</v>
      </c>
      <c r="G437" s="1"/>
    </row>
    <row r="438">
      <c r="A438" s="1" t="s">
        <v>2251</v>
      </c>
      <c r="B438" s="1" t="s">
        <v>142</v>
      </c>
      <c r="C438" s="1" t="s">
        <v>142</v>
      </c>
      <c r="D438" s="1" t="s">
        <v>2252</v>
      </c>
      <c r="E438" s="1" t="s">
        <v>144</v>
      </c>
      <c r="F438" s="1" t="s">
        <v>142</v>
      </c>
      <c r="G438" s="1"/>
    </row>
    <row r="439">
      <c r="A439" s="1" t="s">
        <v>2254</v>
      </c>
      <c r="B439" s="1" t="s">
        <v>142</v>
      </c>
      <c r="C439" s="1" t="s">
        <v>142</v>
      </c>
      <c r="D439" s="1" t="s">
        <v>2256</v>
      </c>
      <c r="E439" s="1" t="s">
        <v>144</v>
      </c>
      <c r="F439" s="1" t="s">
        <v>142</v>
      </c>
      <c r="G439" s="1"/>
    </row>
    <row r="440">
      <c r="A440" s="1" t="s">
        <v>2257</v>
      </c>
      <c r="B440" s="1" t="s">
        <v>142</v>
      </c>
      <c r="C440" s="1" t="s">
        <v>142</v>
      </c>
      <c r="D440" s="1" t="s">
        <v>2258</v>
      </c>
      <c r="E440" s="1" t="s">
        <v>144</v>
      </c>
      <c r="F440" s="1" t="s">
        <v>142</v>
      </c>
      <c r="G440" s="1"/>
    </row>
    <row r="441">
      <c r="A441" s="1" t="s">
        <v>2260</v>
      </c>
      <c r="B441" s="1" t="s">
        <v>142</v>
      </c>
      <c r="C441" s="1" t="s">
        <v>142</v>
      </c>
      <c r="D441" s="1" t="s">
        <v>2261</v>
      </c>
      <c r="E441" s="1" t="s">
        <v>144</v>
      </c>
      <c r="F441" s="1" t="s">
        <v>142</v>
      </c>
      <c r="G441" s="1"/>
    </row>
    <row r="442">
      <c r="A442" s="1" t="s">
        <v>2263</v>
      </c>
      <c r="B442" s="1" t="s">
        <v>142</v>
      </c>
      <c r="C442" s="1" t="s">
        <v>142</v>
      </c>
      <c r="D442" s="1" t="s">
        <v>2264</v>
      </c>
      <c r="E442" s="1" t="s">
        <v>144</v>
      </c>
      <c r="F442" s="1" t="s">
        <v>142</v>
      </c>
      <c r="G442" s="1"/>
    </row>
    <row r="443">
      <c r="A443" s="1" t="s">
        <v>2265</v>
      </c>
      <c r="B443" s="1" t="s">
        <v>142</v>
      </c>
      <c r="C443" s="1" t="s">
        <v>142</v>
      </c>
      <c r="D443" s="1" t="s">
        <v>2266</v>
      </c>
      <c r="E443" s="1" t="s">
        <v>144</v>
      </c>
      <c r="F443" s="1" t="s">
        <v>142</v>
      </c>
      <c r="G443" s="1"/>
    </row>
    <row r="444">
      <c r="A444" s="1" t="s">
        <v>2268</v>
      </c>
      <c r="B444" s="1" t="s">
        <v>142</v>
      </c>
      <c r="C444" s="1" t="s">
        <v>142</v>
      </c>
      <c r="D444" s="1" t="s">
        <v>2271</v>
      </c>
      <c r="E444" s="1" t="s">
        <v>144</v>
      </c>
      <c r="F444" s="1" t="s">
        <v>142</v>
      </c>
      <c r="G444" s="1"/>
    </row>
    <row r="445">
      <c r="A445" s="1" t="s">
        <v>2272</v>
      </c>
      <c r="B445" s="1" t="s">
        <v>142</v>
      </c>
      <c r="C445" s="1" t="s">
        <v>142</v>
      </c>
      <c r="D445" s="1" t="s">
        <v>2273</v>
      </c>
      <c r="E445" s="1" t="s">
        <v>144</v>
      </c>
      <c r="F445" s="1" t="s">
        <v>142</v>
      </c>
      <c r="G445" s="1"/>
    </row>
    <row r="446">
      <c r="A446" s="1" t="s">
        <v>2274</v>
      </c>
      <c r="B446" s="1" t="s">
        <v>142</v>
      </c>
      <c r="C446" s="1" t="s">
        <v>142</v>
      </c>
      <c r="D446" s="1" t="s">
        <v>2276</v>
      </c>
      <c r="E446" s="1" t="s">
        <v>144</v>
      </c>
      <c r="F446" s="1" t="s">
        <v>142</v>
      </c>
      <c r="G446" s="1"/>
    </row>
    <row r="447">
      <c r="A447" s="1" t="s">
        <v>2277</v>
      </c>
      <c r="B447" s="1" t="s">
        <v>142</v>
      </c>
      <c r="C447" s="1" t="s">
        <v>142</v>
      </c>
      <c r="D447" s="1" t="s">
        <v>2278</v>
      </c>
      <c r="E447" s="1" t="s">
        <v>144</v>
      </c>
      <c r="F447" s="1" t="s">
        <v>142</v>
      </c>
      <c r="G447" s="1"/>
    </row>
    <row r="448">
      <c r="A448" s="1" t="s">
        <v>2280</v>
      </c>
      <c r="B448" s="1" t="s">
        <v>142</v>
      </c>
      <c r="C448" s="1" t="s">
        <v>142</v>
      </c>
      <c r="D448" s="1" t="s">
        <v>2282</v>
      </c>
      <c r="E448" s="1" t="s">
        <v>144</v>
      </c>
      <c r="F448" s="1" t="s">
        <v>142</v>
      </c>
      <c r="G448" s="1"/>
    </row>
    <row r="449">
      <c r="A449" s="1" t="s">
        <v>2283</v>
      </c>
      <c r="B449" s="1" t="s">
        <v>142</v>
      </c>
      <c r="C449" s="1" t="s">
        <v>142</v>
      </c>
      <c r="D449" s="1" t="s">
        <v>2284</v>
      </c>
      <c r="E449" s="1" t="s">
        <v>144</v>
      </c>
      <c r="F449" s="1" t="s">
        <v>142</v>
      </c>
      <c r="G449" s="1"/>
    </row>
    <row r="450">
      <c r="A450" s="1" t="s">
        <v>2286</v>
      </c>
      <c r="B450" s="1" t="s">
        <v>142</v>
      </c>
      <c r="C450" s="1" t="s">
        <v>142</v>
      </c>
      <c r="D450" s="1" t="s">
        <v>2288</v>
      </c>
      <c r="E450" s="1" t="s">
        <v>144</v>
      </c>
      <c r="F450" s="1" t="s">
        <v>142</v>
      </c>
      <c r="G450" s="1"/>
    </row>
    <row r="451">
      <c r="A451" s="1" t="s">
        <v>2289</v>
      </c>
      <c r="B451" s="1" t="s">
        <v>142</v>
      </c>
      <c r="C451" s="1" t="s">
        <v>142</v>
      </c>
      <c r="D451" s="1" t="s">
        <v>2290</v>
      </c>
      <c r="E451" s="1" t="s">
        <v>144</v>
      </c>
      <c r="F451" s="1" t="s">
        <v>142</v>
      </c>
      <c r="G451" s="1"/>
    </row>
    <row r="452">
      <c r="A452" s="1" t="s">
        <v>2292</v>
      </c>
      <c r="B452" s="1" t="s">
        <v>142</v>
      </c>
      <c r="C452" s="1" t="s">
        <v>142</v>
      </c>
      <c r="D452" s="1" t="s">
        <v>2294</v>
      </c>
      <c r="E452" s="1" t="s">
        <v>144</v>
      </c>
      <c r="F452" s="1" t="s">
        <v>142</v>
      </c>
      <c r="G452" s="1"/>
    </row>
    <row r="453">
      <c r="A453" s="1" t="s">
        <v>2296</v>
      </c>
      <c r="B453" s="1" t="s">
        <v>2297</v>
      </c>
      <c r="C453" s="1" t="s">
        <v>2298</v>
      </c>
      <c r="D453" s="1" t="s">
        <v>2299</v>
      </c>
      <c r="E453" s="1" t="s">
        <v>238</v>
      </c>
      <c r="F453" s="1">
        <v>2.0</v>
      </c>
      <c r="G453" s="1">
        <v>9.0</v>
      </c>
    </row>
    <row r="454">
      <c r="A454" s="1" t="s">
        <v>2301</v>
      </c>
      <c r="B454" s="1" t="s">
        <v>142</v>
      </c>
      <c r="C454" s="1" t="s">
        <v>142</v>
      </c>
      <c r="D454" s="1" t="s">
        <v>2302</v>
      </c>
      <c r="E454" s="1" t="s">
        <v>144</v>
      </c>
      <c r="F454" s="1" t="s">
        <v>142</v>
      </c>
      <c r="G454" s="1"/>
    </row>
    <row r="455">
      <c r="A455" s="1" t="s">
        <v>2303</v>
      </c>
      <c r="B455" s="1" t="s">
        <v>142</v>
      </c>
      <c r="C455" s="1" t="s">
        <v>142</v>
      </c>
      <c r="D455" s="1" t="s">
        <v>2304</v>
      </c>
      <c r="E455" s="1" t="s">
        <v>144</v>
      </c>
      <c r="F455" s="1" t="s">
        <v>142</v>
      </c>
      <c r="G455" s="1"/>
    </row>
    <row r="456">
      <c r="A456" s="1" t="s">
        <v>2305</v>
      </c>
      <c r="B456" s="1" t="s">
        <v>142</v>
      </c>
      <c r="C456" s="1" t="s">
        <v>142</v>
      </c>
      <c r="D456" s="1" t="s">
        <v>2306</v>
      </c>
      <c r="E456" s="1" t="s">
        <v>144</v>
      </c>
      <c r="F456" s="1" t="s">
        <v>142</v>
      </c>
      <c r="G456" s="1"/>
    </row>
    <row r="457">
      <c r="A457" s="1" t="s">
        <v>2307</v>
      </c>
      <c r="B457" s="1" t="s">
        <v>142</v>
      </c>
      <c r="C457" s="1" t="s">
        <v>142</v>
      </c>
      <c r="D457" s="1" t="s">
        <v>2308</v>
      </c>
      <c r="E457" s="1" t="s">
        <v>144</v>
      </c>
      <c r="F457" s="1" t="s">
        <v>142</v>
      </c>
      <c r="G457" s="1"/>
    </row>
    <row r="458">
      <c r="A458" s="1" t="s">
        <v>2309</v>
      </c>
      <c r="B458" s="1" t="s">
        <v>142</v>
      </c>
      <c r="C458" s="1" t="s">
        <v>142</v>
      </c>
      <c r="D458" s="1" t="s">
        <v>2310</v>
      </c>
      <c r="E458" s="1" t="s">
        <v>144</v>
      </c>
      <c r="F458" s="1" t="s">
        <v>142</v>
      </c>
      <c r="G458" s="1"/>
    </row>
    <row r="459">
      <c r="A459" s="1" t="s">
        <v>2311</v>
      </c>
      <c r="B459" s="1" t="s">
        <v>142</v>
      </c>
      <c r="C459" s="1" t="s">
        <v>142</v>
      </c>
      <c r="D459" s="1" t="s">
        <v>2312</v>
      </c>
      <c r="E459" s="1" t="s">
        <v>144</v>
      </c>
      <c r="F459" s="1" t="s">
        <v>142</v>
      </c>
      <c r="G459" s="1"/>
    </row>
    <row r="460">
      <c r="A460" s="1" t="s">
        <v>2313</v>
      </c>
      <c r="B460" s="1" t="s">
        <v>142</v>
      </c>
      <c r="C460" s="1" t="s">
        <v>142</v>
      </c>
      <c r="D460" s="1" t="s">
        <v>2315</v>
      </c>
      <c r="E460" s="1" t="s">
        <v>144</v>
      </c>
      <c r="F460" s="1" t="s">
        <v>142</v>
      </c>
      <c r="G460" s="1"/>
    </row>
    <row r="461">
      <c r="A461" s="1" t="s">
        <v>2317</v>
      </c>
      <c r="B461" s="1" t="s">
        <v>142</v>
      </c>
      <c r="C461" s="1" t="s">
        <v>142</v>
      </c>
      <c r="D461" s="1" t="s">
        <v>2318</v>
      </c>
      <c r="E461" s="1" t="s">
        <v>144</v>
      </c>
      <c r="F461" s="1" t="s">
        <v>142</v>
      </c>
      <c r="G461" s="1"/>
    </row>
    <row r="462">
      <c r="A462" s="1" t="s">
        <v>2320</v>
      </c>
      <c r="B462" s="1" t="s">
        <v>142</v>
      </c>
      <c r="C462" s="1" t="s">
        <v>142</v>
      </c>
      <c r="D462" s="1" t="s">
        <v>2321</v>
      </c>
      <c r="E462" s="1" t="s">
        <v>144</v>
      </c>
      <c r="F462" s="1" t="s">
        <v>142</v>
      </c>
      <c r="G462" s="1"/>
    </row>
    <row r="463">
      <c r="A463" s="1" t="s">
        <v>2323</v>
      </c>
      <c r="B463" s="1" t="s">
        <v>142</v>
      </c>
      <c r="C463" s="1" t="s">
        <v>142</v>
      </c>
      <c r="D463" s="1" t="s">
        <v>2324</v>
      </c>
      <c r="E463" s="1" t="s">
        <v>144</v>
      </c>
      <c r="F463" s="1" t="s">
        <v>142</v>
      </c>
      <c r="G463" s="1"/>
    </row>
    <row r="464">
      <c r="A464" s="1" t="s">
        <v>2325</v>
      </c>
      <c r="B464" s="1" t="s">
        <v>142</v>
      </c>
      <c r="C464" s="1" t="s">
        <v>142</v>
      </c>
      <c r="D464" s="1" t="s">
        <v>2326</v>
      </c>
      <c r="E464" s="1" t="s">
        <v>144</v>
      </c>
      <c r="F464" s="1" t="s">
        <v>142</v>
      </c>
      <c r="G464" s="1"/>
    </row>
    <row r="465">
      <c r="A465" s="1" t="s">
        <v>2328</v>
      </c>
      <c r="B465" s="1" t="s">
        <v>142</v>
      </c>
      <c r="C465" s="1" t="s">
        <v>142</v>
      </c>
      <c r="D465" s="1" t="s">
        <v>2329</v>
      </c>
      <c r="E465" s="1" t="s">
        <v>144</v>
      </c>
      <c r="F465" s="1" t="s">
        <v>142</v>
      </c>
      <c r="G465" s="1"/>
    </row>
    <row r="466">
      <c r="A466" s="1" t="s">
        <v>2330</v>
      </c>
      <c r="B466" s="1" t="s">
        <v>142</v>
      </c>
      <c r="C466" s="1" t="s">
        <v>142</v>
      </c>
      <c r="D466" s="1" t="s">
        <v>2331</v>
      </c>
      <c r="E466" s="1" t="s">
        <v>144</v>
      </c>
      <c r="F466" s="1" t="s">
        <v>142</v>
      </c>
      <c r="G466" s="1"/>
    </row>
    <row r="467">
      <c r="A467" s="1" t="s">
        <v>2333</v>
      </c>
      <c r="B467" s="1" t="s">
        <v>142</v>
      </c>
      <c r="C467" s="1" t="s">
        <v>142</v>
      </c>
      <c r="D467" s="1" t="s">
        <v>2335</v>
      </c>
      <c r="E467" s="1" t="s">
        <v>144</v>
      </c>
      <c r="F467" s="1" t="s">
        <v>142</v>
      </c>
      <c r="G467" s="1"/>
    </row>
    <row r="468">
      <c r="A468" s="1" t="s">
        <v>2336</v>
      </c>
      <c r="B468" s="1" t="s">
        <v>142</v>
      </c>
      <c r="C468" s="1" t="s">
        <v>142</v>
      </c>
      <c r="D468" s="1" t="s">
        <v>2337</v>
      </c>
      <c r="E468" s="1" t="s">
        <v>144</v>
      </c>
      <c r="F468" s="1" t="s">
        <v>142</v>
      </c>
      <c r="G468" s="1"/>
    </row>
    <row r="469">
      <c r="A469" s="1" t="s">
        <v>2339</v>
      </c>
      <c r="B469" s="1" t="s">
        <v>142</v>
      </c>
      <c r="C469" s="1" t="s">
        <v>142</v>
      </c>
      <c r="D469" s="1" t="s">
        <v>2340</v>
      </c>
      <c r="E469" s="1" t="s">
        <v>144</v>
      </c>
      <c r="F469" s="1" t="s">
        <v>142</v>
      </c>
      <c r="G469" s="1"/>
    </row>
    <row r="470">
      <c r="A470" s="1" t="s">
        <v>2342</v>
      </c>
      <c r="B470" s="1" t="s">
        <v>142</v>
      </c>
      <c r="C470" s="1" t="s">
        <v>142</v>
      </c>
      <c r="D470" s="1" t="s">
        <v>2344</v>
      </c>
      <c r="E470" s="1" t="s">
        <v>144</v>
      </c>
      <c r="F470" s="1" t="s">
        <v>142</v>
      </c>
      <c r="G470" s="1"/>
    </row>
    <row r="471">
      <c r="A471" s="1" t="s">
        <v>2345</v>
      </c>
      <c r="B471" s="1" t="s">
        <v>142</v>
      </c>
      <c r="C471" s="1" t="s">
        <v>142</v>
      </c>
      <c r="D471" s="1" t="s">
        <v>2346</v>
      </c>
      <c r="E471" s="1" t="s">
        <v>144</v>
      </c>
      <c r="F471" s="1" t="s">
        <v>142</v>
      </c>
      <c r="G471" s="1"/>
    </row>
    <row r="472">
      <c r="A472" s="1" t="s">
        <v>2348</v>
      </c>
      <c r="B472" s="1" t="s">
        <v>142</v>
      </c>
      <c r="C472" s="1" t="s">
        <v>142</v>
      </c>
      <c r="D472" s="1" t="s">
        <v>2350</v>
      </c>
      <c r="E472" s="1" t="s">
        <v>144</v>
      </c>
      <c r="F472" s="1" t="s">
        <v>142</v>
      </c>
      <c r="G472" s="1"/>
    </row>
    <row r="473">
      <c r="A473" s="1" t="s">
        <v>2351</v>
      </c>
      <c r="B473" s="1" t="s">
        <v>142</v>
      </c>
      <c r="C473" s="1" t="s">
        <v>142</v>
      </c>
      <c r="D473" s="1" t="s">
        <v>2352</v>
      </c>
      <c r="E473" s="1" t="s">
        <v>144</v>
      </c>
      <c r="F473" s="1" t="s">
        <v>142</v>
      </c>
      <c r="G473" s="1"/>
    </row>
    <row r="474">
      <c r="A474" s="1" t="s">
        <v>2354</v>
      </c>
      <c r="B474" s="1" t="s">
        <v>142</v>
      </c>
      <c r="C474" s="1" t="s">
        <v>142</v>
      </c>
      <c r="D474" s="1" t="s">
        <v>2355</v>
      </c>
      <c r="E474" s="1" t="s">
        <v>144</v>
      </c>
      <c r="F474" s="1" t="s">
        <v>142</v>
      </c>
      <c r="G474" s="1"/>
    </row>
    <row r="475">
      <c r="A475" s="1" t="s">
        <v>2356</v>
      </c>
      <c r="B475" s="1" t="s">
        <v>142</v>
      </c>
      <c r="C475" s="1" t="s">
        <v>142</v>
      </c>
      <c r="D475" s="1" t="s">
        <v>2358</v>
      </c>
      <c r="E475" s="1" t="s">
        <v>144</v>
      </c>
      <c r="F475" s="1" t="s">
        <v>142</v>
      </c>
      <c r="G475" s="1"/>
    </row>
    <row r="476">
      <c r="A476" s="1" t="s">
        <v>2360</v>
      </c>
      <c r="B476" s="1" t="s">
        <v>142</v>
      </c>
      <c r="C476" s="1" t="s">
        <v>142</v>
      </c>
      <c r="D476" s="1" t="s">
        <v>2361</v>
      </c>
      <c r="E476" s="1" t="s">
        <v>144</v>
      </c>
      <c r="F476" s="1" t="s">
        <v>142</v>
      </c>
      <c r="G476" s="1"/>
    </row>
    <row r="477">
      <c r="A477" s="1" t="s">
        <v>2363</v>
      </c>
      <c r="B477" s="1" t="s">
        <v>142</v>
      </c>
      <c r="C477" s="1" t="s">
        <v>142</v>
      </c>
      <c r="D477" s="1" t="s">
        <v>2364</v>
      </c>
      <c r="E477" s="1" t="s">
        <v>144</v>
      </c>
      <c r="F477" s="1" t="s">
        <v>142</v>
      </c>
      <c r="G477" s="1"/>
    </row>
    <row r="478">
      <c r="A478" s="1" t="s">
        <v>2366</v>
      </c>
      <c r="B478" s="1" t="s">
        <v>142</v>
      </c>
      <c r="C478" s="1" t="s">
        <v>142</v>
      </c>
      <c r="D478" s="1" t="s">
        <v>2367</v>
      </c>
      <c r="E478" s="1" t="s">
        <v>144</v>
      </c>
      <c r="F478" s="1" t="s">
        <v>142</v>
      </c>
      <c r="G478" s="1"/>
    </row>
    <row r="479">
      <c r="A479" s="1" t="s">
        <v>2368</v>
      </c>
      <c r="B479" s="1" t="s">
        <v>142</v>
      </c>
      <c r="C479" s="1" t="s">
        <v>142</v>
      </c>
      <c r="D479" s="1" t="s">
        <v>2370</v>
      </c>
      <c r="E479" s="1" t="s">
        <v>144</v>
      </c>
      <c r="F479" s="1" t="s">
        <v>142</v>
      </c>
      <c r="G479" s="1"/>
    </row>
    <row r="480">
      <c r="A480" s="1" t="s">
        <v>2372</v>
      </c>
      <c r="B480" s="1" t="s">
        <v>142</v>
      </c>
      <c r="C480" s="1" t="s">
        <v>142</v>
      </c>
      <c r="D480" s="1" t="s">
        <v>2373</v>
      </c>
      <c r="E480" s="1" t="s">
        <v>144</v>
      </c>
      <c r="F480" s="1" t="s">
        <v>142</v>
      </c>
      <c r="G480" s="1"/>
    </row>
    <row r="481">
      <c r="A481" s="1" t="s">
        <v>2374</v>
      </c>
      <c r="B481" s="1" t="s">
        <v>142</v>
      </c>
      <c r="C481" s="1" t="s">
        <v>142</v>
      </c>
      <c r="D481" s="1" t="s">
        <v>2376</v>
      </c>
      <c r="E481" s="1" t="s">
        <v>144</v>
      </c>
      <c r="F481" s="1" t="s">
        <v>142</v>
      </c>
      <c r="G481" s="1"/>
    </row>
    <row r="482">
      <c r="A482" s="1" t="s">
        <v>2377</v>
      </c>
      <c r="B482" s="1" t="s">
        <v>142</v>
      </c>
      <c r="C482" s="1" t="s">
        <v>142</v>
      </c>
      <c r="D482" s="1" t="s">
        <v>2378</v>
      </c>
      <c r="E482" s="1" t="s">
        <v>144</v>
      </c>
      <c r="F482" s="1" t="s">
        <v>142</v>
      </c>
      <c r="G482" s="1"/>
    </row>
    <row r="483">
      <c r="A483" s="1" t="s">
        <v>2380</v>
      </c>
      <c r="B483" s="1" t="s">
        <v>142</v>
      </c>
      <c r="C483" s="1" t="s">
        <v>142</v>
      </c>
      <c r="D483" s="1" t="s">
        <v>2381</v>
      </c>
      <c r="E483" s="1" t="s">
        <v>144</v>
      </c>
      <c r="F483" s="1" t="s">
        <v>142</v>
      </c>
      <c r="G483" s="1"/>
    </row>
    <row r="484">
      <c r="A484" s="1" t="s">
        <v>2382</v>
      </c>
      <c r="B484" s="1" t="s">
        <v>142</v>
      </c>
      <c r="C484" s="1" t="s">
        <v>142</v>
      </c>
      <c r="D484" s="1" t="s">
        <v>2384</v>
      </c>
      <c r="E484" s="1" t="s">
        <v>144</v>
      </c>
      <c r="F484" s="1" t="s">
        <v>142</v>
      </c>
      <c r="G484" s="1"/>
    </row>
    <row r="485">
      <c r="A485" s="1" t="s">
        <v>2385</v>
      </c>
      <c r="B485" s="1" t="s">
        <v>142</v>
      </c>
      <c r="C485" s="1" t="s">
        <v>142</v>
      </c>
      <c r="D485" s="1" t="s">
        <v>2386</v>
      </c>
      <c r="E485" s="1" t="s">
        <v>144</v>
      </c>
      <c r="F485" s="1" t="s">
        <v>142</v>
      </c>
      <c r="G485" s="1"/>
    </row>
    <row r="486">
      <c r="A486" s="1" t="s">
        <v>2388</v>
      </c>
      <c r="B486" s="1" t="s">
        <v>142</v>
      </c>
      <c r="C486" s="1" t="s">
        <v>142</v>
      </c>
      <c r="D486" s="1" t="s">
        <v>2389</v>
      </c>
      <c r="E486" s="1" t="s">
        <v>144</v>
      </c>
      <c r="F486" s="1" t="s">
        <v>142</v>
      </c>
      <c r="G486" s="1"/>
    </row>
    <row r="487">
      <c r="A487" s="1" t="s">
        <v>2390</v>
      </c>
      <c r="B487" s="1" t="s">
        <v>142</v>
      </c>
      <c r="C487" s="1" t="s">
        <v>142</v>
      </c>
      <c r="D487" s="1" t="s">
        <v>2392</v>
      </c>
      <c r="E487" s="1" t="s">
        <v>144</v>
      </c>
      <c r="F487" s="1" t="s">
        <v>142</v>
      </c>
      <c r="G487" s="1"/>
    </row>
    <row r="488">
      <c r="A488" s="1" t="s">
        <v>2394</v>
      </c>
      <c r="B488" s="1" t="s">
        <v>142</v>
      </c>
      <c r="C488" s="1" t="s">
        <v>142</v>
      </c>
      <c r="D488" s="1" t="s">
        <v>2395</v>
      </c>
      <c r="E488" s="1" t="s">
        <v>144</v>
      </c>
      <c r="F488" s="1" t="s">
        <v>142</v>
      </c>
      <c r="G488" s="1"/>
    </row>
    <row r="489">
      <c r="A489" s="1" t="s">
        <v>2396</v>
      </c>
      <c r="B489" s="1" t="s">
        <v>142</v>
      </c>
      <c r="C489" s="1" t="s">
        <v>142</v>
      </c>
      <c r="D489" s="1" t="s">
        <v>2397</v>
      </c>
      <c r="E489" s="1" t="s">
        <v>144</v>
      </c>
      <c r="F489" s="1" t="s">
        <v>142</v>
      </c>
      <c r="G489" s="1"/>
    </row>
    <row r="490">
      <c r="A490" s="1" t="s">
        <v>2399</v>
      </c>
      <c r="B490" s="1" t="s">
        <v>142</v>
      </c>
      <c r="C490" s="1" t="s">
        <v>142</v>
      </c>
      <c r="D490" s="1" t="s">
        <v>2400</v>
      </c>
      <c r="E490" s="1" t="s">
        <v>144</v>
      </c>
      <c r="F490" s="1" t="s">
        <v>142</v>
      </c>
      <c r="G490" s="1"/>
    </row>
    <row r="491">
      <c r="A491" s="1" t="s">
        <v>2401</v>
      </c>
      <c r="B491" s="1" t="s">
        <v>2402</v>
      </c>
      <c r="C491" s="1" t="s">
        <v>2403</v>
      </c>
      <c r="D491" s="1" t="s">
        <v>2404</v>
      </c>
      <c r="E491" s="1" t="s">
        <v>144</v>
      </c>
      <c r="F491" s="1" t="s">
        <v>142</v>
      </c>
      <c r="G491" s="1"/>
    </row>
    <row r="492">
      <c r="A492" s="1" t="s">
        <v>2405</v>
      </c>
      <c r="B492" s="1" t="s">
        <v>142</v>
      </c>
      <c r="C492" s="1" t="s">
        <v>142</v>
      </c>
      <c r="D492" s="1" t="s">
        <v>2406</v>
      </c>
      <c r="E492" s="1" t="s">
        <v>144</v>
      </c>
      <c r="F492" s="1" t="s">
        <v>142</v>
      </c>
      <c r="G492" s="1"/>
    </row>
    <row r="493">
      <c r="A493" s="1" t="s">
        <v>2407</v>
      </c>
      <c r="B493" s="1" t="s">
        <v>2408</v>
      </c>
      <c r="C493" s="1" t="s">
        <v>2409</v>
      </c>
      <c r="D493" s="1" t="s">
        <v>2410</v>
      </c>
      <c r="E493" s="1" t="s">
        <v>144</v>
      </c>
      <c r="F493" s="1" t="s">
        <v>142</v>
      </c>
      <c r="G493" s="1"/>
    </row>
    <row r="494">
      <c r="A494" s="1" t="s">
        <v>2411</v>
      </c>
      <c r="B494" s="1" t="s">
        <v>142</v>
      </c>
      <c r="C494" s="1" t="s">
        <v>142</v>
      </c>
      <c r="D494" s="1" t="s">
        <v>2412</v>
      </c>
      <c r="E494" s="1" t="s">
        <v>144</v>
      </c>
      <c r="F494" s="1" t="s">
        <v>142</v>
      </c>
      <c r="G494" s="1"/>
    </row>
    <row r="495">
      <c r="A495" s="1" t="s">
        <v>2413</v>
      </c>
      <c r="B495" s="1" t="s">
        <v>142</v>
      </c>
      <c r="C495" s="1" t="s">
        <v>142</v>
      </c>
      <c r="D495" s="1" t="s">
        <v>2414</v>
      </c>
      <c r="E495" s="1" t="s">
        <v>144</v>
      </c>
      <c r="F495" s="1" t="s">
        <v>142</v>
      </c>
      <c r="G495" s="1"/>
    </row>
    <row r="496">
      <c r="A496" s="1" t="s">
        <v>2416</v>
      </c>
      <c r="B496" s="1" t="s">
        <v>142</v>
      </c>
      <c r="C496" s="1" t="s">
        <v>142</v>
      </c>
      <c r="D496" s="1" t="s">
        <v>2417</v>
      </c>
      <c r="E496" s="1" t="s">
        <v>144</v>
      </c>
      <c r="F496" s="1" t="s">
        <v>142</v>
      </c>
      <c r="G496" s="1"/>
    </row>
    <row r="497">
      <c r="A497" s="1" t="s">
        <v>2418</v>
      </c>
      <c r="B497" s="1" t="s">
        <v>142</v>
      </c>
      <c r="C497" s="1" t="s">
        <v>142</v>
      </c>
      <c r="D497" s="1" t="s">
        <v>2419</v>
      </c>
      <c r="E497" s="1" t="s">
        <v>144</v>
      </c>
      <c r="F497" s="1" t="s">
        <v>142</v>
      </c>
      <c r="G497" s="1"/>
    </row>
    <row r="498">
      <c r="A498" s="1" t="s">
        <v>2421</v>
      </c>
      <c r="B498" s="1" t="s">
        <v>142</v>
      </c>
      <c r="C498" s="1" t="s">
        <v>142</v>
      </c>
      <c r="D498" s="1" t="s">
        <v>2422</v>
      </c>
      <c r="E498" s="1" t="s">
        <v>144</v>
      </c>
      <c r="F498" s="1" t="s">
        <v>142</v>
      </c>
      <c r="G498" s="1"/>
    </row>
    <row r="499">
      <c r="A499" s="1" t="s">
        <v>2423</v>
      </c>
      <c r="B499" s="1" t="s">
        <v>2424</v>
      </c>
      <c r="C499" s="1" t="s">
        <v>2426</v>
      </c>
      <c r="D499" s="1" t="s">
        <v>2427</v>
      </c>
      <c r="E499" s="1" t="s">
        <v>144</v>
      </c>
      <c r="F499" s="1" t="s">
        <v>142</v>
      </c>
      <c r="G499" s="1"/>
    </row>
    <row r="500">
      <c r="A500" s="1" t="s">
        <v>2428</v>
      </c>
      <c r="B500" s="1" t="s">
        <v>142</v>
      </c>
      <c r="C500" s="1" t="s">
        <v>142</v>
      </c>
      <c r="D500" s="1" t="s">
        <v>2429</v>
      </c>
      <c r="E500" s="1" t="s">
        <v>144</v>
      </c>
      <c r="F500" s="1" t="s">
        <v>142</v>
      </c>
      <c r="G500" s="1"/>
    </row>
    <row r="501">
      <c r="A501" s="1" t="s">
        <v>2430</v>
      </c>
      <c r="B501" s="1" t="s">
        <v>142</v>
      </c>
      <c r="C501" s="1" t="s">
        <v>142</v>
      </c>
      <c r="D501" s="1" t="s">
        <v>2431</v>
      </c>
      <c r="E501" s="1" t="s">
        <v>144</v>
      </c>
      <c r="F501" s="1" t="s">
        <v>142</v>
      </c>
      <c r="G501" s="1"/>
    </row>
    <row r="502">
      <c r="A502" s="1" t="s">
        <v>2432</v>
      </c>
      <c r="B502" s="1" t="s">
        <v>142</v>
      </c>
      <c r="C502" s="1" t="s">
        <v>142</v>
      </c>
      <c r="D502" s="1" t="s">
        <v>2433</v>
      </c>
      <c r="E502" s="1" t="s">
        <v>144</v>
      </c>
      <c r="F502" s="1" t="s">
        <v>142</v>
      </c>
      <c r="G502" s="1"/>
    </row>
    <row r="503">
      <c r="A503" s="1" t="s">
        <v>2434</v>
      </c>
      <c r="B503" s="1" t="s">
        <v>142</v>
      </c>
      <c r="C503" s="1" t="s">
        <v>142</v>
      </c>
      <c r="D503" s="1" t="s">
        <v>2435</v>
      </c>
      <c r="E503" s="1" t="s">
        <v>144</v>
      </c>
      <c r="F503" s="1" t="s">
        <v>142</v>
      </c>
      <c r="G503" s="1"/>
    </row>
    <row r="504">
      <c r="A504" s="1" t="s">
        <v>2436</v>
      </c>
      <c r="B504" s="1" t="s">
        <v>142</v>
      </c>
      <c r="C504" s="1" t="s">
        <v>142</v>
      </c>
      <c r="D504" s="1" t="s">
        <v>2438</v>
      </c>
      <c r="E504" s="1" t="s">
        <v>144</v>
      </c>
      <c r="F504" s="1" t="s">
        <v>142</v>
      </c>
      <c r="G504" s="1"/>
    </row>
    <row r="505">
      <c r="A505" s="1" t="s">
        <v>2439</v>
      </c>
      <c r="B505" s="1" t="s">
        <v>142</v>
      </c>
      <c r="C505" s="1" t="s">
        <v>142</v>
      </c>
      <c r="D505" s="1" t="s">
        <v>2440</v>
      </c>
      <c r="E505" s="1" t="s">
        <v>144</v>
      </c>
      <c r="F505" s="1" t="s">
        <v>142</v>
      </c>
      <c r="G505" s="1"/>
    </row>
    <row r="506">
      <c r="A506" s="1" t="s">
        <v>2441</v>
      </c>
      <c r="B506" s="1" t="s">
        <v>142</v>
      </c>
      <c r="C506" s="1" t="s">
        <v>142</v>
      </c>
      <c r="D506" s="1" t="s">
        <v>2443</v>
      </c>
      <c r="E506" s="1" t="s">
        <v>144</v>
      </c>
      <c r="F506" s="1" t="s">
        <v>142</v>
      </c>
      <c r="G506" s="1"/>
    </row>
    <row r="507">
      <c r="A507" s="1" t="s">
        <v>2444</v>
      </c>
      <c r="B507" s="1" t="s">
        <v>142</v>
      </c>
      <c r="C507" s="1" t="s">
        <v>142</v>
      </c>
      <c r="D507" s="1" t="s">
        <v>2446</v>
      </c>
      <c r="E507" s="1" t="s">
        <v>144</v>
      </c>
      <c r="F507" s="1" t="s">
        <v>142</v>
      </c>
      <c r="G507" s="1"/>
    </row>
    <row r="508">
      <c r="A508" s="1" t="s">
        <v>2447</v>
      </c>
      <c r="B508" s="1" t="s">
        <v>142</v>
      </c>
      <c r="C508" s="1" t="s">
        <v>142</v>
      </c>
      <c r="D508" s="1" t="s">
        <v>2448</v>
      </c>
      <c r="E508" s="1" t="s">
        <v>144</v>
      </c>
      <c r="F508" s="1" t="s">
        <v>142</v>
      </c>
      <c r="G508" s="1"/>
    </row>
    <row r="509">
      <c r="A509" s="1" t="s">
        <v>2450</v>
      </c>
      <c r="B509" s="1" t="s">
        <v>142</v>
      </c>
      <c r="C509" s="1" t="s">
        <v>142</v>
      </c>
      <c r="D509" s="1" t="s">
        <v>2451</v>
      </c>
      <c r="E509" s="1" t="s">
        <v>144</v>
      </c>
      <c r="F509" s="1" t="s">
        <v>142</v>
      </c>
      <c r="G509" s="1"/>
    </row>
    <row r="510">
      <c r="A510" s="1" t="s">
        <v>2452</v>
      </c>
      <c r="B510" s="1" t="s">
        <v>142</v>
      </c>
      <c r="C510" s="1" t="s">
        <v>142</v>
      </c>
      <c r="D510" s="1" t="s">
        <v>2454</v>
      </c>
      <c r="E510" s="1" t="s">
        <v>144</v>
      </c>
      <c r="F510" s="1" t="s">
        <v>142</v>
      </c>
      <c r="G510" s="1"/>
    </row>
    <row r="511">
      <c r="A511" s="1" t="s">
        <v>2455</v>
      </c>
      <c r="B511" s="1" t="s">
        <v>2456</v>
      </c>
      <c r="C511" s="1" t="s">
        <v>2457</v>
      </c>
      <c r="D511" s="1" t="s">
        <v>2458</v>
      </c>
      <c r="E511" s="1" t="s">
        <v>144</v>
      </c>
      <c r="F511" s="1" t="s">
        <v>142</v>
      </c>
      <c r="G511" s="1"/>
    </row>
    <row r="512">
      <c r="A512" s="1" t="s">
        <v>2459</v>
      </c>
      <c r="B512" s="1" t="s">
        <v>142</v>
      </c>
      <c r="C512" s="1" t="s">
        <v>142</v>
      </c>
      <c r="D512" s="1" t="s">
        <v>2460</v>
      </c>
      <c r="E512" s="1" t="s">
        <v>144</v>
      </c>
      <c r="F512" s="1" t="s">
        <v>142</v>
      </c>
      <c r="G512" s="1"/>
    </row>
    <row r="513">
      <c r="A513" s="1" t="s">
        <v>2461</v>
      </c>
      <c r="B513" s="1" t="s">
        <v>142</v>
      </c>
      <c r="C513" s="1" t="s">
        <v>142</v>
      </c>
      <c r="D513" s="1" t="s">
        <v>2463</v>
      </c>
      <c r="E513" s="1" t="s">
        <v>144</v>
      </c>
      <c r="F513" s="1" t="s">
        <v>142</v>
      </c>
      <c r="G513" s="1"/>
    </row>
    <row r="514">
      <c r="A514" s="1" t="s">
        <v>2464</v>
      </c>
      <c r="B514" s="1" t="s">
        <v>142</v>
      </c>
      <c r="C514" s="1" t="s">
        <v>142</v>
      </c>
      <c r="D514" s="1" t="s">
        <v>2465</v>
      </c>
      <c r="E514" s="1" t="s">
        <v>144</v>
      </c>
      <c r="F514" s="1" t="s">
        <v>142</v>
      </c>
      <c r="G514" s="1"/>
    </row>
    <row r="515">
      <c r="A515" s="1" t="s">
        <v>2467</v>
      </c>
      <c r="B515" s="1" t="s">
        <v>142</v>
      </c>
      <c r="C515" s="1" t="s">
        <v>142</v>
      </c>
      <c r="D515" s="1" t="s">
        <v>2468</v>
      </c>
      <c r="E515" s="1" t="s">
        <v>144</v>
      </c>
      <c r="F515" s="1" t="s">
        <v>142</v>
      </c>
      <c r="G515" s="1"/>
    </row>
    <row r="516">
      <c r="A516" s="1" t="s">
        <v>2470</v>
      </c>
      <c r="B516" s="1" t="s">
        <v>142</v>
      </c>
      <c r="C516" s="1" t="s">
        <v>142</v>
      </c>
      <c r="D516" s="1" t="s">
        <v>2472</v>
      </c>
      <c r="E516" s="1" t="s">
        <v>144</v>
      </c>
      <c r="F516" s="1" t="s">
        <v>142</v>
      </c>
      <c r="G516" s="1"/>
    </row>
    <row r="517">
      <c r="A517" s="1" t="s">
        <v>2473</v>
      </c>
      <c r="B517" s="1" t="s">
        <v>142</v>
      </c>
      <c r="C517" s="1" t="s">
        <v>142</v>
      </c>
      <c r="D517" s="1" t="s">
        <v>2474</v>
      </c>
      <c r="E517" s="1" t="s">
        <v>144</v>
      </c>
      <c r="F517" s="1" t="s">
        <v>142</v>
      </c>
      <c r="G517" s="1"/>
    </row>
    <row r="518">
      <c r="A518" s="1" t="s">
        <v>2477</v>
      </c>
      <c r="B518" s="1" t="s">
        <v>142</v>
      </c>
      <c r="C518" s="1" t="s">
        <v>142</v>
      </c>
      <c r="D518" s="1" t="s">
        <v>2478</v>
      </c>
      <c r="E518" s="1" t="s">
        <v>144</v>
      </c>
      <c r="F518" s="1" t="s">
        <v>142</v>
      </c>
      <c r="G518" s="1"/>
    </row>
    <row r="519">
      <c r="A519" s="1" t="s">
        <v>2479</v>
      </c>
      <c r="B519" s="1" t="s">
        <v>142</v>
      </c>
      <c r="C519" s="1" t="s">
        <v>142</v>
      </c>
      <c r="D519" s="1" t="s">
        <v>2480</v>
      </c>
      <c r="E519" s="1" t="s">
        <v>144</v>
      </c>
      <c r="F519" s="1" t="s">
        <v>142</v>
      </c>
      <c r="G519" s="1"/>
    </row>
    <row r="520">
      <c r="A520" s="1" t="s">
        <v>2482</v>
      </c>
      <c r="B520" s="1" t="s">
        <v>142</v>
      </c>
      <c r="C520" s="1" t="s">
        <v>142</v>
      </c>
      <c r="D520" s="1" t="s">
        <v>2483</v>
      </c>
      <c r="E520" s="1" t="s">
        <v>144</v>
      </c>
      <c r="F520" s="1" t="s">
        <v>142</v>
      </c>
      <c r="G520" s="1"/>
    </row>
    <row r="521">
      <c r="A521" s="1" t="s">
        <v>2484</v>
      </c>
      <c r="B521" s="1" t="s">
        <v>142</v>
      </c>
      <c r="C521" s="1" t="s">
        <v>142</v>
      </c>
      <c r="D521" s="1" t="s">
        <v>2485</v>
      </c>
      <c r="E521" s="1" t="s">
        <v>144</v>
      </c>
      <c r="F521" s="1" t="s">
        <v>142</v>
      </c>
      <c r="G521" s="1"/>
    </row>
    <row r="522">
      <c r="A522" s="1" t="s">
        <v>2488</v>
      </c>
      <c r="B522" s="1" t="s">
        <v>142</v>
      </c>
      <c r="C522" s="1" t="s">
        <v>142</v>
      </c>
      <c r="D522" s="1" t="s">
        <v>2489</v>
      </c>
      <c r="E522" s="1" t="s">
        <v>144</v>
      </c>
      <c r="F522" s="1" t="s">
        <v>142</v>
      </c>
      <c r="G522" s="1"/>
    </row>
    <row r="523">
      <c r="A523" s="1" t="s">
        <v>2490</v>
      </c>
      <c r="B523" s="1" t="s">
        <v>2491</v>
      </c>
      <c r="C523" s="1" t="s">
        <v>2493</v>
      </c>
      <c r="D523" s="1" t="s">
        <v>2494</v>
      </c>
      <c r="E523" s="1" t="s">
        <v>144</v>
      </c>
      <c r="F523" s="1" t="s">
        <v>142</v>
      </c>
      <c r="G523" s="1"/>
    </row>
    <row r="524">
      <c r="A524" s="1" t="s">
        <v>2497</v>
      </c>
      <c r="B524" s="1" t="s">
        <v>142</v>
      </c>
      <c r="C524" s="1" t="s">
        <v>142</v>
      </c>
      <c r="D524" s="1" t="s">
        <v>2498</v>
      </c>
      <c r="E524" s="1" t="s">
        <v>144</v>
      </c>
      <c r="F524" s="1" t="s">
        <v>142</v>
      </c>
      <c r="G524" s="1"/>
    </row>
    <row r="525">
      <c r="A525" s="1" t="s">
        <v>2499</v>
      </c>
      <c r="B525" s="1" t="s">
        <v>142</v>
      </c>
      <c r="C525" s="1" t="s">
        <v>142</v>
      </c>
      <c r="D525" s="1" t="s">
        <v>2500</v>
      </c>
      <c r="E525" s="1" t="s">
        <v>144</v>
      </c>
      <c r="F525" s="1" t="s">
        <v>142</v>
      </c>
      <c r="G525" s="1"/>
    </row>
    <row r="526">
      <c r="A526" s="1" t="s">
        <v>2503</v>
      </c>
      <c r="B526" s="1" t="s">
        <v>142</v>
      </c>
      <c r="C526" s="1" t="s">
        <v>142</v>
      </c>
      <c r="D526" s="1" t="s">
        <v>2504</v>
      </c>
      <c r="E526" s="1" t="s">
        <v>144</v>
      </c>
      <c r="F526" s="1" t="s">
        <v>142</v>
      </c>
      <c r="G526" s="1"/>
    </row>
    <row r="527">
      <c r="A527" s="1" t="s">
        <v>2506</v>
      </c>
      <c r="B527" s="1" t="s">
        <v>142</v>
      </c>
      <c r="C527" s="1" t="s">
        <v>142</v>
      </c>
      <c r="D527" s="1" t="s">
        <v>2508</v>
      </c>
      <c r="E527" s="1" t="s">
        <v>144</v>
      </c>
      <c r="F527" s="1" t="s">
        <v>142</v>
      </c>
      <c r="G527" s="1"/>
    </row>
    <row r="528">
      <c r="A528" s="1" t="s">
        <v>2509</v>
      </c>
      <c r="B528" s="1" t="s">
        <v>142</v>
      </c>
      <c r="C528" s="1" t="s">
        <v>142</v>
      </c>
      <c r="D528" s="1" t="s">
        <v>2510</v>
      </c>
      <c r="E528" s="1" t="s">
        <v>144</v>
      </c>
      <c r="F528" s="1" t="s">
        <v>142</v>
      </c>
      <c r="G528" s="1"/>
    </row>
    <row r="529">
      <c r="A529" s="1" t="s">
        <v>2513</v>
      </c>
      <c r="B529" s="1" t="s">
        <v>142</v>
      </c>
      <c r="C529" s="1" t="s">
        <v>142</v>
      </c>
      <c r="D529" s="1" t="s">
        <v>2514</v>
      </c>
      <c r="E529" s="1" t="s">
        <v>144</v>
      </c>
      <c r="F529" s="1" t="s">
        <v>142</v>
      </c>
      <c r="G529" s="1"/>
    </row>
    <row r="530">
      <c r="A530" s="1" t="s">
        <v>2516</v>
      </c>
      <c r="B530" s="1" t="s">
        <v>142</v>
      </c>
      <c r="C530" s="1" t="s">
        <v>142</v>
      </c>
      <c r="D530" s="1" t="s">
        <v>2517</v>
      </c>
      <c r="E530" s="1" t="s">
        <v>144</v>
      </c>
      <c r="F530" s="1" t="s">
        <v>142</v>
      </c>
      <c r="G530" s="1"/>
    </row>
    <row r="531">
      <c r="A531" s="1" t="s">
        <v>2519</v>
      </c>
      <c r="B531" s="1" t="s">
        <v>142</v>
      </c>
      <c r="C531" s="1" t="s">
        <v>142</v>
      </c>
      <c r="D531" s="1" t="s">
        <v>2521</v>
      </c>
      <c r="E531" s="1" t="s">
        <v>144</v>
      </c>
      <c r="F531" s="1" t="s">
        <v>142</v>
      </c>
      <c r="G531" s="1"/>
    </row>
    <row r="532">
      <c r="A532" s="1" t="s">
        <v>2523</v>
      </c>
      <c r="B532" s="1" t="s">
        <v>142</v>
      </c>
      <c r="C532" s="1" t="s">
        <v>142</v>
      </c>
      <c r="D532" s="1" t="s">
        <v>2524</v>
      </c>
      <c r="E532" s="1" t="s">
        <v>144</v>
      </c>
      <c r="F532" s="1" t="s">
        <v>142</v>
      </c>
      <c r="G532" s="1"/>
    </row>
    <row r="533">
      <c r="A533" s="1" t="s">
        <v>2526</v>
      </c>
      <c r="B533" s="1" t="s">
        <v>142</v>
      </c>
      <c r="C533" s="1" t="s">
        <v>142</v>
      </c>
      <c r="D533" s="1" t="s">
        <v>2527</v>
      </c>
      <c r="E533" s="1" t="s">
        <v>144</v>
      </c>
      <c r="F533" s="1" t="s">
        <v>142</v>
      </c>
      <c r="G533" s="1"/>
    </row>
    <row r="534">
      <c r="A534" s="1" t="s">
        <v>2529</v>
      </c>
      <c r="B534" s="1" t="s">
        <v>142</v>
      </c>
      <c r="C534" s="1" t="s">
        <v>142</v>
      </c>
      <c r="D534" s="1" t="s">
        <v>2530</v>
      </c>
      <c r="E534" s="1" t="s">
        <v>144</v>
      </c>
      <c r="F534" s="1" t="s">
        <v>142</v>
      </c>
      <c r="G534" s="1"/>
    </row>
    <row r="535">
      <c r="A535" s="1" t="s">
        <v>2531</v>
      </c>
      <c r="B535" s="1" t="s">
        <v>142</v>
      </c>
      <c r="C535" s="1" t="s">
        <v>142</v>
      </c>
      <c r="D535" s="1" t="s">
        <v>2533</v>
      </c>
      <c r="E535" s="1" t="s">
        <v>144</v>
      </c>
      <c r="F535" s="1" t="s">
        <v>142</v>
      </c>
      <c r="G535" s="1"/>
    </row>
    <row r="536">
      <c r="A536" s="1" t="s">
        <v>2534</v>
      </c>
      <c r="B536" s="1" t="s">
        <v>142</v>
      </c>
      <c r="C536" s="1" t="s">
        <v>142</v>
      </c>
      <c r="D536" s="1" t="s">
        <v>2535</v>
      </c>
      <c r="E536" s="1" t="s">
        <v>144</v>
      </c>
      <c r="F536" s="1" t="s">
        <v>142</v>
      </c>
      <c r="G536" s="1"/>
    </row>
    <row r="537">
      <c r="A537" s="1" t="s">
        <v>2536</v>
      </c>
      <c r="B537" s="1" t="s">
        <v>142</v>
      </c>
      <c r="C537" s="1" t="s">
        <v>142</v>
      </c>
      <c r="D537" s="1" t="s">
        <v>2539</v>
      </c>
      <c r="E537" s="1" t="s">
        <v>144</v>
      </c>
      <c r="F537" s="1" t="s">
        <v>142</v>
      </c>
      <c r="G537" s="1"/>
    </row>
    <row r="538">
      <c r="A538" s="1" t="s">
        <v>2540</v>
      </c>
      <c r="B538" s="1" t="s">
        <v>142</v>
      </c>
      <c r="C538" s="1" t="s">
        <v>142</v>
      </c>
      <c r="D538" s="1" t="s">
        <v>2541</v>
      </c>
      <c r="E538" s="1" t="s">
        <v>144</v>
      </c>
      <c r="F538" s="1" t="s">
        <v>142</v>
      </c>
      <c r="G538" s="1"/>
    </row>
    <row r="539">
      <c r="A539" s="1" t="s">
        <v>2543</v>
      </c>
      <c r="B539" s="1" t="s">
        <v>142</v>
      </c>
      <c r="C539" s="1" t="s">
        <v>142</v>
      </c>
      <c r="D539" s="1" t="s">
        <v>2544</v>
      </c>
      <c r="E539" s="1" t="s">
        <v>144</v>
      </c>
      <c r="F539" s="1" t="s">
        <v>142</v>
      </c>
      <c r="G539" s="1"/>
    </row>
    <row r="540">
      <c r="A540" s="1" t="s">
        <v>2546</v>
      </c>
      <c r="B540" s="1" t="s">
        <v>142</v>
      </c>
      <c r="C540" s="1" t="s">
        <v>142</v>
      </c>
      <c r="D540" s="1" t="s">
        <v>2548</v>
      </c>
      <c r="E540" s="1" t="s">
        <v>144</v>
      </c>
      <c r="F540" s="1" t="s">
        <v>142</v>
      </c>
      <c r="G540" s="1"/>
    </row>
    <row r="541">
      <c r="A541" s="1" t="s">
        <v>2549</v>
      </c>
      <c r="B541" s="1" t="s">
        <v>142</v>
      </c>
      <c r="C541" s="1" t="s">
        <v>142</v>
      </c>
      <c r="D541" s="1" t="s">
        <v>2550</v>
      </c>
      <c r="E541" s="1" t="s">
        <v>144</v>
      </c>
      <c r="F541" s="1" t="s">
        <v>142</v>
      </c>
      <c r="G541" s="1"/>
    </row>
    <row r="542">
      <c r="A542" s="1" t="s">
        <v>2552</v>
      </c>
      <c r="B542" s="1" t="s">
        <v>142</v>
      </c>
      <c r="C542" s="1" t="s">
        <v>142</v>
      </c>
      <c r="D542" s="1" t="s">
        <v>2553</v>
      </c>
      <c r="E542" s="1" t="s">
        <v>144</v>
      </c>
      <c r="F542" s="1" t="s">
        <v>142</v>
      </c>
      <c r="G542" s="1"/>
    </row>
    <row r="543">
      <c r="A543" s="1" t="s">
        <v>2554</v>
      </c>
      <c r="B543" s="1" t="s">
        <v>142</v>
      </c>
      <c r="C543" s="1" t="s">
        <v>142</v>
      </c>
      <c r="D543" s="1" t="s">
        <v>2555</v>
      </c>
      <c r="E543" s="1" t="s">
        <v>144</v>
      </c>
      <c r="F543" s="1" t="s">
        <v>142</v>
      </c>
      <c r="G543" s="1"/>
    </row>
    <row r="544">
      <c r="A544" s="1" t="s">
        <v>2558</v>
      </c>
      <c r="B544" s="1" t="s">
        <v>142</v>
      </c>
      <c r="C544" s="1" t="s">
        <v>142</v>
      </c>
      <c r="D544" s="1" t="s">
        <v>2559</v>
      </c>
      <c r="E544" s="1" t="s">
        <v>144</v>
      </c>
      <c r="F544" s="1" t="s">
        <v>142</v>
      </c>
      <c r="G544" s="1"/>
    </row>
    <row r="545">
      <c r="A545" s="1" t="s">
        <v>2560</v>
      </c>
      <c r="B545" s="1" t="s">
        <v>142</v>
      </c>
      <c r="C545" s="1" t="s">
        <v>142</v>
      </c>
      <c r="D545" s="1" t="s">
        <v>2562</v>
      </c>
      <c r="E545" s="1" t="s">
        <v>144</v>
      </c>
      <c r="F545" s="1" t="s">
        <v>142</v>
      </c>
      <c r="G545" s="1"/>
    </row>
    <row r="546">
      <c r="A546" s="1" t="s">
        <v>2564</v>
      </c>
      <c r="B546" s="1" t="s">
        <v>142</v>
      </c>
      <c r="C546" s="1" t="s">
        <v>142</v>
      </c>
      <c r="D546" s="1" t="s">
        <v>2566</v>
      </c>
      <c r="E546" s="1" t="s">
        <v>144</v>
      </c>
      <c r="F546" s="1" t="s">
        <v>142</v>
      </c>
      <c r="G546" s="1"/>
    </row>
    <row r="547">
      <c r="A547" s="1" t="s">
        <v>2567</v>
      </c>
      <c r="B547" s="1" t="s">
        <v>142</v>
      </c>
      <c r="C547" s="1" t="s">
        <v>142</v>
      </c>
      <c r="D547" s="1" t="s">
        <v>2568</v>
      </c>
      <c r="E547" s="1" t="s">
        <v>144</v>
      </c>
      <c r="F547" s="1" t="s">
        <v>142</v>
      </c>
      <c r="G547" s="1"/>
    </row>
    <row r="548">
      <c r="A548" s="1" t="s">
        <v>2571</v>
      </c>
      <c r="B548" s="1" t="s">
        <v>142</v>
      </c>
      <c r="C548" s="1" t="s">
        <v>142</v>
      </c>
      <c r="D548" s="1" t="s">
        <v>2572</v>
      </c>
      <c r="E548" s="1" t="s">
        <v>144</v>
      </c>
      <c r="F548" s="1" t="s">
        <v>142</v>
      </c>
      <c r="G548" s="1"/>
    </row>
    <row r="549">
      <c r="A549" s="1" t="s">
        <v>2573</v>
      </c>
      <c r="B549" s="1" t="s">
        <v>142</v>
      </c>
      <c r="C549" s="1" t="s">
        <v>142</v>
      </c>
      <c r="D549" s="1" t="s">
        <v>2574</v>
      </c>
      <c r="E549" s="1" t="s">
        <v>144</v>
      </c>
      <c r="F549" s="1" t="s">
        <v>142</v>
      </c>
      <c r="G549" s="1"/>
    </row>
    <row r="550">
      <c r="A550" s="1" t="s">
        <v>2575</v>
      </c>
      <c r="B550" s="1" t="s">
        <v>142</v>
      </c>
      <c r="C550" s="1" t="s">
        <v>142</v>
      </c>
      <c r="D550" s="1" t="s">
        <v>2576</v>
      </c>
      <c r="E550" s="1" t="s">
        <v>144</v>
      </c>
      <c r="F550" s="1" t="s">
        <v>142</v>
      </c>
      <c r="G550" s="1"/>
    </row>
    <row r="551">
      <c r="A551" s="1" t="s">
        <v>2578</v>
      </c>
      <c r="B551" s="1" t="s">
        <v>142</v>
      </c>
      <c r="C551" s="1" t="s">
        <v>142</v>
      </c>
      <c r="D551" s="1" t="s">
        <v>2579</v>
      </c>
      <c r="E551" s="1" t="s">
        <v>144</v>
      </c>
      <c r="F551" s="1" t="s">
        <v>142</v>
      </c>
      <c r="G551" s="1"/>
    </row>
    <row r="552">
      <c r="A552" s="1" t="s">
        <v>2580</v>
      </c>
      <c r="B552" s="1" t="s">
        <v>142</v>
      </c>
      <c r="C552" s="1" t="s">
        <v>142</v>
      </c>
      <c r="D552" s="1" t="s">
        <v>2582</v>
      </c>
      <c r="E552" s="1" t="s">
        <v>144</v>
      </c>
      <c r="F552" s="1" t="s">
        <v>142</v>
      </c>
      <c r="G552" s="1"/>
    </row>
    <row r="553">
      <c r="A553" s="1" t="s">
        <v>2585</v>
      </c>
      <c r="B553" s="1" t="s">
        <v>142</v>
      </c>
      <c r="C553" s="1" t="s">
        <v>142</v>
      </c>
      <c r="D553" s="1" t="s">
        <v>2586</v>
      </c>
      <c r="E553" s="1" t="s">
        <v>144</v>
      </c>
      <c r="F553" s="1" t="s">
        <v>142</v>
      </c>
      <c r="G553" s="1"/>
    </row>
    <row r="554">
      <c r="A554" s="1" t="s">
        <v>2587</v>
      </c>
      <c r="B554" s="1" t="s">
        <v>142</v>
      </c>
      <c r="C554" s="1" t="s">
        <v>142</v>
      </c>
      <c r="D554" s="1" t="s">
        <v>2589</v>
      </c>
      <c r="E554" s="1" t="s">
        <v>144</v>
      </c>
      <c r="F554" s="1" t="s">
        <v>142</v>
      </c>
      <c r="G554" s="1"/>
    </row>
    <row r="555">
      <c r="A555" s="1" t="s">
        <v>2591</v>
      </c>
      <c r="B555" s="1" t="s">
        <v>142</v>
      </c>
      <c r="C555" s="1" t="s">
        <v>142</v>
      </c>
      <c r="D555" s="1" t="s">
        <v>2592</v>
      </c>
      <c r="E555" s="1" t="s">
        <v>144</v>
      </c>
      <c r="F555" s="1" t="s">
        <v>142</v>
      </c>
      <c r="G555" s="1"/>
    </row>
    <row r="556">
      <c r="A556" s="1" t="s">
        <v>2594</v>
      </c>
      <c r="B556" s="1" t="s">
        <v>142</v>
      </c>
      <c r="C556" s="1" t="s">
        <v>142</v>
      </c>
      <c r="D556" s="1" t="s">
        <v>2596</v>
      </c>
      <c r="E556" s="1" t="s">
        <v>144</v>
      </c>
      <c r="F556" s="1" t="s">
        <v>142</v>
      </c>
      <c r="G556" s="1"/>
    </row>
    <row r="557">
      <c r="A557" s="1" t="s">
        <v>2597</v>
      </c>
      <c r="B557" s="1" t="s">
        <v>142</v>
      </c>
      <c r="C557" s="1" t="s">
        <v>142</v>
      </c>
      <c r="D557" s="1" t="s">
        <v>2598</v>
      </c>
      <c r="E557" s="1" t="s">
        <v>144</v>
      </c>
      <c r="F557" s="1" t="s">
        <v>142</v>
      </c>
      <c r="G557" s="1"/>
    </row>
    <row r="558">
      <c r="A558" s="1" t="s">
        <v>2600</v>
      </c>
      <c r="B558" s="1" t="s">
        <v>142</v>
      </c>
      <c r="C558" s="1" t="s">
        <v>142</v>
      </c>
      <c r="D558" s="1" t="s">
        <v>2602</v>
      </c>
      <c r="E558" s="1" t="s">
        <v>144</v>
      </c>
      <c r="F558" s="1" t="s">
        <v>142</v>
      </c>
      <c r="G558" s="1"/>
    </row>
    <row r="559">
      <c r="A559" s="1" t="s">
        <v>2603</v>
      </c>
      <c r="B559" s="1" t="s">
        <v>142</v>
      </c>
      <c r="C559" s="1" t="s">
        <v>142</v>
      </c>
      <c r="D559" s="1" t="s">
        <v>2605</v>
      </c>
      <c r="E559" s="1" t="s">
        <v>144</v>
      </c>
      <c r="F559" s="1" t="s">
        <v>142</v>
      </c>
      <c r="G559" s="1"/>
    </row>
    <row r="560">
      <c r="A560" s="1" t="s">
        <v>2607</v>
      </c>
      <c r="B560" s="1" t="s">
        <v>142</v>
      </c>
      <c r="C560" s="1" t="s">
        <v>142</v>
      </c>
      <c r="D560" s="1" t="s">
        <v>2608</v>
      </c>
      <c r="E560" s="1" t="s">
        <v>144</v>
      </c>
      <c r="F560" s="1" t="s">
        <v>142</v>
      </c>
      <c r="G560" s="1"/>
    </row>
    <row r="561">
      <c r="A561" s="1" t="s">
        <v>2609</v>
      </c>
      <c r="B561" s="1" t="s">
        <v>142</v>
      </c>
      <c r="C561" s="1" t="s">
        <v>142</v>
      </c>
      <c r="D561" s="1" t="s">
        <v>2610</v>
      </c>
      <c r="E561" s="1" t="s">
        <v>144</v>
      </c>
      <c r="F561" s="1" t="s">
        <v>142</v>
      </c>
      <c r="G561" s="1"/>
    </row>
    <row r="562">
      <c r="A562" s="1" t="s">
        <v>2611</v>
      </c>
      <c r="B562" s="1" t="s">
        <v>142</v>
      </c>
      <c r="C562" s="1" t="s">
        <v>142</v>
      </c>
      <c r="D562" s="1" t="s">
        <v>2612</v>
      </c>
      <c r="E562" s="1" t="s">
        <v>144</v>
      </c>
      <c r="F562" s="1" t="s">
        <v>142</v>
      </c>
      <c r="G562" s="1"/>
    </row>
    <row r="563">
      <c r="A563" s="1" t="s">
        <v>2613</v>
      </c>
      <c r="B563" s="1" t="s">
        <v>142</v>
      </c>
      <c r="C563" s="1" t="s">
        <v>142</v>
      </c>
      <c r="D563" s="1" t="s">
        <v>2614</v>
      </c>
      <c r="E563" s="1" t="s">
        <v>144</v>
      </c>
      <c r="F563" s="1" t="s">
        <v>142</v>
      </c>
      <c r="G563" s="1"/>
    </row>
    <row r="564">
      <c r="A564" s="1" t="s">
        <v>2615</v>
      </c>
      <c r="B564" s="1" t="s">
        <v>142</v>
      </c>
      <c r="C564" s="1" t="s">
        <v>142</v>
      </c>
      <c r="D564" s="1" t="s">
        <v>2616</v>
      </c>
      <c r="E564" s="1" t="s">
        <v>144</v>
      </c>
      <c r="F564" s="1" t="s">
        <v>142</v>
      </c>
      <c r="G564" s="1"/>
    </row>
    <row r="565">
      <c r="A565" s="1" t="s">
        <v>2617</v>
      </c>
      <c r="B565" s="1" t="s">
        <v>142</v>
      </c>
      <c r="C565" s="1" t="s">
        <v>142</v>
      </c>
      <c r="D565" s="1" t="s">
        <v>2618</v>
      </c>
      <c r="E565" s="1" t="s">
        <v>144</v>
      </c>
      <c r="F565" s="1" t="s">
        <v>142</v>
      </c>
      <c r="G565" s="1"/>
    </row>
    <row r="566">
      <c r="A566" s="1" t="s">
        <v>2619</v>
      </c>
      <c r="B566" s="1" t="s">
        <v>142</v>
      </c>
      <c r="C566" s="1" t="s">
        <v>142</v>
      </c>
      <c r="D566" s="1" t="s">
        <v>2620</v>
      </c>
      <c r="E566" s="1" t="s">
        <v>144</v>
      </c>
      <c r="F566" s="1" t="s">
        <v>142</v>
      </c>
      <c r="G566" s="1"/>
    </row>
    <row r="567">
      <c r="A567" s="1" t="s">
        <v>2621</v>
      </c>
      <c r="B567" s="1" t="s">
        <v>142</v>
      </c>
      <c r="C567" s="1" t="s">
        <v>142</v>
      </c>
      <c r="D567" s="1" t="s">
        <v>2622</v>
      </c>
      <c r="E567" s="1" t="s">
        <v>144</v>
      </c>
      <c r="F567" s="1" t="s">
        <v>142</v>
      </c>
      <c r="G567" s="1"/>
    </row>
    <row r="568">
      <c r="A568" s="1" t="s">
        <v>2623</v>
      </c>
      <c r="B568" s="1" t="s">
        <v>142</v>
      </c>
      <c r="C568" s="1" t="s">
        <v>142</v>
      </c>
      <c r="D568" s="1" t="s">
        <v>2624</v>
      </c>
      <c r="E568" s="1" t="s">
        <v>144</v>
      </c>
      <c r="F568" s="1" t="s">
        <v>142</v>
      </c>
      <c r="G568" s="1"/>
    </row>
    <row r="569">
      <c r="A569" s="1" t="s">
        <v>2625</v>
      </c>
      <c r="B569" s="1" t="s">
        <v>142</v>
      </c>
      <c r="C569" s="1" t="s">
        <v>142</v>
      </c>
      <c r="D569" s="1" t="s">
        <v>2626</v>
      </c>
      <c r="E569" s="1" t="s">
        <v>144</v>
      </c>
      <c r="F569" s="1" t="s">
        <v>142</v>
      </c>
      <c r="G569" s="1"/>
    </row>
    <row r="570">
      <c r="A570" s="1" t="s">
        <v>2627</v>
      </c>
      <c r="B570" s="1" t="s">
        <v>142</v>
      </c>
      <c r="C570" s="1" t="s">
        <v>142</v>
      </c>
      <c r="D570" s="1" t="s">
        <v>2628</v>
      </c>
      <c r="E570" s="1" t="s">
        <v>144</v>
      </c>
      <c r="F570" s="1" t="s">
        <v>142</v>
      </c>
      <c r="G570" s="1"/>
    </row>
    <row r="571">
      <c r="A571" s="1" t="s">
        <v>2629</v>
      </c>
      <c r="B571" s="1" t="s">
        <v>142</v>
      </c>
      <c r="C571" s="1" t="s">
        <v>142</v>
      </c>
      <c r="D571" s="1" t="s">
        <v>2630</v>
      </c>
      <c r="E571" s="1" t="s">
        <v>144</v>
      </c>
      <c r="F571" s="1" t="s">
        <v>142</v>
      </c>
      <c r="G571" s="1"/>
    </row>
    <row r="572">
      <c r="A572" s="1" t="s">
        <v>2631</v>
      </c>
      <c r="B572" s="1" t="s">
        <v>142</v>
      </c>
      <c r="C572" s="1" t="s">
        <v>142</v>
      </c>
      <c r="D572" s="1" t="s">
        <v>2632</v>
      </c>
      <c r="E572" s="1" t="s">
        <v>144</v>
      </c>
      <c r="F572" s="1" t="s">
        <v>142</v>
      </c>
      <c r="G572" s="1"/>
    </row>
    <row r="573">
      <c r="A573" s="1" t="s">
        <v>2633</v>
      </c>
      <c r="B573" s="1" t="s">
        <v>142</v>
      </c>
      <c r="C573" s="1" t="s">
        <v>142</v>
      </c>
      <c r="D573" s="1" t="s">
        <v>2634</v>
      </c>
      <c r="E573" s="1" t="s">
        <v>144</v>
      </c>
      <c r="F573" s="1" t="s">
        <v>142</v>
      </c>
      <c r="G573" s="1"/>
    </row>
    <row r="574">
      <c r="A574" s="1" t="s">
        <v>2635</v>
      </c>
      <c r="B574" s="1" t="s">
        <v>142</v>
      </c>
      <c r="C574" s="1" t="s">
        <v>142</v>
      </c>
      <c r="D574" s="1" t="s">
        <v>2636</v>
      </c>
      <c r="E574" s="1" t="s">
        <v>144</v>
      </c>
      <c r="F574" s="1" t="s">
        <v>142</v>
      </c>
      <c r="G574" s="1"/>
    </row>
    <row r="575">
      <c r="A575" s="1" t="s">
        <v>2637</v>
      </c>
      <c r="B575" s="1" t="s">
        <v>142</v>
      </c>
      <c r="C575" s="1" t="s">
        <v>142</v>
      </c>
      <c r="D575" s="1" t="s">
        <v>2638</v>
      </c>
      <c r="E575" s="1" t="s">
        <v>144</v>
      </c>
      <c r="F575" s="1" t="s">
        <v>142</v>
      </c>
      <c r="G575" s="1"/>
    </row>
    <row r="576">
      <c r="A576" s="1" t="s">
        <v>2682</v>
      </c>
      <c r="B576" s="1" t="s">
        <v>142</v>
      </c>
      <c r="C576" s="1" t="s">
        <v>142</v>
      </c>
      <c r="D576" s="1" t="s">
        <v>2683</v>
      </c>
      <c r="E576" s="1" t="s">
        <v>144</v>
      </c>
      <c r="F576" s="1" t="s">
        <v>142</v>
      </c>
      <c r="G576" s="1"/>
    </row>
    <row r="577">
      <c r="A577" s="1" t="s">
        <v>2685</v>
      </c>
      <c r="B577" s="1" t="s">
        <v>142</v>
      </c>
      <c r="C577" s="1" t="s">
        <v>142</v>
      </c>
      <c r="D577" s="1" t="s">
        <v>2686</v>
      </c>
      <c r="E577" s="1" t="s">
        <v>144</v>
      </c>
      <c r="F577" s="1" t="s">
        <v>142</v>
      </c>
      <c r="G577" s="1"/>
    </row>
    <row r="578">
      <c r="A578" s="1" t="s">
        <v>2691</v>
      </c>
      <c r="B578" s="1" t="s">
        <v>142</v>
      </c>
      <c r="C578" s="1" t="s">
        <v>142</v>
      </c>
      <c r="D578" s="1" t="s">
        <v>2693</v>
      </c>
      <c r="E578" s="1" t="s">
        <v>144</v>
      </c>
      <c r="F578" s="1" t="s">
        <v>142</v>
      </c>
      <c r="G578" s="1"/>
    </row>
    <row r="579">
      <c r="A579" s="1" t="s">
        <v>2705</v>
      </c>
      <c r="B579" s="1" t="s">
        <v>142</v>
      </c>
      <c r="C579" s="1" t="s">
        <v>142</v>
      </c>
      <c r="D579" s="1" t="s">
        <v>2706</v>
      </c>
      <c r="E579" s="1" t="s">
        <v>144</v>
      </c>
      <c r="F579" s="1" t="s">
        <v>142</v>
      </c>
      <c r="G579" s="1"/>
    </row>
    <row r="580">
      <c r="A580" s="1" t="s">
        <v>2725</v>
      </c>
      <c r="B580" s="1" t="s">
        <v>142</v>
      </c>
      <c r="C580" s="1" t="s">
        <v>142</v>
      </c>
      <c r="D580" s="1" t="s">
        <v>2727</v>
      </c>
      <c r="E580" s="1" t="s">
        <v>144</v>
      </c>
      <c r="F580" s="1" t="s">
        <v>142</v>
      </c>
      <c r="G580" s="1"/>
    </row>
    <row r="581">
      <c r="A581" s="1" t="s">
        <v>2728</v>
      </c>
      <c r="B581" s="1" t="s">
        <v>142</v>
      </c>
      <c r="C581" s="1" t="s">
        <v>142</v>
      </c>
      <c r="D581" s="1" t="s">
        <v>2729</v>
      </c>
      <c r="E581" s="1" t="s">
        <v>144</v>
      </c>
      <c r="F581" s="1" t="s">
        <v>142</v>
      </c>
      <c r="G581" s="1"/>
    </row>
    <row r="582">
      <c r="A582" s="1" t="s">
        <v>2730</v>
      </c>
      <c r="B582" s="1" t="s">
        <v>142</v>
      </c>
      <c r="C582" s="1" t="s">
        <v>142</v>
      </c>
      <c r="D582" s="1" t="s">
        <v>2732</v>
      </c>
      <c r="E582" s="1" t="s">
        <v>144</v>
      </c>
      <c r="F582" s="1" t="s">
        <v>142</v>
      </c>
      <c r="G582" s="1"/>
    </row>
    <row r="583">
      <c r="A583" s="1" t="s">
        <v>2733</v>
      </c>
      <c r="B583" s="1" t="s">
        <v>142</v>
      </c>
      <c r="C583" s="1" t="s">
        <v>142</v>
      </c>
      <c r="D583" s="1" t="s">
        <v>2734</v>
      </c>
      <c r="E583" s="1" t="s">
        <v>144</v>
      </c>
      <c r="F583" s="1" t="s">
        <v>142</v>
      </c>
      <c r="G583" s="1"/>
    </row>
    <row r="584">
      <c r="A584" s="1" t="s">
        <v>2735</v>
      </c>
      <c r="B584" s="1" t="s">
        <v>142</v>
      </c>
      <c r="C584" s="1" t="s">
        <v>142</v>
      </c>
      <c r="D584" s="1" t="s">
        <v>2737</v>
      </c>
      <c r="E584" s="1" t="s">
        <v>144</v>
      </c>
      <c r="F584" s="1" t="s">
        <v>142</v>
      </c>
      <c r="G584" s="1"/>
    </row>
    <row r="585">
      <c r="A585" s="1" t="s">
        <v>2740</v>
      </c>
      <c r="B585" s="1" t="s">
        <v>142</v>
      </c>
      <c r="C585" s="1" t="s">
        <v>142</v>
      </c>
      <c r="D585" s="1" t="s">
        <v>2742</v>
      </c>
      <c r="E585" s="1" t="s">
        <v>144</v>
      </c>
      <c r="F585" s="1" t="s">
        <v>142</v>
      </c>
      <c r="G585" s="1"/>
    </row>
    <row r="586">
      <c r="A586" s="1" t="s">
        <v>2743</v>
      </c>
      <c r="B586" s="1" t="s">
        <v>142</v>
      </c>
      <c r="C586" s="1" t="s">
        <v>142</v>
      </c>
      <c r="D586" s="1" t="s">
        <v>2745</v>
      </c>
      <c r="E586" s="1" t="s">
        <v>144</v>
      </c>
      <c r="F586" s="1" t="s">
        <v>142</v>
      </c>
      <c r="G586" s="1"/>
    </row>
    <row r="587">
      <c r="A587" s="1" t="s">
        <v>2746</v>
      </c>
      <c r="B587" s="1" t="s">
        <v>142</v>
      </c>
      <c r="C587" s="1" t="s">
        <v>142</v>
      </c>
      <c r="D587" s="1" t="s">
        <v>2747</v>
      </c>
      <c r="E587" s="1" t="s">
        <v>144</v>
      </c>
      <c r="F587" s="1" t="s">
        <v>142</v>
      </c>
      <c r="G587" s="1"/>
    </row>
    <row r="588">
      <c r="A588" s="1" t="s">
        <v>2748</v>
      </c>
      <c r="B588" s="1" t="s">
        <v>142</v>
      </c>
      <c r="C588" s="1" t="s">
        <v>142</v>
      </c>
      <c r="D588" s="1" t="s">
        <v>2749</v>
      </c>
      <c r="E588" s="1" t="s">
        <v>144</v>
      </c>
      <c r="F588" s="1" t="s">
        <v>142</v>
      </c>
      <c r="G588" s="1"/>
    </row>
    <row r="589">
      <c r="A589" s="1" t="s">
        <v>2750</v>
      </c>
      <c r="B589" s="1" t="s">
        <v>142</v>
      </c>
      <c r="C589" s="1" t="s">
        <v>142</v>
      </c>
      <c r="D589" s="1" t="s">
        <v>2752</v>
      </c>
      <c r="E589" s="1" t="s">
        <v>144</v>
      </c>
      <c r="F589" s="1" t="s">
        <v>142</v>
      </c>
      <c r="G589" s="1"/>
    </row>
    <row r="590">
      <c r="A590" s="1" t="s">
        <v>2753</v>
      </c>
      <c r="B590" s="1" t="s">
        <v>142</v>
      </c>
      <c r="C590" s="1" t="s">
        <v>142</v>
      </c>
      <c r="D590" s="1" t="s">
        <v>2754</v>
      </c>
      <c r="E590" s="1" t="s">
        <v>144</v>
      </c>
      <c r="F590" s="1" t="s">
        <v>142</v>
      </c>
      <c r="G590" s="1"/>
    </row>
    <row r="591">
      <c r="A591" s="1" t="s">
        <v>2755</v>
      </c>
      <c r="B591" s="1" t="s">
        <v>142</v>
      </c>
      <c r="C591" s="1" t="s">
        <v>142</v>
      </c>
      <c r="D591" s="1" t="s">
        <v>2757</v>
      </c>
      <c r="E591" s="1" t="s">
        <v>144</v>
      </c>
      <c r="F591" s="1" t="s">
        <v>142</v>
      </c>
      <c r="G591" s="1"/>
    </row>
    <row r="592">
      <c r="A592" s="1" t="s">
        <v>2758</v>
      </c>
      <c r="B592" s="1" t="s">
        <v>142</v>
      </c>
      <c r="C592" s="1" t="s">
        <v>142</v>
      </c>
      <c r="D592" s="1" t="s">
        <v>2759</v>
      </c>
      <c r="E592" s="1" t="s">
        <v>144</v>
      </c>
      <c r="F592" s="1" t="s">
        <v>142</v>
      </c>
      <c r="G592" s="1"/>
    </row>
    <row r="593">
      <c r="A593" s="1" t="s">
        <v>2761</v>
      </c>
      <c r="B593" s="1" t="s">
        <v>142</v>
      </c>
      <c r="C593" s="1" t="s">
        <v>142</v>
      </c>
      <c r="D593" s="1" t="s">
        <v>2762</v>
      </c>
      <c r="E593" s="1" t="s">
        <v>144</v>
      </c>
      <c r="F593" s="1" t="s">
        <v>142</v>
      </c>
      <c r="G593" s="1"/>
    </row>
    <row r="594">
      <c r="A594" s="1" t="s">
        <v>2763</v>
      </c>
      <c r="B594" s="1" t="s">
        <v>142</v>
      </c>
      <c r="C594" s="1" t="s">
        <v>142</v>
      </c>
      <c r="D594" s="1" t="s">
        <v>2764</v>
      </c>
      <c r="E594" s="1" t="s">
        <v>144</v>
      </c>
      <c r="F594" s="1" t="s">
        <v>142</v>
      </c>
      <c r="G594" s="1"/>
    </row>
    <row r="595">
      <c r="A595" s="1" t="s">
        <v>2767</v>
      </c>
      <c r="B595" s="1" t="s">
        <v>142</v>
      </c>
      <c r="C595" s="1" t="s">
        <v>142</v>
      </c>
      <c r="D595" s="1" t="s">
        <v>2768</v>
      </c>
      <c r="E595" s="1" t="s">
        <v>144</v>
      </c>
      <c r="F595" s="1" t="s">
        <v>142</v>
      </c>
      <c r="G595" s="1"/>
    </row>
    <row r="596">
      <c r="A596" s="1" t="s">
        <v>2769</v>
      </c>
      <c r="B596" s="1" t="s">
        <v>142</v>
      </c>
      <c r="C596" s="1" t="s">
        <v>142</v>
      </c>
      <c r="D596" s="1" t="s">
        <v>2771</v>
      </c>
      <c r="E596" s="1" t="s">
        <v>144</v>
      </c>
      <c r="F596" s="1" t="s">
        <v>142</v>
      </c>
      <c r="G596" s="1"/>
    </row>
    <row r="597">
      <c r="A597" s="1" t="s">
        <v>2780</v>
      </c>
      <c r="B597" s="1" t="s">
        <v>2781</v>
      </c>
      <c r="C597" s="1" t="s">
        <v>2782</v>
      </c>
      <c r="D597" s="1" t="s">
        <v>2784</v>
      </c>
      <c r="E597" s="1" t="s">
        <v>144</v>
      </c>
      <c r="F597" s="1" t="s">
        <v>142</v>
      </c>
      <c r="G597" s="1"/>
    </row>
    <row r="598">
      <c r="A598" s="1" t="s">
        <v>2785</v>
      </c>
      <c r="B598" s="1" t="s">
        <v>142</v>
      </c>
      <c r="C598" s="1" t="s">
        <v>142</v>
      </c>
      <c r="D598" s="1" t="s">
        <v>2786</v>
      </c>
      <c r="E598" s="1" t="s">
        <v>144</v>
      </c>
      <c r="F598" s="1" t="s">
        <v>142</v>
      </c>
      <c r="G598" s="1"/>
    </row>
    <row r="599">
      <c r="A599" s="1" t="s">
        <v>2787</v>
      </c>
      <c r="B599" s="1" t="s">
        <v>142</v>
      </c>
      <c r="C599" s="1" t="s">
        <v>142</v>
      </c>
      <c r="D599" s="1" t="s">
        <v>2788</v>
      </c>
      <c r="E599" s="1" t="s">
        <v>144</v>
      </c>
      <c r="F599" s="1" t="s">
        <v>142</v>
      </c>
      <c r="G599" s="1"/>
    </row>
    <row r="600">
      <c r="A600" s="1" t="s">
        <v>2790</v>
      </c>
      <c r="B600" s="1" t="s">
        <v>142</v>
      </c>
      <c r="C600" s="1" t="s">
        <v>142</v>
      </c>
      <c r="D600" s="1" t="s">
        <v>2791</v>
      </c>
      <c r="E600" s="1" t="s">
        <v>144</v>
      </c>
      <c r="F600" s="1" t="s">
        <v>142</v>
      </c>
      <c r="G600" s="1"/>
    </row>
    <row r="601">
      <c r="A601" s="1" t="s">
        <v>2792</v>
      </c>
      <c r="B601" s="1" t="s">
        <v>142</v>
      </c>
      <c r="C601" s="1" t="s">
        <v>142</v>
      </c>
      <c r="D601" s="1" t="s">
        <v>2793</v>
      </c>
      <c r="E601" s="1" t="s">
        <v>144</v>
      </c>
      <c r="F601" s="1" t="s">
        <v>142</v>
      </c>
      <c r="G601" s="1"/>
    </row>
    <row r="602">
      <c r="A602" s="1" t="s">
        <v>2795</v>
      </c>
      <c r="B602" s="1" t="s">
        <v>142</v>
      </c>
      <c r="C602" s="1" t="s">
        <v>142</v>
      </c>
      <c r="D602" s="1" t="s">
        <v>2796</v>
      </c>
      <c r="E602" s="1" t="s">
        <v>144</v>
      </c>
      <c r="F602" s="1" t="s">
        <v>142</v>
      </c>
      <c r="G602" s="1"/>
    </row>
    <row r="603">
      <c r="A603" s="1" t="s">
        <v>2797</v>
      </c>
      <c r="B603" s="1" t="s">
        <v>142</v>
      </c>
      <c r="C603" s="1" t="s">
        <v>142</v>
      </c>
      <c r="D603" s="1" t="s">
        <v>2798</v>
      </c>
      <c r="E603" s="1" t="s">
        <v>144</v>
      </c>
      <c r="F603" s="1" t="s">
        <v>142</v>
      </c>
      <c r="G603" s="1"/>
    </row>
    <row r="604">
      <c r="A604" s="1" t="s">
        <v>2800</v>
      </c>
      <c r="B604" s="1" t="s">
        <v>142</v>
      </c>
      <c r="C604" s="1" t="s">
        <v>142</v>
      </c>
      <c r="D604" s="1" t="s">
        <v>2801</v>
      </c>
      <c r="E604" s="1" t="s">
        <v>144</v>
      </c>
      <c r="F604" s="1" t="s">
        <v>142</v>
      </c>
      <c r="G604" s="1"/>
    </row>
    <row r="605">
      <c r="A605" s="1" t="s">
        <v>2802</v>
      </c>
      <c r="B605" s="1" t="s">
        <v>142</v>
      </c>
      <c r="C605" s="1" t="s">
        <v>142</v>
      </c>
      <c r="D605" s="1" t="s">
        <v>2803</v>
      </c>
      <c r="E605" s="1" t="s">
        <v>144</v>
      </c>
      <c r="F605" s="1" t="s">
        <v>142</v>
      </c>
      <c r="G605" s="1"/>
    </row>
    <row r="606">
      <c r="A606" s="1" t="s">
        <v>2805</v>
      </c>
      <c r="B606" s="1" t="s">
        <v>2806</v>
      </c>
      <c r="C606" s="1" t="s">
        <v>2807</v>
      </c>
      <c r="D606" s="1" t="s">
        <v>2808</v>
      </c>
      <c r="E606" s="1" t="s">
        <v>144</v>
      </c>
      <c r="F606" s="1" t="s">
        <v>142</v>
      </c>
      <c r="G606" s="1"/>
    </row>
    <row r="607">
      <c r="A607" s="1" t="s">
        <v>2809</v>
      </c>
      <c r="B607" s="1" t="s">
        <v>142</v>
      </c>
      <c r="C607" s="1" t="s">
        <v>142</v>
      </c>
      <c r="D607" s="1" t="s">
        <v>2810</v>
      </c>
      <c r="E607" s="1" t="s">
        <v>144</v>
      </c>
      <c r="F607" s="1" t="s">
        <v>142</v>
      </c>
      <c r="G607" s="1"/>
    </row>
    <row r="608">
      <c r="A608" s="1" t="s">
        <v>2811</v>
      </c>
      <c r="B608" s="1" t="s">
        <v>142</v>
      </c>
      <c r="C608" s="1" t="s">
        <v>142</v>
      </c>
      <c r="D608" s="1" t="s">
        <v>2813</v>
      </c>
      <c r="E608" s="1" t="s">
        <v>144</v>
      </c>
      <c r="F608" s="1" t="s">
        <v>142</v>
      </c>
      <c r="G608" s="1"/>
    </row>
    <row r="609">
      <c r="A609" s="1" t="s">
        <v>2814</v>
      </c>
      <c r="B609" s="1" t="s">
        <v>142</v>
      </c>
      <c r="C609" s="1" t="s">
        <v>142</v>
      </c>
      <c r="D609" s="1" t="s">
        <v>2815</v>
      </c>
      <c r="E609" s="1" t="s">
        <v>144</v>
      </c>
      <c r="F609" s="1" t="s">
        <v>142</v>
      </c>
      <c r="G609" s="1"/>
    </row>
    <row r="610">
      <c r="A610" s="1" t="s">
        <v>2816</v>
      </c>
      <c r="B610" s="1" t="s">
        <v>142</v>
      </c>
      <c r="C610" s="1" t="s">
        <v>142</v>
      </c>
      <c r="D610" s="1" t="s">
        <v>2818</v>
      </c>
      <c r="E610" s="1" t="s">
        <v>144</v>
      </c>
      <c r="F610" s="1" t="s">
        <v>142</v>
      </c>
      <c r="G610" s="1"/>
    </row>
    <row r="611">
      <c r="A611" s="1" t="s">
        <v>2819</v>
      </c>
      <c r="B611" s="1" t="s">
        <v>142</v>
      </c>
      <c r="C611" s="1" t="s">
        <v>142</v>
      </c>
      <c r="D611" s="1" t="s">
        <v>2820</v>
      </c>
      <c r="E611" s="1" t="s">
        <v>144</v>
      </c>
      <c r="F611" s="1" t="s">
        <v>142</v>
      </c>
      <c r="G611" s="1"/>
    </row>
    <row r="612">
      <c r="A612" s="1" t="s">
        <v>2821</v>
      </c>
      <c r="B612" s="1" t="s">
        <v>142</v>
      </c>
      <c r="C612" s="1" t="s">
        <v>142</v>
      </c>
      <c r="D612" s="1" t="s">
        <v>2822</v>
      </c>
      <c r="E612" s="1" t="s">
        <v>144</v>
      </c>
      <c r="F612" s="1" t="s">
        <v>142</v>
      </c>
      <c r="G612" s="1"/>
    </row>
    <row r="613">
      <c r="A613" s="1" t="s">
        <v>2824</v>
      </c>
      <c r="B613" s="1" t="s">
        <v>142</v>
      </c>
      <c r="C613" s="1" t="s">
        <v>142</v>
      </c>
      <c r="D613" s="1" t="s">
        <v>2825</v>
      </c>
      <c r="E613" s="1" t="s">
        <v>144</v>
      </c>
      <c r="F613" s="1" t="s">
        <v>142</v>
      </c>
      <c r="G613" s="1"/>
    </row>
    <row r="614">
      <c r="A614" s="1" t="s">
        <v>2826</v>
      </c>
      <c r="B614" s="1" t="s">
        <v>142</v>
      </c>
      <c r="C614" s="1" t="s">
        <v>142</v>
      </c>
      <c r="D614" s="1" t="s">
        <v>2827</v>
      </c>
      <c r="E614" s="1" t="s">
        <v>144</v>
      </c>
      <c r="F614" s="1" t="s">
        <v>142</v>
      </c>
      <c r="G614" s="1"/>
    </row>
    <row r="615">
      <c r="A615" s="1" t="s">
        <v>2829</v>
      </c>
      <c r="B615" s="1" t="s">
        <v>142</v>
      </c>
      <c r="C615" s="1" t="s">
        <v>142</v>
      </c>
      <c r="D615" s="1" t="s">
        <v>2845</v>
      </c>
      <c r="E615" s="1" t="s">
        <v>144</v>
      </c>
      <c r="F615" s="1" t="s">
        <v>142</v>
      </c>
      <c r="G615" s="1"/>
    </row>
    <row r="616">
      <c r="A616" s="1" t="s">
        <v>2846</v>
      </c>
      <c r="B616" s="1" t="s">
        <v>142</v>
      </c>
      <c r="C616" s="1" t="s">
        <v>142</v>
      </c>
      <c r="D616" s="1" t="s">
        <v>2848</v>
      </c>
      <c r="E616" s="1" t="s">
        <v>144</v>
      </c>
      <c r="F616" s="1" t="s">
        <v>142</v>
      </c>
      <c r="G616" s="1"/>
    </row>
    <row r="617">
      <c r="A617" s="1" t="s">
        <v>2849</v>
      </c>
      <c r="B617" s="1" t="s">
        <v>142</v>
      </c>
      <c r="C617" s="1" t="s">
        <v>142</v>
      </c>
      <c r="D617" s="1" t="s">
        <v>2850</v>
      </c>
      <c r="E617" s="1" t="s">
        <v>144</v>
      </c>
      <c r="F617" s="1" t="s">
        <v>142</v>
      </c>
      <c r="G617" s="1"/>
    </row>
    <row r="618">
      <c r="A618" s="1" t="s">
        <v>2851</v>
      </c>
      <c r="B618" s="1" t="s">
        <v>142</v>
      </c>
      <c r="C618" s="1" t="s">
        <v>142</v>
      </c>
      <c r="D618" s="1" t="s">
        <v>2852</v>
      </c>
      <c r="E618" s="1" t="s">
        <v>144</v>
      </c>
      <c r="F618" s="1" t="s">
        <v>142</v>
      </c>
      <c r="G618" s="1"/>
    </row>
    <row r="619">
      <c r="A619" s="1" t="s">
        <v>2853</v>
      </c>
      <c r="B619" s="1" t="s">
        <v>142</v>
      </c>
      <c r="C619" s="1" t="s">
        <v>142</v>
      </c>
      <c r="D619" s="1" t="s">
        <v>2854</v>
      </c>
      <c r="E619" s="1" t="s">
        <v>144</v>
      </c>
      <c r="F619" s="1" t="s">
        <v>142</v>
      </c>
      <c r="G619" s="1"/>
    </row>
    <row r="620">
      <c r="A620" s="1" t="s">
        <v>2856</v>
      </c>
      <c r="B620" s="1" t="s">
        <v>142</v>
      </c>
      <c r="C620" s="1" t="s">
        <v>142</v>
      </c>
      <c r="D620" s="1" t="s">
        <v>2857</v>
      </c>
      <c r="E620" s="1" t="s">
        <v>144</v>
      </c>
      <c r="F620" s="1" t="s">
        <v>142</v>
      </c>
      <c r="G620" s="1"/>
    </row>
    <row r="621">
      <c r="A621" s="1" t="s">
        <v>2858</v>
      </c>
      <c r="B621" s="1" t="s">
        <v>142</v>
      </c>
      <c r="C621" s="1" t="s">
        <v>142</v>
      </c>
      <c r="D621" s="1" t="s">
        <v>2859</v>
      </c>
      <c r="E621" s="1" t="s">
        <v>144</v>
      </c>
      <c r="F621" s="1" t="s">
        <v>142</v>
      </c>
      <c r="G621" s="1"/>
    </row>
    <row r="622">
      <c r="A622" s="1" t="s">
        <v>2873</v>
      </c>
      <c r="B622" s="1" t="s">
        <v>142</v>
      </c>
      <c r="C622" s="1" t="s">
        <v>142</v>
      </c>
      <c r="D622" s="1" t="s">
        <v>2874</v>
      </c>
      <c r="E622" s="1" t="s">
        <v>144</v>
      </c>
      <c r="F622" s="1" t="s">
        <v>142</v>
      </c>
      <c r="G622" s="1"/>
    </row>
    <row r="623">
      <c r="A623" s="1" t="s">
        <v>2875</v>
      </c>
      <c r="B623" s="1" t="s">
        <v>142</v>
      </c>
      <c r="C623" s="1" t="s">
        <v>142</v>
      </c>
      <c r="D623" s="1" t="s">
        <v>2876</v>
      </c>
      <c r="E623" s="1" t="s">
        <v>144</v>
      </c>
      <c r="F623" s="1" t="s">
        <v>142</v>
      </c>
      <c r="G623" s="1"/>
    </row>
    <row r="624">
      <c r="A624" s="1" t="s">
        <v>2877</v>
      </c>
      <c r="B624" s="1" t="s">
        <v>142</v>
      </c>
      <c r="C624" s="1" t="s">
        <v>142</v>
      </c>
      <c r="D624" s="1" t="s">
        <v>2878</v>
      </c>
      <c r="E624" s="1" t="s">
        <v>144</v>
      </c>
      <c r="F624" s="1" t="s">
        <v>142</v>
      </c>
      <c r="G624" s="1"/>
    </row>
    <row r="625">
      <c r="A625" s="1" t="s">
        <v>2879</v>
      </c>
      <c r="B625" s="1" t="s">
        <v>142</v>
      </c>
      <c r="C625" s="1" t="s">
        <v>142</v>
      </c>
      <c r="D625" s="1" t="s">
        <v>2880</v>
      </c>
      <c r="E625" s="1" t="s">
        <v>144</v>
      </c>
      <c r="F625" s="1" t="s">
        <v>142</v>
      </c>
      <c r="G625" s="1"/>
    </row>
    <row r="626">
      <c r="A626" s="1" t="s">
        <v>2881</v>
      </c>
      <c r="B626" s="1" t="s">
        <v>142</v>
      </c>
      <c r="C626" s="1" t="s">
        <v>142</v>
      </c>
      <c r="D626" s="1" t="s">
        <v>2882</v>
      </c>
      <c r="E626" s="1" t="s">
        <v>144</v>
      </c>
      <c r="F626" s="1" t="s">
        <v>142</v>
      </c>
      <c r="G626" s="1"/>
    </row>
    <row r="627">
      <c r="A627" s="1" t="s">
        <v>2883</v>
      </c>
      <c r="B627" s="1" t="s">
        <v>142</v>
      </c>
      <c r="C627" s="1" t="s">
        <v>142</v>
      </c>
      <c r="D627" s="1" t="s">
        <v>2884</v>
      </c>
      <c r="E627" s="1" t="s">
        <v>144</v>
      </c>
      <c r="F627" s="1" t="s">
        <v>142</v>
      </c>
      <c r="G627" s="1"/>
    </row>
    <row r="628">
      <c r="A628" s="1" t="s">
        <v>2885</v>
      </c>
      <c r="B628" s="1" t="s">
        <v>142</v>
      </c>
      <c r="C628" s="1" t="s">
        <v>142</v>
      </c>
      <c r="D628" s="1" t="s">
        <v>2886</v>
      </c>
      <c r="E628" s="1" t="s">
        <v>144</v>
      </c>
      <c r="F628" s="1" t="s">
        <v>142</v>
      </c>
      <c r="G628" s="1"/>
    </row>
    <row r="629">
      <c r="A629" s="1" t="s">
        <v>2887</v>
      </c>
      <c r="B629" s="1" t="s">
        <v>142</v>
      </c>
      <c r="C629" s="1" t="s">
        <v>142</v>
      </c>
      <c r="D629" s="1" t="s">
        <v>2888</v>
      </c>
      <c r="E629" s="1" t="s">
        <v>144</v>
      </c>
      <c r="F629" s="1" t="s">
        <v>142</v>
      </c>
      <c r="G629" s="1"/>
    </row>
    <row r="630">
      <c r="A630" s="1" t="s">
        <v>2889</v>
      </c>
      <c r="B630" s="1" t="s">
        <v>142</v>
      </c>
      <c r="C630" s="1" t="s">
        <v>142</v>
      </c>
      <c r="D630" s="1" t="s">
        <v>2890</v>
      </c>
      <c r="E630" s="1" t="s">
        <v>144</v>
      </c>
      <c r="F630" s="1" t="s">
        <v>142</v>
      </c>
      <c r="G630" s="1"/>
    </row>
    <row r="631">
      <c r="A631" s="1" t="s">
        <v>808</v>
      </c>
      <c r="B631" s="1" t="s">
        <v>142</v>
      </c>
      <c r="C631" s="1" t="s">
        <v>142</v>
      </c>
      <c r="D631" s="1" t="s">
        <v>2891</v>
      </c>
      <c r="E631" s="1" t="s">
        <v>144</v>
      </c>
      <c r="F631" s="1" t="s">
        <v>142</v>
      </c>
      <c r="G631" s="1"/>
    </row>
    <row r="632">
      <c r="A632" s="1" t="s">
        <v>2892</v>
      </c>
      <c r="B632" s="1" t="s">
        <v>142</v>
      </c>
      <c r="C632" s="1" t="s">
        <v>142</v>
      </c>
      <c r="D632" s="1" t="s">
        <v>2893</v>
      </c>
      <c r="E632" s="1" t="s">
        <v>144</v>
      </c>
      <c r="F632" s="1" t="s">
        <v>142</v>
      </c>
      <c r="G632" s="1"/>
    </row>
    <row r="633">
      <c r="A633" s="1" t="s">
        <v>2894</v>
      </c>
      <c r="B633" s="1" t="s">
        <v>142</v>
      </c>
      <c r="C633" s="1" t="s">
        <v>142</v>
      </c>
      <c r="D633" s="1" t="s">
        <v>2895</v>
      </c>
      <c r="E633" s="1" t="s">
        <v>144</v>
      </c>
      <c r="F633" s="1" t="s">
        <v>142</v>
      </c>
      <c r="G633" s="1"/>
    </row>
    <row r="634">
      <c r="A634" s="1" t="s">
        <v>2896</v>
      </c>
      <c r="B634" s="1" t="s">
        <v>142</v>
      </c>
      <c r="C634" s="1" t="s">
        <v>142</v>
      </c>
      <c r="D634" s="1" t="s">
        <v>2897</v>
      </c>
      <c r="E634" s="1" t="s">
        <v>144</v>
      </c>
      <c r="F634" s="1" t="s">
        <v>142</v>
      </c>
      <c r="G634" s="1"/>
    </row>
    <row r="635">
      <c r="A635" s="1" t="s">
        <v>2899</v>
      </c>
      <c r="B635" s="1" t="s">
        <v>142</v>
      </c>
      <c r="C635" s="1" t="s">
        <v>142</v>
      </c>
      <c r="D635" s="1" t="s">
        <v>2900</v>
      </c>
      <c r="E635" s="1" t="s">
        <v>144</v>
      </c>
      <c r="F635" s="1" t="s">
        <v>142</v>
      </c>
      <c r="G635" s="1"/>
    </row>
    <row r="636">
      <c r="A636" s="1" t="s">
        <v>2901</v>
      </c>
      <c r="B636" s="1" t="s">
        <v>142</v>
      </c>
      <c r="C636" s="1" t="s">
        <v>142</v>
      </c>
      <c r="D636" s="1" t="s">
        <v>2902</v>
      </c>
      <c r="E636" s="1" t="s">
        <v>144</v>
      </c>
      <c r="F636" s="1" t="s">
        <v>142</v>
      </c>
      <c r="G636" s="1"/>
    </row>
    <row r="637">
      <c r="A637" s="1" t="s">
        <v>2903</v>
      </c>
      <c r="B637" s="1" t="s">
        <v>142</v>
      </c>
      <c r="C637" s="1" t="s">
        <v>142</v>
      </c>
      <c r="D637" s="1" t="s">
        <v>2904</v>
      </c>
      <c r="E637" s="1" t="s">
        <v>144</v>
      </c>
      <c r="F637" s="1" t="s">
        <v>142</v>
      </c>
      <c r="G637" s="1"/>
    </row>
    <row r="638">
      <c r="A638" s="1" t="s">
        <v>2905</v>
      </c>
      <c r="B638" s="1" t="s">
        <v>142</v>
      </c>
      <c r="C638" s="1" t="s">
        <v>142</v>
      </c>
      <c r="D638" s="1" t="s">
        <v>2906</v>
      </c>
      <c r="E638" s="1" t="s">
        <v>144</v>
      </c>
      <c r="F638" s="1" t="s">
        <v>142</v>
      </c>
      <c r="G638" s="1"/>
    </row>
    <row r="639">
      <c r="A639" s="1" t="s">
        <v>2907</v>
      </c>
      <c r="B639" s="1" t="s">
        <v>142</v>
      </c>
      <c r="C639" s="1" t="s">
        <v>142</v>
      </c>
      <c r="D639" s="1" t="s">
        <v>2908</v>
      </c>
      <c r="E639" s="1" t="s">
        <v>144</v>
      </c>
      <c r="F639" s="1" t="s">
        <v>142</v>
      </c>
      <c r="G639" s="1"/>
    </row>
    <row r="640">
      <c r="A640" s="1" t="s">
        <v>2909</v>
      </c>
      <c r="B640" s="1" t="s">
        <v>142</v>
      </c>
      <c r="C640" s="1" t="s">
        <v>142</v>
      </c>
      <c r="D640" s="1" t="s">
        <v>2910</v>
      </c>
      <c r="E640" s="1" t="s">
        <v>144</v>
      </c>
      <c r="F640" s="1" t="s">
        <v>142</v>
      </c>
      <c r="G640" s="1"/>
    </row>
    <row r="641">
      <c r="A641" s="1" t="s">
        <v>2911</v>
      </c>
      <c r="B641" s="1" t="s">
        <v>142</v>
      </c>
      <c r="C641" s="1" t="s">
        <v>142</v>
      </c>
      <c r="D641" s="1" t="s">
        <v>2912</v>
      </c>
      <c r="E641" s="1" t="s">
        <v>144</v>
      </c>
      <c r="F641" s="1" t="s">
        <v>142</v>
      </c>
      <c r="G641" s="1"/>
    </row>
    <row r="642">
      <c r="A642" s="1" t="s">
        <v>2913</v>
      </c>
      <c r="B642" s="1" t="s">
        <v>142</v>
      </c>
      <c r="C642" s="1" t="s">
        <v>142</v>
      </c>
      <c r="D642" s="1" t="s">
        <v>2914</v>
      </c>
      <c r="E642" s="1" t="s">
        <v>144</v>
      </c>
      <c r="F642" s="1" t="s">
        <v>142</v>
      </c>
      <c r="G642" s="1"/>
    </row>
    <row r="643">
      <c r="A643" s="1" t="s">
        <v>2915</v>
      </c>
      <c r="B643" s="1" t="s">
        <v>142</v>
      </c>
      <c r="C643" s="1" t="s">
        <v>142</v>
      </c>
      <c r="D643" s="1" t="s">
        <v>2916</v>
      </c>
      <c r="E643" s="1" t="s">
        <v>144</v>
      </c>
      <c r="F643" s="1" t="s">
        <v>142</v>
      </c>
      <c r="G643" s="1"/>
    </row>
    <row r="644">
      <c r="A644" s="1" t="s">
        <v>2917</v>
      </c>
      <c r="B644" s="1" t="s">
        <v>142</v>
      </c>
      <c r="C644" s="1" t="s">
        <v>142</v>
      </c>
      <c r="D644" s="1" t="s">
        <v>2918</v>
      </c>
      <c r="E644" s="1" t="s">
        <v>144</v>
      </c>
      <c r="F644" s="1" t="s">
        <v>142</v>
      </c>
      <c r="G644" s="1"/>
    </row>
    <row r="645">
      <c r="A645" s="1" t="s">
        <v>2919</v>
      </c>
      <c r="B645" s="1" t="s">
        <v>142</v>
      </c>
      <c r="C645" s="1" t="s">
        <v>142</v>
      </c>
      <c r="D645" s="1" t="s">
        <v>2920</v>
      </c>
      <c r="E645" s="1" t="s">
        <v>144</v>
      </c>
      <c r="F645" s="1" t="s">
        <v>142</v>
      </c>
      <c r="G645" s="1"/>
    </row>
    <row r="646">
      <c r="A646" s="1" t="s">
        <v>2921</v>
      </c>
      <c r="B646" s="1" t="s">
        <v>142</v>
      </c>
      <c r="C646" s="1" t="s">
        <v>142</v>
      </c>
      <c r="D646" s="1" t="s">
        <v>2922</v>
      </c>
      <c r="E646" s="1" t="s">
        <v>144</v>
      </c>
      <c r="F646" s="1" t="s">
        <v>142</v>
      </c>
      <c r="G646" s="1"/>
    </row>
    <row r="647">
      <c r="A647" s="1" t="s">
        <v>2923</v>
      </c>
      <c r="B647" s="1" t="s">
        <v>142</v>
      </c>
      <c r="C647" s="1" t="s">
        <v>142</v>
      </c>
      <c r="D647" s="1" t="s">
        <v>2924</v>
      </c>
      <c r="E647" s="1" t="s">
        <v>144</v>
      </c>
      <c r="F647" s="1" t="s">
        <v>142</v>
      </c>
      <c r="G647" s="1"/>
    </row>
    <row r="648">
      <c r="A648" s="1" t="s">
        <v>2925</v>
      </c>
      <c r="B648" s="1" t="s">
        <v>142</v>
      </c>
      <c r="C648" s="1" t="s">
        <v>142</v>
      </c>
      <c r="D648" s="1" t="s">
        <v>2926</v>
      </c>
      <c r="E648" s="1" t="s">
        <v>144</v>
      </c>
      <c r="F648" s="1" t="s">
        <v>142</v>
      </c>
      <c r="G648" s="1"/>
    </row>
    <row r="649">
      <c r="A649" s="1" t="s">
        <v>2927</v>
      </c>
      <c r="B649" s="1" t="s">
        <v>142</v>
      </c>
      <c r="C649" s="1" t="s">
        <v>142</v>
      </c>
      <c r="D649" s="1" t="s">
        <v>2928</v>
      </c>
      <c r="E649" s="1" t="s">
        <v>144</v>
      </c>
      <c r="F649" s="1" t="s">
        <v>142</v>
      </c>
      <c r="G649" s="1"/>
    </row>
    <row r="650">
      <c r="A650" s="1" t="s">
        <v>2929</v>
      </c>
      <c r="B650" s="1" t="s">
        <v>142</v>
      </c>
      <c r="C650" s="1" t="s">
        <v>142</v>
      </c>
      <c r="D650" s="1" t="s">
        <v>2930</v>
      </c>
      <c r="E650" s="1" t="s">
        <v>144</v>
      </c>
      <c r="F650" s="1" t="s">
        <v>142</v>
      </c>
      <c r="G650" s="1"/>
    </row>
    <row r="651">
      <c r="A651" s="1" t="s">
        <v>2931</v>
      </c>
      <c r="B651" s="1" t="s">
        <v>142</v>
      </c>
      <c r="C651" s="1" t="s">
        <v>142</v>
      </c>
      <c r="D651" s="1" t="s">
        <v>2932</v>
      </c>
      <c r="E651" s="1" t="s">
        <v>144</v>
      </c>
      <c r="F651" s="1" t="s">
        <v>142</v>
      </c>
      <c r="G651" s="1"/>
    </row>
    <row r="652">
      <c r="A652" s="1" t="s">
        <v>2933</v>
      </c>
      <c r="B652" s="1" t="s">
        <v>142</v>
      </c>
      <c r="C652" s="1" t="s">
        <v>142</v>
      </c>
      <c r="D652" s="1" t="s">
        <v>2934</v>
      </c>
      <c r="E652" s="1" t="s">
        <v>144</v>
      </c>
      <c r="F652" s="1" t="s">
        <v>142</v>
      </c>
      <c r="G652" s="1"/>
    </row>
    <row r="653">
      <c r="A653" s="1" t="s">
        <v>2935</v>
      </c>
      <c r="B653" s="1" t="s">
        <v>142</v>
      </c>
      <c r="C653" s="1" t="s">
        <v>142</v>
      </c>
      <c r="D653" s="1" t="s">
        <v>2936</v>
      </c>
      <c r="E653" s="1" t="s">
        <v>144</v>
      </c>
      <c r="F653" s="1" t="s">
        <v>142</v>
      </c>
      <c r="G653" s="1"/>
    </row>
    <row r="654">
      <c r="A654" s="1" t="s">
        <v>2937</v>
      </c>
      <c r="B654" s="1" t="s">
        <v>142</v>
      </c>
      <c r="C654" s="1" t="s">
        <v>142</v>
      </c>
      <c r="D654" s="1" t="s">
        <v>2938</v>
      </c>
      <c r="E654" s="1" t="s">
        <v>144</v>
      </c>
      <c r="F654" s="1" t="s">
        <v>142</v>
      </c>
      <c r="G654" s="1"/>
    </row>
    <row r="655">
      <c r="A655" s="1" t="s">
        <v>2939</v>
      </c>
      <c r="B655" s="1" t="s">
        <v>2940</v>
      </c>
      <c r="C655" s="1" t="s">
        <v>2941</v>
      </c>
      <c r="D655" s="1" t="s">
        <v>2942</v>
      </c>
      <c r="E655" s="1" t="s">
        <v>144</v>
      </c>
      <c r="F655" s="1" t="s">
        <v>142</v>
      </c>
      <c r="G655" s="1"/>
    </row>
    <row r="656">
      <c r="A656" s="1" t="s">
        <v>2943</v>
      </c>
      <c r="B656" s="1" t="s">
        <v>142</v>
      </c>
      <c r="C656" s="1" t="s">
        <v>142</v>
      </c>
      <c r="D656" s="1" t="s">
        <v>2944</v>
      </c>
      <c r="E656" s="1" t="s">
        <v>144</v>
      </c>
      <c r="F656" s="1" t="s">
        <v>142</v>
      </c>
      <c r="G656" s="1"/>
    </row>
    <row r="657">
      <c r="A657" s="1" t="s">
        <v>2945</v>
      </c>
      <c r="B657" s="1" t="s">
        <v>142</v>
      </c>
      <c r="C657" s="1" t="s">
        <v>142</v>
      </c>
      <c r="D657" s="1" t="s">
        <v>2946</v>
      </c>
      <c r="E657" s="1" t="s">
        <v>144</v>
      </c>
      <c r="F657" s="1" t="s">
        <v>142</v>
      </c>
      <c r="G657" s="1"/>
    </row>
    <row r="658">
      <c r="A658" s="1" t="s">
        <v>2947</v>
      </c>
      <c r="B658" s="1" t="s">
        <v>142</v>
      </c>
      <c r="C658" s="1" t="s">
        <v>142</v>
      </c>
      <c r="D658" s="1" t="s">
        <v>2948</v>
      </c>
      <c r="E658" s="1" t="s">
        <v>144</v>
      </c>
      <c r="F658" s="1" t="s">
        <v>142</v>
      </c>
      <c r="G658" s="1"/>
    </row>
    <row r="659">
      <c r="A659" s="1" t="s">
        <v>2949</v>
      </c>
      <c r="B659" s="1" t="s">
        <v>142</v>
      </c>
      <c r="C659" s="1" t="s">
        <v>142</v>
      </c>
      <c r="D659" s="1" t="s">
        <v>2950</v>
      </c>
      <c r="E659" s="1" t="s">
        <v>144</v>
      </c>
      <c r="F659" s="1" t="s">
        <v>142</v>
      </c>
      <c r="G659" s="1"/>
    </row>
    <row r="660">
      <c r="A660" s="1" t="s">
        <v>2951</v>
      </c>
      <c r="B660" s="1" t="s">
        <v>142</v>
      </c>
      <c r="C660" s="1" t="s">
        <v>142</v>
      </c>
      <c r="D660" s="1" t="s">
        <v>2952</v>
      </c>
      <c r="E660" s="1" t="s">
        <v>144</v>
      </c>
      <c r="F660" s="1" t="s">
        <v>142</v>
      </c>
      <c r="G660" s="1"/>
    </row>
    <row r="661">
      <c r="A661" s="1" t="s">
        <v>2953</v>
      </c>
      <c r="B661" s="1" t="s">
        <v>142</v>
      </c>
      <c r="C661" s="1" t="s">
        <v>142</v>
      </c>
      <c r="D661" s="1" t="s">
        <v>2954</v>
      </c>
      <c r="E661" s="1" t="s">
        <v>144</v>
      </c>
      <c r="F661" s="1" t="s">
        <v>142</v>
      </c>
      <c r="G661" s="1"/>
    </row>
    <row r="662">
      <c r="A662" s="1" t="s">
        <v>2955</v>
      </c>
      <c r="B662" s="1" t="s">
        <v>142</v>
      </c>
      <c r="C662" s="1" t="s">
        <v>142</v>
      </c>
      <c r="D662" s="1" t="s">
        <v>2956</v>
      </c>
      <c r="E662" s="1" t="s">
        <v>144</v>
      </c>
      <c r="F662" s="1" t="s">
        <v>142</v>
      </c>
      <c r="G662" s="1"/>
    </row>
    <row r="663">
      <c r="A663" s="1" t="s">
        <v>2957</v>
      </c>
      <c r="B663" s="1" t="s">
        <v>142</v>
      </c>
      <c r="C663" s="1" t="s">
        <v>142</v>
      </c>
      <c r="D663" s="1" t="s">
        <v>2958</v>
      </c>
      <c r="E663" s="1" t="s">
        <v>144</v>
      </c>
      <c r="F663" s="1" t="s">
        <v>142</v>
      </c>
      <c r="G663" s="1"/>
    </row>
    <row r="664">
      <c r="A664" s="1" t="s">
        <v>2959</v>
      </c>
      <c r="B664" s="1" t="s">
        <v>142</v>
      </c>
      <c r="C664" s="1" t="s">
        <v>142</v>
      </c>
      <c r="D664" s="1" t="s">
        <v>2960</v>
      </c>
      <c r="E664" s="1" t="s">
        <v>144</v>
      </c>
      <c r="F664" s="1" t="s">
        <v>142</v>
      </c>
      <c r="G664" s="1"/>
    </row>
    <row r="665">
      <c r="A665" s="1" t="s">
        <v>2961</v>
      </c>
      <c r="B665" s="1" t="s">
        <v>142</v>
      </c>
      <c r="C665" s="1" t="s">
        <v>142</v>
      </c>
      <c r="D665" s="1" t="s">
        <v>2962</v>
      </c>
      <c r="E665" s="1" t="s">
        <v>144</v>
      </c>
      <c r="F665" s="1" t="s">
        <v>142</v>
      </c>
      <c r="G665" s="1"/>
    </row>
    <row r="666">
      <c r="A666" s="1" t="s">
        <v>2963</v>
      </c>
      <c r="B666" s="1" t="s">
        <v>142</v>
      </c>
      <c r="C666" s="1" t="s">
        <v>142</v>
      </c>
      <c r="D666" s="1" t="s">
        <v>2964</v>
      </c>
      <c r="E666" s="1" t="s">
        <v>144</v>
      </c>
      <c r="F666" s="1" t="s">
        <v>142</v>
      </c>
      <c r="G666" s="1"/>
    </row>
    <row r="667">
      <c r="A667" s="1" t="s">
        <v>2965</v>
      </c>
      <c r="B667" s="1" t="s">
        <v>142</v>
      </c>
      <c r="C667" s="1" t="s">
        <v>142</v>
      </c>
      <c r="D667" s="1" t="s">
        <v>2966</v>
      </c>
      <c r="E667" s="1" t="s">
        <v>144</v>
      </c>
      <c r="F667" s="1" t="s">
        <v>142</v>
      </c>
      <c r="G667" s="1"/>
    </row>
    <row r="668">
      <c r="A668" s="1" t="s">
        <v>2967</v>
      </c>
      <c r="B668" s="1" t="s">
        <v>142</v>
      </c>
      <c r="C668" s="1" t="s">
        <v>142</v>
      </c>
      <c r="D668" s="1" t="s">
        <v>2968</v>
      </c>
      <c r="E668" s="1" t="s">
        <v>144</v>
      </c>
      <c r="F668" s="1" t="s">
        <v>142</v>
      </c>
      <c r="G668" s="1"/>
    </row>
    <row r="669">
      <c r="A669" s="1" t="s">
        <v>2969</v>
      </c>
      <c r="B669" s="1" t="s">
        <v>142</v>
      </c>
      <c r="C669" s="1" t="s">
        <v>142</v>
      </c>
      <c r="D669" s="1" t="s">
        <v>2970</v>
      </c>
      <c r="E669" s="1" t="s">
        <v>144</v>
      </c>
      <c r="F669" s="1" t="s">
        <v>142</v>
      </c>
      <c r="G669" s="1"/>
    </row>
    <row r="670">
      <c r="A670" s="1" t="s">
        <v>2971</v>
      </c>
      <c r="B670" s="1" t="s">
        <v>142</v>
      </c>
      <c r="C670" s="1" t="s">
        <v>142</v>
      </c>
      <c r="D670" s="1" t="s">
        <v>2972</v>
      </c>
      <c r="E670" s="1" t="s">
        <v>144</v>
      </c>
      <c r="F670" s="1" t="s">
        <v>142</v>
      </c>
      <c r="G670" s="1"/>
    </row>
    <row r="671">
      <c r="A671" s="1" t="s">
        <v>2973</v>
      </c>
      <c r="B671" s="1" t="s">
        <v>142</v>
      </c>
      <c r="C671" s="1" t="s">
        <v>142</v>
      </c>
      <c r="D671" s="1" t="s">
        <v>2974</v>
      </c>
      <c r="E671" s="1" t="s">
        <v>144</v>
      </c>
      <c r="F671" s="1" t="s">
        <v>142</v>
      </c>
      <c r="G671" s="1"/>
    </row>
    <row r="672">
      <c r="A672" s="1" t="s">
        <v>2975</v>
      </c>
      <c r="B672" s="1" t="s">
        <v>142</v>
      </c>
      <c r="C672" s="1" t="s">
        <v>142</v>
      </c>
      <c r="D672" s="1" t="s">
        <v>2976</v>
      </c>
      <c r="E672" s="1" t="s">
        <v>144</v>
      </c>
      <c r="F672" s="1" t="s">
        <v>142</v>
      </c>
      <c r="G672" s="1"/>
    </row>
    <row r="673">
      <c r="A673" s="1" t="s">
        <v>2977</v>
      </c>
      <c r="B673" s="1" t="s">
        <v>142</v>
      </c>
      <c r="C673" s="1" t="s">
        <v>142</v>
      </c>
      <c r="D673" s="1" t="s">
        <v>2978</v>
      </c>
      <c r="E673" s="1" t="s">
        <v>144</v>
      </c>
      <c r="F673" s="1" t="s">
        <v>142</v>
      </c>
      <c r="G673" s="1"/>
    </row>
    <row r="674">
      <c r="A674" s="1" t="s">
        <v>2979</v>
      </c>
      <c r="B674" s="1" t="s">
        <v>142</v>
      </c>
      <c r="C674" s="1" t="s">
        <v>142</v>
      </c>
      <c r="D674" s="1" t="s">
        <v>2980</v>
      </c>
      <c r="E674" s="1" t="s">
        <v>144</v>
      </c>
      <c r="F674" s="1" t="s">
        <v>142</v>
      </c>
      <c r="G674" s="1"/>
    </row>
    <row r="675">
      <c r="A675" s="1" t="s">
        <v>2981</v>
      </c>
      <c r="B675" s="1" t="s">
        <v>142</v>
      </c>
      <c r="C675" s="1" t="s">
        <v>142</v>
      </c>
      <c r="D675" s="1" t="s">
        <v>2982</v>
      </c>
      <c r="E675" s="1" t="s">
        <v>144</v>
      </c>
      <c r="F675" s="1" t="s">
        <v>142</v>
      </c>
      <c r="G675" s="1"/>
    </row>
    <row r="676">
      <c r="A676" s="1" t="s">
        <v>2983</v>
      </c>
      <c r="B676" s="1" t="s">
        <v>142</v>
      </c>
      <c r="C676" s="1" t="s">
        <v>142</v>
      </c>
      <c r="D676" s="1" t="s">
        <v>2984</v>
      </c>
      <c r="E676" s="1" t="s">
        <v>144</v>
      </c>
      <c r="F676" s="1" t="s">
        <v>142</v>
      </c>
      <c r="G676" s="1"/>
    </row>
    <row r="677">
      <c r="A677" s="1" t="s">
        <v>2985</v>
      </c>
      <c r="B677" s="1" t="s">
        <v>142</v>
      </c>
      <c r="C677" s="1" t="s">
        <v>142</v>
      </c>
      <c r="D677" s="1" t="s">
        <v>2986</v>
      </c>
      <c r="E677" s="1" t="s">
        <v>144</v>
      </c>
      <c r="F677" s="1" t="s">
        <v>142</v>
      </c>
      <c r="G677" s="1"/>
    </row>
    <row r="678">
      <c r="A678" s="1" t="s">
        <v>2987</v>
      </c>
      <c r="B678" s="1" t="s">
        <v>142</v>
      </c>
      <c r="C678" s="1" t="s">
        <v>142</v>
      </c>
      <c r="D678" s="1" t="s">
        <v>2988</v>
      </c>
      <c r="E678" s="1" t="s">
        <v>144</v>
      </c>
      <c r="F678" s="1" t="s">
        <v>142</v>
      </c>
      <c r="G678" s="1"/>
    </row>
    <row r="679">
      <c r="A679" s="1" t="s">
        <v>2989</v>
      </c>
      <c r="B679" s="1" t="s">
        <v>142</v>
      </c>
      <c r="C679" s="1" t="s">
        <v>142</v>
      </c>
      <c r="D679" s="1" t="s">
        <v>2990</v>
      </c>
      <c r="E679" s="1" t="s">
        <v>144</v>
      </c>
      <c r="F679" s="1" t="s">
        <v>142</v>
      </c>
      <c r="G679" s="1"/>
    </row>
    <row r="680">
      <c r="A680" s="1" t="s">
        <v>2991</v>
      </c>
      <c r="B680" s="1" t="s">
        <v>142</v>
      </c>
      <c r="C680" s="1" t="s">
        <v>142</v>
      </c>
      <c r="D680" s="1" t="s">
        <v>2992</v>
      </c>
      <c r="E680" s="1" t="s">
        <v>144</v>
      </c>
      <c r="F680" s="1" t="s">
        <v>142</v>
      </c>
      <c r="G680" s="1"/>
    </row>
    <row r="681">
      <c r="A681" s="1" t="s">
        <v>2993</v>
      </c>
      <c r="B681" s="1" t="s">
        <v>142</v>
      </c>
      <c r="C681" s="1" t="s">
        <v>142</v>
      </c>
      <c r="D681" s="1" t="s">
        <v>2994</v>
      </c>
      <c r="E681" s="1" t="s">
        <v>144</v>
      </c>
      <c r="F681" s="1" t="s">
        <v>142</v>
      </c>
      <c r="G681" s="1"/>
    </row>
    <row r="682">
      <c r="A682" s="1" t="s">
        <v>2995</v>
      </c>
      <c r="B682" s="1" t="s">
        <v>142</v>
      </c>
      <c r="C682" s="1" t="s">
        <v>142</v>
      </c>
      <c r="D682" s="1" t="s">
        <v>2996</v>
      </c>
      <c r="E682" s="1" t="s">
        <v>144</v>
      </c>
      <c r="F682" s="1" t="s">
        <v>142</v>
      </c>
      <c r="G682" s="1"/>
    </row>
    <row r="683">
      <c r="A683" s="1" t="s">
        <v>2997</v>
      </c>
      <c r="B683" s="1" t="s">
        <v>142</v>
      </c>
      <c r="C683" s="1" t="s">
        <v>142</v>
      </c>
      <c r="D683" s="1" t="s">
        <v>2998</v>
      </c>
      <c r="E683" s="1" t="s">
        <v>144</v>
      </c>
      <c r="F683" s="1" t="s">
        <v>142</v>
      </c>
      <c r="G683" s="1"/>
    </row>
    <row r="684">
      <c r="A684" s="1" t="s">
        <v>2999</v>
      </c>
      <c r="B684" s="1" t="s">
        <v>142</v>
      </c>
      <c r="C684" s="1" t="s">
        <v>142</v>
      </c>
      <c r="D684" s="1" t="s">
        <v>3000</v>
      </c>
      <c r="E684" s="1" t="s">
        <v>144</v>
      </c>
      <c r="F684" s="1" t="s">
        <v>142</v>
      </c>
      <c r="G684" s="1"/>
    </row>
    <row r="685">
      <c r="A685" s="1" t="s">
        <v>3001</v>
      </c>
      <c r="B685" s="1" t="s">
        <v>142</v>
      </c>
      <c r="C685" s="1" t="s">
        <v>142</v>
      </c>
      <c r="D685" s="1" t="s">
        <v>3002</v>
      </c>
      <c r="E685" s="1" t="s">
        <v>144</v>
      </c>
      <c r="F685" s="1" t="s">
        <v>142</v>
      </c>
      <c r="G685" s="1"/>
    </row>
    <row r="686">
      <c r="A686" s="1" t="s">
        <v>3003</v>
      </c>
      <c r="B686" s="1" t="s">
        <v>142</v>
      </c>
      <c r="C686" s="1" t="s">
        <v>142</v>
      </c>
      <c r="D686" s="1" t="s">
        <v>3004</v>
      </c>
      <c r="E686" s="1" t="s">
        <v>144</v>
      </c>
      <c r="F686" s="1" t="s">
        <v>142</v>
      </c>
      <c r="G686" s="1"/>
    </row>
    <row r="687">
      <c r="A687" s="1" t="s">
        <v>3005</v>
      </c>
      <c r="B687" s="1" t="s">
        <v>142</v>
      </c>
      <c r="C687" s="1" t="s">
        <v>142</v>
      </c>
      <c r="D687" s="1" t="s">
        <v>3006</v>
      </c>
      <c r="E687" s="1" t="s">
        <v>144</v>
      </c>
      <c r="F687" s="1" t="s">
        <v>142</v>
      </c>
      <c r="G687" s="1"/>
    </row>
    <row r="688">
      <c r="A688" s="1" t="s">
        <v>3007</v>
      </c>
      <c r="B688" s="1" t="s">
        <v>142</v>
      </c>
      <c r="C688" s="1" t="s">
        <v>142</v>
      </c>
      <c r="D688" s="1" t="s">
        <v>3008</v>
      </c>
      <c r="E688" s="1" t="s">
        <v>144</v>
      </c>
      <c r="F688" s="1" t="s">
        <v>142</v>
      </c>
      <c r="G688" s="1"/>
    </row>
    <row r="689">
      <c r="A689" s="1" t="s">
        <v>3009</v>
      </c>
      <c r="B689" s="1" t="s">
        <v>142</v>
      </c>
      <c r="C689" s="1" t="s">
        <v>142</v>
      </c>
      <c r="D689" s="1" t="s">
        <v>3010</v>
      </c>
      <c r="E689" s="1" t="s">
        <v>144</v>
      </c>
      <c r="F689" s="1" t="s">
        <v>142</v>
      </c>
      <c r="G689" s="1"/>
    </row>
    <row r="690">
      <c r="A690" s="1" t="s">
        <v>3011</v>
      </c>
      <c r="B690" s="1" t="s">
        <v>142</v>
      </c>
      <c r="C690" s="1" t="s">
        <v>142</v>
      </c>
      <c r="D690" s="1" t="s">
        <v>3012</v>
      </c>
      <c r="E690" s="1" t="s">
        <v>144</v>
      </c>
      <c r="F690" s="1" t="s">
        <v>142</v>
      </c>
      <c r="G690" s="1"/>
    </row>
    <row r="691">
      <c r="A691" s="1" t="s">
        <v>3013</v>
      </c>
      <c r="B691" s="1" t="s">
        <v>142</v>
      </c>
      <c r="C691" s="1" t="s">
        <v>142</v>
      </c>
      <c r="D691" s="1" t="s">
        <v>3014</v>
      </c>
      <c r="E691" s="1" t="s">
        <v>144</v>
      </c>
      <c r="F691" s="1" t="s">
        <v>142</v>
      </c>
      <c r="G691" s="1"/>
    </row>
    <row r="692">
      <c r="A692" s="1" t="s">
        <v>3016</v>
      </c>
      <c r="B692" s="1" t="s">
        <v>142</v>
      </c>
      <c r="C692" s="1" t="s">
        <v>142</v>
      </c>
      <c r="D692" s="1" t="s">
        <v>3017</v>
      </c>
      <c r="E692" s="1" t="s">
        <v>144</v>
      </c>
      <c r="F692" s="1" t="s">
        <v>142</v>
      </c>
      <c r="G692" s="1"/>
    </row>
    <row r="693">
      <c r="A693" s="1" t="s">
        <v>3018</v>
      </c>
      <c r="B693" s="1" t="s">
        <v>142</v>
      </c>
      <c r="C693" s="1" t="s">
        <v>142</v>
      </c>
      <c r="D693" s="1" t="s">
        <v>3019</v>
      </c>
      <c r="E693" s="1" t="s">
        <v>144</v>
      </c>
      <c r="F693" s="1" t="s">
        <v>142</v>
      </c>
      <c r="G693" s="1"/>
    </row>
    <row r="694">
      <c r="A694" s="1" t="s">
        <v>3020</v>
      </c>
      <c r="B694" s="1" t="s">
        <v>142</v>
      </c>
      <c r="C694" s="1" t="s">
        <v>142</v>
      </c>
      <c r="D694" s="1" t="s">
        <v>3021</v>
      </c>
      <c r="E694" s="1" t="s">
        <v>144</v>
      </c>
      <c r="F694" s="1" t="s">
        <v>142</v>
      </c>
      <c r="G694" s="1"/>
    </row>
    <row r="695">
      <c r="A695" s="1" t="s">
        <v>3022</v>
      </c>
      <c r="B695" s="1" t="s">
        <v>142</v>
      </c>
      <c r="C695" s="1" t="s">
        <v>142</v>
      </c>
      <c r="D695" s="1" t="s">
        <v>3023</v>
      </c>
      <c r="E695" s="1" t="s">
        <v>144</v>
      </c>
      <c r="F695" s="1" t="s">
        <v>142</v>
      </c>
      <c r="G695" s="1"/>
    </row>
    <row r="696">
      <c r="A696" s="1" t="s">
        <v>3025</v>
      </c>
      <c r="B696" s="1" t="s">
        <v>142</v>
      </c>
      <c r="C696" s="1" t="s">
        <v>142</v>
      </c>
      <c r="D696" s="1" t="s">
        <v>3026</v>
      </c>
      <c r="E696" s="1" t="s">
        <v>144</v>
      </c>
      <c r="F696" s="1" t="s">
        <v>142</v>
      </c>
      <c r="G696" s="1"/>
    </row>
    <row r="697">
      <c r="A697" s="1" t="s">
        <v>3027</v>
      </c>
      <c r="B697" s="1" t="s">
        <v>142</v>
      </c>
      <c r="C697" s="1" t="s">
        <v>142</v>
      </c>
      <c r="D697" s="1" t="s">
        <v>3028</v>
      </c>
      <c r="E697" s="1" t="s">
        <v>144</v>
      </c>
      <c r="F697" s="1" t="s">
        <v>142</v>
      </c>
      <c r="G697" s="1"/>
    </row>
    <row r="698">
      <c r="A698" s="1" t="s">
        <v>3029</v>
      </c>
      <c r="B698" s="1" t="s">
        <v>142</v>
      </c>
      <c r="C698" s="1" t="s">
        <v>142</v>
      </c>
      <c r="D698" s="1" t="s">
        <v>3030</v>
      </c>
      <c r="E698" s="1" t="s">
        <v>144</v>
      </c>
      <c r="F698" s="1" t="s">
        <v>142</v>
      </c>
      <c r="G698" s="1"/>
    </row>
    <row r="699">
      <c r="A699" s="1" t="s">
        <v>3031</v>
      </c>
      <c r="B699" s="1" t="s">
        <v>142</v>
      </c>
      <c r="C699" s="1" t="s">
        <v>142</v>
      </c>
      <c r="D699" s="1" t="s">
        <v>3032</v>
      </c>
      <c r="E699" s="1" t="s">
        <v>144</v>
      </c>
      <c r="F699" s="1" t="s">
        <v>142</v>
      </c>
      <c r="G699" s="1"/>
    </row>
    <row r="700">
      <c r="A700" s="1" t="s">
        <v>3033</v>
      </c>
      <c r="B700" s="1" t="s">
        <v>142</v>
      </c>
      <c r="C700" s="1" t="s">
        <v>142</v>
      </c>
      <c r="D700" s="1" t="s">
        <v>3034</v>
      </c>
      <c r="E700" s="1" t="s">
        <v>144</v>
      </c>
      <c r="F700" s="1" t="s">
        <v>142</v>
      </c>
      <c r="G700" s="1"/>
    </row>
    <row r="701">
      <c r="A701" s="1" t="s">
        <v>3035</v>
      </c>
      <c r="B701" s="1" t="s">
        <v>142</v>
      </c>
      <c r="C701" s="1" t="s">
        <v>142</v>
      </c>
      <c r="D701" s="1" t="s">
        <v>3037</v>
      </c>
      <c r="E701" s="1" t="s">
        <v>144</v>
      </c>
      <c r="F701" s="1" t="s">
        <v>142</v>
      </c>
      <c r="G701" s="1"/>
    </row>
    <row r="702">
      <c r="A702" s="1" t="s">
        <v>3038</v>
      </c>
      <c r="B702" s="1" t="s">
        <v>142</v>
      </c>
      <c r="C702" s="1" t="s">
        <v>142</v>
      </c>
      <c r="D702" s="1" t="s">
        <v>3039</v>
      </c>
      <c r="E702" s="1" t="s">
        <v>144</v>
      </c>
      <c r="F702" s="1" t="s">
        <v>142</v>
      </c>
      <c r="G702" s="1"/>
    </row>
    <row r="703">
      <c r="A703" s="1" t="s">
        <v>3040</v>
      </c>
      <c r="B703" s="1" t="s">
        <v>142</v>
      </c>
      <c r="C703" s="1" t="s">
        <v>142</v>
      </c>
      <c r="D703" s="1" t="s">
        <v>3041</v>
      </c>
      <c r="E703" s="1" t="s">
        <v>144</v>
      </c>
      <c r="F703" s="1" t="s">
        <v>142</v>
      </c>
      <c r="G703" s="1"/>
    </row>
    <row r="704">
      <c r="A704" s="1" t="s">
        <v>3042</v>
      </c>
      <c r="B704" s="1" t="s">
        <v>142</v>
      </c>
      <c r="C704" s="1" t="s">
        <v>142</v>
      </c>
      <c r="D704" s="1" t="s">
        <v>3044</v>
      </c>
      <c r="E704" s="1" t="s">
        <v>144</v>
      </c>
      <c r="F704" s="1" t="s">
        <v>142</v>
      </c>
      <c r="G704" s="1"/>
    </row>
    <row r="705">
      <c r="A705" s="1" t="s">
        <v>3045</v>
      </c>
      <c r="B705" s="1" t="s">
        <v>142</v>
      </c>
      <c r="C705" s="1" t="s">
        <v>142</v>
      </c>
      <c r="D705" s="1" t="s">
        <v>3046</v>
      </c>
      <c r="E705" s="1" t="s">
        <v>144</v>
      </c>
      <c r="F705" s="1" t="s">
        <v>142</v>
      </c>
      <c r="G705" s="1"/>
    </row>
    <row r="706">
      <c r="A706" s="1" t="s">
        <v>3048</v>
      </c>
      <c r="B706" s="1" t="s">
        <v>142</v>
      </c>
      <c r="C706" s="1" t="s">
        <v>142</v>
      </c>
      <c r="D706" s="1" t="s">
        <v>3049</v>
      </c>
      <c r="E706" s="1" t="s">
        <v>144</v>
      </c>
      <c r="F706" s="1" t="s">
        <v>142</v>
      </c>
      <c r="G706" s="1"/>
    </row>
    <row r="707">
      <c r="A707" s="1" t="s">
        <v>3050</v>
      </c>
      <c r="B707" s="1" t="s">
        <v>142</v>
      </c>
      <c r="C707" s="1" t="s">
        <v>142</v>
      </c>
      <c r="D707" s="1" t="s">
        <v>3051</v>
      </c>
      <c r="E707" s="1" t="s">
        <v>144</v>
      </c>
      <c r="F707" s="1" t="s">
        <v>142</v>
      </c>
      <c r="G707" s="1"/>
    </row>
    <row r="708">
      <c r="A708" s="1" t="s">
        <v>3052</v>
      </c>
      <c r="B708" s="1" t="s">
        <v>142</v>
      </c>
      <c r="C708" s="1" t="s">
        <v>142</v>
      </c>
      <c r="D708" s="1" t="s">
        <v>3053</v>
      </c>
      <c r="E708" s="1" t="s">
        <v>144</v>
      </c>
      <c r="F708" s="1" t="s">
        <v>142</v>
      </c>
      <c r="G708" s="1"/>
    </row>
    <row r="709">
      <c r="A709" s="1" t="s">
        <v>3054</v>
      </c>
      <c r="B709" s="1" t="s">
        <v>142</v>
      </c>
      <c r="C709" s="1" t="s">
        <v>142</v>
      </c>
      <c r="D709" s="1" t="s">
        <v>3055</v>
      </c>
      <c r="E709" s="1" t="s">
        <v>144</v>
      </c>
      <c r="F709" s="1" t="s">
        <v>142</v>
      </c>
      <c r="G709" s="1"/>
    </row>
    <row r="710">
      <c r="A710" s="1" t="s">
        <v>3056</v>
      </c>
      <c r="B710" s="1" t="s">
        <v>142</v>
      </c>
      <c r="C710" s="1" t="s">
        <v>142</v>
      </c>
      <c r="D710" s="1" t="s">
        <v>3057</v>
      </c>
      <c r="E710" s="1" t="s">
        <v>144</v>
      </c>
      <c r="F710" s="1" t="s">
        <v>142</v>
      </c>
      <c r="G710" s="1"/>
    </row>
    <row r="711">
      <c r="A711" s="1" t="s">
        <v>3058</v>
      </c>
      <c r="B711" s="1" t="s">
        <v>142</v>
      </c>
      <c r="C711" s="1" t="s">
        <v>142</v>
      </c>
      <c r="D711" s="1" t="s">
        <v>3059</v>
      </c>
      <c r="E711" s="1" t="s">
        <v>144</v>
      </c>
      <c r="F711" s="1" t="s">
        <v>142</v>
      </c>
      <c r="G711" s="1"/>
    </row>
    <row r="712">
      <c r="A712" s="1" t="s">
        <v>3060</v>
      </c>
      <c r="B712" s="1" t="s">
        <v>142</v>
      </c>
      <c r="C712" s="1" t="s">
        <v>142</v>
      </c>
      <c r="D712" s="1" t="s">
        <v>3061</v>
      </c>
      <c r="E712" s="1" t="s">
        <v>144</v>
      </c>
      <c r="F712" s="1" t="s">
        <v>142</v>
      </c>
      <c r="G712" s="1"/>
    </row>
    <row r="713">
      <c r="A713" s="1" t="s">
        <v>3062</v>
      </c>
      <c r="B713" s="1" t="s">
        <v>142</v>
      </c>
      <c r="C713" s="1" t="s">
        <v>142</v>
      </c>
      <c r="D713" s="1" t="s">
        <v>3063</v>
      </c>
      <c r="E713" s="1" t="s">
        <v>144</v>
      </c>
      <c r="F713" s="1" t="s">
        <v>142</v>
      </c>
      <c r="G713" s="1"/>
    </row>
    <row r="714">
      <c r="A714" s="1" t="s">
        <v>3064</v>
      </c>
      <c r="B714" s="1" t="s">
        <v>142</v>
      </c>
      <c r="C714" s="1" t="s">
        <v>142</v>
      </c>
      <c r="D714" s="1" t="s">
        <v>3065</v>
      </c>
      <c r="E714" s="1" t="s">
        <v>144</v>
      </c>
      <c r="F714" s="1" t="s">
        <v>142</v>
      </c>
      <c r="G714" s="1"/>
    </row>
    <row r="715">
      <c r="A715" s="1" t="s">
        <v>3066</v>
      </c>
      <c r="B715" s="1" t="s">
        <v>142</v>
      </c>
      <c r="C715" s="1" t="s">
        <v>142</v>
      </c>
      <c r="D715" s="1" t="s">
        <v>3067</v>
      </c>
      <c r="E715" s="1" t="s">
        <v>144</v>
      </c>
      <c r="F715" s="1" t="s">
        <v>142</v>
      </c>
      <c r="G715" s="1"/>
    </row>
    <row r="716">
      <c r="A716" s="1" t="s">
        <v>3068</v>
      </c>
      <c r="B716" s="1" t="s">
        <v>142</v>
      </c>
      <c r="C716" s="1" t="s">
        <v>142</v>
      </c>
      <c r="D716" s="1" t="s">
        <v>3069</v>
      </c>
      <c r="E716" s="1" t="s">
        <v>144</v>
      </c>
      <c r="F716" s="1" t="s">
        <v>142</v>
      </c>
      <c r="G716" s="1"/>
    </row>
    <row r="717">
      <c r="A717" s="1" t="s">
        <v>3070</v>
      </c>
      <c r="B717" s="1" t="s">
        <v>142</v>
      </c>
      <c r="C717" s="1" t="s">
        <v>142</v>
      </c>
      <c r="D717" s="1" t="s">
        <v>3071</v>
      </c>
      <c r="E717" s="1" t="s">
        <v>144</v>
      </c>
      <c r="F717" s="1" t="s">
        <v>142</v>
      </c>
      <c r="G717" s="1"/>
    </row>
    <row r="718">
      <c r="A718" s="1" t="s">
        <v>3072</v>
      </c>
      <c r="B718" s="1" t="s">
        <v>142</v>
      </c>
      <c r="C718" s="1" t="s">
        <v>142</v>
      </c>
      <c r="D718" s="1" t="s">
        <v>3073</v>
      </c>
      <c r="E718" s="1" t="s">
        <v>144</v>
      </c>
      <c r="F718" s="1" t="s">
        <v>142</v>
      </c>
      <c r="G718" s="1"/>
    </row>
    <row r="719">
      <c r="A719" s="1" t="s">
        <v>3074</v>
      </c>
      <c r="B719" s="1" t="s">
        <v>142</v>
      </c>
      <c r="C719" s="1" t="s">
        <v>142</v>
      </c>
      <c r="D719" s="1" t="s">
        <v>3075</v>
      </c>
      <c r="E719" s="1" t="s">
        <v>144</v>
      </c>
      <c r="F719" s="1" t="s">
        <v>142</v>
      </c>
      <c r="G719" s="1"/>
    </row>
    <row r="720">
      <c r="A720" s="1" t="s">
        <v>3076</v>
      </c>
      <c r="B720" s="1" t="s">
        <v>142</v>
      </c>
      <c r="C720" s="1" t="s">
        <v>142</v>
      </c>
      <c r="D720" s="1" t="s">
        <v>3077</v>
      </c>
      <c r="E720" s="1" t="s">
        <v>144</v>
      </c>
      <c r="F720" s="1" t="s">
        <v>142</v>
      </c>
      <c r="G720" s="1"/>
    </row>
    <row r="721">
      <c r="A721" s="1" t="s">
        <v>3078</v>
      </c>
      <c r="B721" s="1" t="s">
        <v>142</v>
      </c>
      <c r="C721" s="1" t="s">
        <v>142</v>
      </c>
      <c r="D721" s="1" t="s">
        <v>3079</v>
      </c>
      <c r="E721" s="1" t="s">
        <v>144</v>
      </c>
      <c r="F721" s="1" t="s">
        <v>142</v>
      </c>
      <c r="G721" s="1"/>
    </row>
    <row r="722">
      <c r="A722" s="1" t="s">
        <v>3081</v>
      </c>
      <c r="B722" s="1" t="s">
        <v>142</v>
      </c>
      <c r="C722" s="1" t="s">
        <v>142</v>
      </c>
      <c r="D722" s="1" t="s">
        <v>3082</v>
      </c>
      <c r="E722" s="1" t="s">
        <v>144</v>
      </c>
      <c r="F722" s="1" t="s">
        <v>142</v>
      </c>
      <c r="G722" s="1"/>
    </row>
    <row r="723">
      <c r="A723" s="1" t="s">
        <v>3083</v>
      </c>
      <c r="B723" s="1" t="s">
        <v>142</v>
      </c>
      <c r="C723" s="1" t="s">
        <v>142</v>
      </c>
      <c r="D723" s="1" t="s">
        <v>3084</v>
      </c>
      <c r="E723" s="1" t="s">
        <v>144</v>
      </c>
      <c r="F723" s="1" t="s">
        <v>142</v>
      </c>
      <c r="G723" s="1"/>
    </row>
    <row r="724">
      <c r="A724" s="1" t="s">
        <v>3085</v>
      </c>
      <c r="B724" s="1" t="s">
        <v>142</v>
      </c>
      <c r="C724" s="1" t="s">
        <v>142</v>
      </c>
      <c r="D724" s="1" t="s">
        <v>3086</v>
      </c>
      <c r="E724" s="1" t="s">
        <v>144</v>
      </c>
      <c r="F724" s="1" t="s">
        <v>142</v>
      </c>
      <c r="G724" s="1"/>
    </row>
    <row r="725">
      <c r="A725" s="1" t="s">
        <v>3087</v>
      </c>
      <c r="B725" s="1" t="s">
        <v>142</v>
      </c>
      <c r="C725" s="1" t="s">
        <v>142</v>
      </c>
      <c r="D725" s="1" t="s">
        <v>3088</v>
      </c>
      <c r="E725" s="1" t="s">
        <v>144</v>
      </c>
      <c r="F725" s="1" t="s">
        <v>142</v>
      </c>
      <c r="G725" s="1"/>
    </row>
    <row r="726">
      <c r="A726" s="1" t="s">
        <v>3089</v>
      </c>
      <c r="B726" s="1" t="s">
        <v>142</v>
      </c>
      <c r="C726" s="1" t="s">
        <v>142</v>
      </c>
      <c r="D726" s="1" t="s">
        <v>3090</v>
      </c>
      <c r="E726" s="1" t="s">
        <v>144</v>
      </c>
      <c r="F726" s="1" t="s">
        <v>142</v>
      </c>
      <c r="G726" s="1"/>
    </row>
    <row r="727">
      <c r="A727" s="1" t="s">
        <v>3091</v>
      </c>
      <c r="B727" s="1" t="s">
        <v>142</v>
      </c>
      <c r="C727" s="1" t="s">
        <v>142</v>
      </c>
      <c r="D727" s="1" t="s">
        <v>3092</v>
      </c>
      <c r="E727" s="1" t="s">
        <v>144</v>
      </c>
      <c r="F727" s="1" t="s">
        <v>142</v>
      </c>
      <c r="G727" s="1"/>
    </row>
    <row r="728">
      <c r="A728" s="1" t="s">
        <v>3093</v>
      </c>
      <c r="B728" s="1" t="s">
        <v>142</v>
      </c>
      <c r="C728" s="1" t="s">
        <v>142</v>
      </c>
      <c r="D728" s="1" t="s">
        <v>3094</v>
      </c>
      <c r="E728" s="1" t="s">
        <v>144</v>
      </c>
      <c r="F728" s="1" t="s">
        <v>142</v>
      </c>
      <c r="G728" s="1"/>
    </row>
    <row r="729">
      <c r="A729" s="1" t="s">
        <v>3095</v>
      </c>
      <c r="B729" s="1" t="s">
        <v>142</v>
      </c>
      <c r="C729" s="1" t="s">
        <v>142</v>
      </c>
      <c r="D729" s="1" t="s">
        <v>3096</v>
      </c>
      <c r="E729" s="1" t="s">
        <v>144</v>
      </c>
      <c r="F729" s="1" t="s">
        <v>142</v>
      </c>
      <c r="G729" s="1"/>
    </row>
    <row r="730">
      <c r="A730" s="1" t="s">
        <v>3097</v>
      </c>
      <c r="B730" s="1" t="s">
        <v>142</v>
      </c>
      <c r="C730" s="1" t="s">
        <v>142</v>
      </c>
      <c r="D730" s="1" t="s">
        <v>3098</v>
      </c>
      <c r="E730" s="1" t="s">
        <v>144</v>
      </c>
      <c r="F730" s="1" t="s">
        <v>142</v>
      </c>
      <c r="G730" s="1"/>
    </row>
    <row r="731">
      <c r="A731" s="1" t="s">
        <v>3099</v>
      </c>
      <c r="B731" s="1" t="s">
        <v>142</v>
      </c>
      <c r="C731" s="1" t="s">
        <v>142</v>
      </c>
      <c r="D731" s="1" t="s">
        <v>3100</v>
      </c>
      <c r="E731" s="1" t="s">
        <v>144</v>
      </c>
      <c r="F731" s="1" t="s">
        <v>142</v>
      </c>
      <c r="G731" s="1"/>
    </row>
    <row r="732">
      <c r="A732" s="1" t="s">
        <v>3101</v>
      </c>
      <c r="B732" s="1" t="s">
        <v>142</v>
      </c>
      <c r="C732" s="1" t="s">
        <v>142</v>
      </c>
      <c r="D732" s="1" t="s">
        <v>3102</v>
      </c>
      <c r="E732" s="1" t="s">
        <v>144</v>
      </c>
      <c r="F732" s="1" t="s">
        <v>142</v>
      </c>
      <c r="G732" s="1"/>
    </row>
    <row r="733">
      <c r="A733" s="1" t="s">
        <v>3103</v>
      </c>
      <c r="B733" s="1" t="s">
        <v>142</v>
      </c>
      <c r="C733" s="1" t="s">
        <v>142</v>
      </c>
      <c r="D733" s="1" t="s">
        <v>3104</v>
      </c>
      <c r="E733" s="1" t="s">
        <v>144</v>
      </c>
      <c r="F733" s="1" t="s">
        <v>142</v>
      </c>
      <c r="G733" s="1"/>
    </row>
    <row r="734">
      <c r="A734" s="1" t="s">
        <v>3105</v>
      </c>
      <c r="B734" s="1" t="s">
        <v>142</v>
      </c>
      <c r="C734" s="1" t="s">
        <v>142</v>
      </c>
      <c r="D734" s="1" t="s">
        <v>3106</v>
      </c>
      <c r="E734" s="1" t="s">
        <v>144</v>
      </c>
      <c r="F734" s="1" t="s">
        <v>142</v>
      </c>
      <c r="G734" s="1"/>
    </row>
    <row r="735">
      <c r="A735" s="1" t="s">
        <v>3107</v>
      </c>
      <c r="B735" s="1" t="s">
        <v>142</v>
      </c>
      <c r="C735" s="1" t="s">
        <v>142</v>
      </c>
      <c r="D735" s="1" t="s">
        <v>3108</v>
      </c>
      <c r="E735" s="1" t="s">
        <v>144</v>
      </c>
      <c r="F735" s="1" t="s">
        <v>142</v>
      </c>
      <c r="G735" s="1"/>
    </row>
    <row r="736">
      <c r="A736" s="1" t="s">
        <v>3110</v>
      </c>
      <c r="B736" s="1" t="s">
        <v>142</v>
      </c>
      <c r="C736" s="1" t="s">
        <v>142</v>
      </c>
      <c r="D736" s="1" t="s">
        <v>3111</v>
      </c>
      <c r="E736" s="1" t="s">
        <v>144</v>
      </c>
      <c r="F736" s="1" t="s">
        <v>142</v>
      </c>
      <c r="G736" s="1"/>
    </row>
    <row r="737">
      <c r="A737" s="1" t="s">
        <v>3112</v>
      </c>
      <c r="B737" s="1" t="s">
        <v>142</v>
      </c>
      <c r="C737" s="1" t="s">
        <v>142</v>
      </c>
      <c r="D737" s="1" t="s">
        <v>3113</v>
      </c>
      <c r="E737" s="1" t="s">
        <v>144</v>
      </c>
      <c r="F737" s="1" t="s">
        <v>142</v>
      </c>
      <c r="G737" s="1"/>
    </row>
    <row r="738">
      <c r="A738" s="1" t="s">
        <v>3114</v>
      </c>
      <c r="B738" s="1" t="s">
        <v>142</v>
      </c>
      <c r="C738" s="1" t="s">
        <v>142</v>
      </c>
      <c r="D738" s="1" t="s">
        <v>3115</v>
      </c>
      <c r="E738" s="1" t="s">
        <v>144</v>
      </c>
      <c r="F738" s="1" t="s">
        <v>142</v>
      </c>
      <c r="G738" s="1"/>
    </row>
    <row r="739">
      <c r="A739" s="1" t="s">
        <v>3116</v>
      </c>
      <c r="B739" s="1" t="s">
        <v>142</v>
      </c>
      <c r="C739" s="1" t="s">
        <v>142</v>
      </c>
      <c r="D739" s="1" t="s">
        <v>3117</v>
      </c>
      <c r="E739" s="1" t="s">
        <v>144</v>
      </c>
      <c r="F739" s="1" t="s">
        <v>142</v>
      </c>
      <c r="G739" s="1"/>
    </row>
    <row r="740">
      <c r="A740" s="1" t="s">
        <v>3118</v>
      </c>
      <c r="B740" s="1" t="s">
        <v>142</v>
      </c>
      <c r="C740" s="1" t="s">
        <v>142</v>
      </c>
      <c r="D740" s="1" t="s">
        <v>3120</v>
      </c>
      <c r="E740" s="1" t="s">
        <v>144</v>
      </c>
      <c r="F740" s="1" t="s">
        <v>142</v>
      </c>
      <c r="G740" s="1"/>
    </row>
    <row r="741">
      <c r="A741" s="1" t="s">
        <v>3121</v>
      </c>
      <c r="B741" s="1" t="s">
        <v>142</v>
      </c>
      <c r="C741" s="1" t="s">
        <v>142</v>
      </c>
      <c r="D741" s="1" t="s">
        <v>3122</v>
      </c>
      <c r="E741" s="1" t="s">
        <v>144</v>
      </c>
      <c r="F741" s="1" t="s">
        <v>142</v>
      </c>
      <c r="G741" s="1"/>
    </row>
    <row r="742">
      <c r="A742" s="1" t="s">
        <v>3123</v>
      </c>
      <c r="B742" s="1" t="s">
        <v>142</v>
      </c>
      <c r="C742" s="1" t="s">
        <v>142</v>
      </c>
      <c r="D742" s="1" t="s">
        <v>3124</v>
      </c>
      <c r="E742" s="1" t="s">
        <v>144</v>
      </c>
      <c r="F742" s="1" t="s">
        <v>142</v>
      </c>
      <c r="G742" s="1"/>
    </row>
    <row r="743">
      <c r="A743" s="1" t="s">
        <v>3126</v>
      </c>
      <c r="B743" s="1" t="s">
        <v>142</v>
      </c>
      <c r="C743" s="1" t="s">
        <v>142</v>
      </c>
      <c r="D743" s="1" t="s">
        <v>3127</v>
      </c>
      <c r="E743" s="1" t="s">
        <v>144</v>
      </c>
      <c r="F743" s="1" t="s">
        <v>142</v>
      </c>
      <c r="G743" s="1"/>
    </row>
    <row r="744">
      <c r="A744" s="1" t="s">
        <v>3129</v>
      </c>
      <c r="B744" s="1" t="s">
        <v>142</v>
      </c>
      <c r="C744" s="1" t="s">
        <v>142</v>
      </c>
      <c r="D744" s="1" t="s">
        <v>3130</v>
      </c>
      <c r="E744" s="1" t="s">
        <v>144</v>
      </c>
      <c r="F744" s="1" t="s">
        <v>142</v>
      </c>
      <c r="G744" s="1"/>
    </row>
    <row r="745">
      <c r="A745" s="1" t="s">
        <v>3132</v>
      </c>
      <c r="B745" s="1" t="s">
        <v>142</v>
      </c>
      <c r="C745" s="1" t="s">
        <v>142</v>
      </c>
      <c r="D745" s="1" t="s">
        <v>3133</v>
      </c>
      <c r="E745" s="1" t="s">
        <v>144</v>
      </c>
      <c r="F745" s="1" t="s">
        <v>142</v>
      </c>
      <c r="G745" s="1"/>
    </row>
    <row r="746">
      <c r="A746" s="1" t="s">
        <v>3134</v>
      </c>
      <c r="B746" s="1" t="s">
        <v>142</v>
      </c>
      <c r="C746" s="1" t="s">
        <v>142</v>
      </c>
      <c r="D746" s="1" t="s">
        <v>3136</v>
      </c>
      <c r="E746" s="1" t="s">
        <v>144</v>
      </c>
      <c r="F746" s="1" t="s">
        <v>142</v>
      </c>
      <c r="G746" s="1"/>
    </row>
    <row r="747">
      <c r="A747" s="1" t="s">
        <v>3138</v>
      </c>
      <c r="B747" s="1" t="s">
        <v>142</v>
      </c>
      <c r="C747" s="1" t="s">
        <v>142</v>
      </c>
      <c r="D747" s="1" t="s">
        <v>3139</v>
      </c>
      <c r="E747" s="1" t="s">
        <v>144</v>
      </c>
      <c r="F747" s="1" t="s">
        <v>142</v>
      </c>
      <c r="G747" s="1"/>
    </row>
    <row r="748">
      <c r="A748" s="1" t="s">
        <v>3141</v>
      </c>
      <c r="B748" s="1" t="s">
        <v>3142</v>
      </c>
      <c r="C748" s="1" t="s">
        <v>3143</v>
      </c>
      <c r="D748" s="1" t="s">
        <v>3144</v>
      </c>
      <c r="E748" s="1" t="s">
        <v>98</v>
      </c>
      <c r="F748" s="1">
        <v>1.0</v>
      </c>
      <c r="G748" s="1">
        <v>1.0</v>
      </c>
    </row>
    <row r="749">
      <c r="A749" s="1" t="s">
        <v>3141</v>
      </c>
      <c r="B749" s="1" t="s">
        <v>142</v>
      </c>
      <c r="C749" s="1" t="s">
        <v>142</v>
      </c>
      <c r="D749" s="1" t="s">
        <v>3146</v>
      </c>
      <c r="E749" s="1" t="s">
        <v>144</v>
      </c>
      <c r="F749" s="1" t="s">
        <v>142</v>
      </c>
      <c r="G749" s="1"/>
    </row>
    <row r="750">
      <c r="A750" s="1" t="s">
        <v>3147</v>
      </c>
      <c r="B750" s="1" t="s">
        <v>142</v>
      </c>
      <c r="C750" s="1" t="s">
        <v>142</v>
      </c>
      <c r="D750" s="1" t="s">
        <v>3149</v>
      </c>
      <c r="E750" s="1" t="s">
        <v>144</v>
      </c>
      <c r="F750" s="1" t="s">
        <v>142</v>
      </c>
      <c r="G750" s="1"/>
    </row>
    <row r="751">
      <c r="A751" s="1" t="s">
        <v>3151</v>
      </c>
      <c r="B751" s="1" t="s">
        <v>3152</v>
      </c>
      <c r="C751" s="1" t="s">
        <v>3153</v>
      </c>
      <c r="D751" s="1" t="s">
        <v>3154</v>
      </c>
      <c r="E751" s="1" t="s">
        <v>144</v>
      </c>
      <c r="F751" s="1" t="s">
        <v>142</v>
      </c>
      <c r="G751" s="1"/>
    </row>
    <row r="752">
      <c r="A752" s="1" t="s">
        <v>3156</v>
      </c>
      <c r="B752" s="1" t="s">
        <v>142</v>
      </c>
      <c r="C752" s="1" t="s">
        <v>142</v>
      </c>
      <c r="D752" s="1" t="s">
        <v>3157</v>
      </c>
      <c r="E752" s="1" t="s">
        <v>144</v>
      </c>
      <c r="F752" s="1" t="s">
        <v>142</v>
      </c>
      <c r="G752" s="1"/>
    </row>
    <row r="753">
      <c r="A753" s="1" t="s">
        <v>3159</v>
      </c>
      <c r="B753" s="1" t="s">
        <v>142</v>
      </c>
      <c r="C753" s="1" t="s">
        <v>142</v>
      </c>
      <c r="D753" s="1" t="s">
        <v>3160</v>
      </c>
      <c r="E753" s="1" t="s">
        <v>144</v>
      </c>
      <c r="F753" s="1" t="s">
        <v>142</v>
      </c>
      <c r="G753" s="1"/>
    </row>
    <row r="754">
      <c r="A754" s="1" t="s">
        <v>3161</v>
      </c>
      <c r="B754" s="1" t="s">
        <v>142</v>
      </c>
      <c r="C754" s="1" t="s">
        <v>142</v>
      </c>
      <c r="D754" s="1" t="s">
        <v>3163</v>
      </c>
      <c r="E754" s="1" t="s">
        <v>144</v>
      </c>
      <c r="F754" s="1" t="s">
        <v>142</v>
      </c>
      <c r="G754" s="1"/>
    </row>
    <row r="755">
      <c r="A755" s="1" t="s">
        <v>3164</v>
      </c>
      <c r="B755" s="1" t="s">
        <v>142</v>
      </c>
      <c r="C755" s="1" t="s">
        <v>142</v>
      </c>
      <c r="D755" s="1" t="s">
        <v>3165</v>
      </c>
      <c r="E755" s="1" t="s">
        <v>144</v>
      </c>
      <c r="F755" s="1" t="s">
        <v>142</v>
      </c>
      <c r="G755" s="1"/>
    </row>
    <row r="756">
      <c r="A756" s="1" t="s">
        <v>3166</v>
      </c>
      <c r="B756" s="1" t="s">
        <v>142</v>
      </c>
      <c r="C756" s="1" t="s">
        <v>142</v>
      </c>
      <c r="D756" s="1" t="s">
        <v>3168</v>
      </c>
      <c r="E756" s="1" t="s">
        <v>144</v>
      </c>
      <c r="F756" s="1" t="s">
        <v>142</v>
      </c>
      <c r="G756" s="1"/>
    </row>
    <row r="757">
      <c r="A757" s="1" t="s">
        <v>3169</v>
      </c>
      <c r="B757" s="1" t="s">
        <v>3170</v>
      </c>
      <c r="C757" s="1" t="s">
        <v>3171</v>
      </c>
      <c r="D757" s="1" t="s">
        <v>3172</v>
      </c>
      <c r="E757" s="1" t="s">
        <v>144</v>
      </c>
      <c r="F757" s="1" t="s">
        <v>142</v>
      </c>
      <c r="G757" s="1"/>
    </row>
    <row r="758">
      <c r="A758" s="1" t="s">
        <v>3173</v>
      </c>
      <c r="B758" s="1" t="s">
        <v>142</v>
      </c>
      <c r="C758" s="1" t="s">
        <v>142</v>
      </c>
      <c r="D758" s="1" t="s">
        <v>3174</v>
      </c>
      <c r="E758" s="1" t="s">
        <v>144</v>
      </c>
      <c r="F758" s="1" t="s">
        <v>142</v>
      </c>
      <c r="G758" s="1"/>
    </row>
    <row r="759">
      <c r="A759" s="1" t="s">
        <v>3175</v>
      </c>
      <c r="B759" s="1" t="s">
        <v>142</v>
      </c>
      <c r="C759" s="1" t="s">
        <v>142</v>
      </c>
      <c r="D759" s="1" t="s">
        <v>3176</v>
      </c>
      <c r="E759" s="1" t="s">
        <v>144</v>
      </c>
      <c r="F759" s="1" t="s">
        <v>142</v>
      </c>
      <c r="G759" s="1"/>
    </row>
    <row r="760">
      <c r="A760" s="1" t="s">
        <v>3177</v>
      </c>
      <c r="B760" s="1" t="s">
        <v>142</v>
      </c>
      <c r="C760" s="1" t="s">
        <v>142</v>
      </c>
      <c r="D760" s="1" t="s">
        <v>3178</v>
      </c>
      <c r="E760" s="1" t="s">
        <v>144</v>
      </c>
      <c r="F760" s="1" t="s">
        <v>142</v>
      </c>
      <c r="G760" s="1"/>
    </row>
    <row r="761">
      <c r="A761" s="1" t="s">
        <v>3179</v>
      </c>
      <c r="B761" s="1" t="s">
        <v>142</v>
      </c>
      <c r="C761" s="1" t="s">
        <v>142</v>
      </c>
      <c r="D761" s="1" t="s">
        <v>3180</v>
      </c>
      <c r="E761" s="1" t="s">
        <v>144</v>
      </c>
      <c r="F761" s="1" t="s">
        <v>142</v>
      </c>
      <c r="G761" s="1"/>
    </row>
    <row r="762">
      <c r="A762" s="1" t="s">
        <v>3181</v>
      </c>
      <c r="B762" s="1" t="s">
        <v>142</v>
      </c>
      <c r="C762" s="1" t="s">
        <v>142</v>
      </c>
      <c r="D762" s="1" t="s">
        <v>3182</v>
      </c>
      <c r="E762" s="1" t="s">
        <v>144</v>
      </c>
      <c r="F762" s="1" t="s">
        <v>142</v>
      </c>
      <c r="G762" s="1"/>
    </row>
    <row r="763">
      <c r="A763" s="1" t="s">
        <v>3183</v>
      </c>
      <c r="B763" s="1" t="s">
        <v>142</v>
      </c>
      <c r="C763" s="1" t="s">
        <v>142</v>
      </c>
      <c r="D763" s="1" t="s">
        <v>3184</v>
      </c>
      <c r="E763" s="1" t="s">
        <v>144</v>
      </c>
      <c r="F763" s="1" t="s">
        <v>142</v>
      </c>
      <c r="G763" s="1"/>
    </row>
    <row r="764">
      <c r="A764" s="1" t="s">
        <v>3185</v>
      </c>
      <c r="B764" s="1" t="s">
        <v>142</v>
      </c>
      <c r="C764" s="1" t="s">
        <v>142</v>
      </c>
      <c r="D764" s="1" t="s">
        <v>3186</v>
      </c>
      <c r="E764" s="1" t="s">
        <v>144</v>
      </c>
      <c r="F764" s="1" t="s">
        <v>142</v>
      </c>
      <c r="G764" s="1"/>
    </row>
    <row r="765">
      <c r="A765" s="1" t="s">
        <v>3187</v>
      </c>
      <c r="B765" s="1" t="s">
        <v>142</v>
      </c>
      <c r="C765" s="1" t="s">
        <v>142</v>
      </c>
      <c r="D765" s="1" t="s">
        <v>3188</v>
      </c>
      <c r="E765" s="1" t="s">
        <v>144</v>
      </c>
      <c r="F765" s="1" t="s">
        <v>142</v>
      </c>
      <c r="G765" s="1"/>
    </row>
    <row r="766">
      <c r="A766" s="1" t="s">
        <v>3189</v>
      </c>
      <c r="B766" s="1" t="s">
        <v>142</v>
      </c>
      <c r="C766" s="1" t="s">
        <v>142</v>
      </c>
      <c r="D766" s="1" t="s">
        <v>3190</v>
      </c>
      <c r="E766" s="1" t="s">
        <v>144</v>
      </c>
      <c r="F766" s="1" t="s">
        <v>142</v>
      </c>
      <c r="G766" s="1"/>
    </row>
    <row r="767">
      <c r="A767" s="1" t="s">
        <v>3191</v>
      </c>
      <c r="B767" s="1" t="s">
        <v>142</v>
      </c>
      <c r="C767" s="1" t="s">
        <v>142</v>
      </c>
      <c r="D767" s="1" t="s">
        <v>3192</v>
      </c>
      <c r="E767" s="1" t="s">
        <v>144</v>
      </c>
      <c r="F767" s="1" t="s">
        <v>142</v>
      </c>
      <c r="G767" s="1"/>
    </row>
    <row r="768">
      <c r="A768" s="1" t="s">
        <v>3194</v>
      </c>
      <c r="B768" s="1" t="s">
        <v>142</v>
      </c>
      <c r="C768" s="1" t="s">
        <v>142</v>
      </c>
      <c r="D768" s="1" t="s">
        <v>3197</v>
      </c>
      <c r="E768" s="1" t="s">
        <v>144</v>
      </c>
      <c r="F768" s="1" t="s">
        <v>142</v>
      </c>
      <c r="G768" s="1"/>
    </row>
    <row r="769">
      <c r="A769" s="1" t="s">
        <v>3198</v>
      </c>
      <c r="B769" s="1" t="s">
        <v>142</v>
      </c>
      <c r="C769" s="1" t="s">
        <v>142</v>
      </c>
      <c r="D769" s="1" t="s">
        <v>3199</v>
      </c>
      <c r="E769" s="1" t="s">
        <v>144</v>
      </c>
      <c r="F769" s="1" t="s">
        <v>142</v>
      </c>
      <c r="G769" s="1"/>
    </row>
    <row r="770">
      <c r="A770" s="1" t="s">
        <v>3200</v>
      </c>
      <c r="B770" s="1" t="s">
        <v>142</v>
      </c>
      <c r="C770" s="1" t="s">
        <v>142</v>
      </c>
      <c r="D770" s="1" t="s">
        <v>3201</v>
      </c>
      <c r="E770" s="1" t="s">
        <v>144</v>
      </c>
      <c r="F770" s="1" t="s">
        <v>142</v>
      </c>
      <c r="G770" s="1"/>
    </row>
    <row r="771">
      <c r="A771" s="1" t="s">
        <v>3202</v>
      </c>
      <c r="B771" s="1" t="s">
        <v>142</v>
      </c>
      <c r="C771" s="1" t="s">
        <v>142</v>
      </c>
      <c r="D771" s="1" t="s">
        <v>3203</v>
      </c>
      <c r="E771" s="1" t="s">
        <v>144</v>
      </c>
      <c r="F771" s="1" t="s">
        <v>142</v>
      </c>
      <c r="G771" s="1"/>
    </row>
    <row r="772">
      <c r="A772" s="1" t="s">
        <v>3204</v>
      </c>
      <c r="B772" s="1" t="s">
        <v>142</v>
      </c>
      <c r="C772" s="1" t="s">
        <v>142</v>
      </c>
      <c r="D772" s="1" t="s">
        <v>3205</v>
      </c>
      <c r="E772" s="1" t="s">
        <v>144</v>
      </c>
      <c r="F772" s="1" t="s">
        <v>142</v>
      </c>
      <c r="G772" s="1"/>
    </row>
    <row r="773">
      <c r="A773" s="1" t="s">
        <v>3206</v>
      </c>
      <c r="B773" s="1" t="s">
        <v>142</v>
      </c>
      <c r="C773" s="1" t="s">
        <v>142</v>
      </c>
      <c r="D773" s="1" t="s">
        <v>3208</v>
      </c>
      <c r="E773" s="1" t="s">
        <v>144</v>
      </c>
      <c r="F773" s="1" t="s">
        <v>142</v>
      </c>
      <c r="G773" s="1"/>
    </row>
    <row r="774">
      <c r="A774" s="1" t="s">
        <v>3209</v>
      </c>
      <c r="B774" s="1" t="s">
        <v>142</v>
      </c>
      <c r="C774" s="1" t="s">
        <v>142</v>
      </c>
      <c r="D774" s="1" t="s">
        <v>3210</v>
      </c>
      <c r="E774" s="1" t="s">
        <v>144</v>
      </c>
      <c r="F774" s="1" t="s">
        <v>142</v>
      </c>
      <c r="G774" s="1"/>
    </row>
    <row r="775">
      <c r="A775" s="1" t="s">
        <v>3211</v>
      </c>
      <c r="B775" s="1" t="s">
        <v>142</v>
      </c>
      <c r="C775" s="1" t="s">
        <v>142</v>
      </c>
      <c r="D775" s="1" t="s">
        <v>3212</v>
      </c>
      <c r="E775" s="1" t="s">
        <v>144</v>
      </c>
      <c r="F775" s="1" t="s">
        <v>142</v>
      </c>
      <c r="G775" s="1"/>
    </row>
    <row r="776">
      <c r="A776" s="1" t="s">
        <v>3214</v>
      </c>
      <c r="B776" s="1" t="s">
        <v>142</v>
      </c>
      <c r="C776" s="1" t="s">
        <v>142</v>
      </c>
      <c r="D776" s="1" t="s">
        <v>3215</v>
      </c>
      <c r="E776" s="1" t="s">
        <v>144</v>
      </c>
      <c r="F776" s="1" t="s">
        <v>142</v>
      </c>
      <c r="G776" s="1"/>
    </row>
    <row r="777">
      <c r="A777" s="1" t="s">
        <v>3216</v>
      </c>
      <c r="B777" s="1" t="s">
        <v>3217</v>
      </c>
      <c r="C777" s="1" t="s">
        <v>3218</v>
      </c>
      <c r="D777" s="1" t="s">
        <v>3219</v>
      </c>
      <c r="E777" s="1" t="s">
        <v>144</v>
      </c>
      <c r="F777" s="1" t="s">
        <v>142</v>
      </c>
      <c r="G777" s="1"/>
    </row>
    <row r="778">
      <c r="A778" s="1" t="s">
        <v>3220</v>
      </c>
      <c r="B778" s="1" t="s">
        <v>142</v>
      </c>
      <c r="C778" s="1" t="s">
        <v>142</v>
      </c>
      <c r="D778" s="1" t="s">
        <v>3222</v>
      </c>
      <c r="E778" s="1" t="s">
        <v>144</v>
      </c>
      <c r="F778" s="1" t="s">
        <v>142</v>
      </c>
      <c r="G778" s="1"/>
    </row>
    <row r="779">
      <c r="A779" s="1" t="s">
        <v>3223</v>
      </c>
      <c r="B779" s="1" t="s">
        <v>142</v>
      </c>
      <c r="C779" s="1" t="s">
        <v>142</v>
      </c>
      <c r="D779" s="1" t="s">
        <v>3224</v>
      </c>
      <c r="E779" s="1" t="s">
        <v>144</v>
      </c>
      <c r="F779" s="1" t="s">
        <v>142</v>
      </c>
      <c r="G779" s="1"/>
    </row>
    <row r="780">
      <c r="A780" s="1" t="s">
        <v>3225</v>
      </c>
      <c r="B780" s="1" t="s">
        <v>142</v>
      </c>
      <c r="C780" s="1" t="s">
        <v>142</v>
      </c>
      <c r="D780" s="1" t="s">
        <v>3251</v>
      </c>
      <c r="E780" s="1" t="s">
        <v>144</v>
      </c>
      <c r="F780" s="1" t="s">
        <v>142</v>
      </c>
      <c r="G780" s="1"/>
    </row>
    <row r="781">
      <c r="A781" s="1" t="s">
        <v>3252</v>
      </c>
      <c r="B781" s="1" t="s">
        <v>142</v>
      </c>
      <c r="C781" s="1" t="s">
        <v>142</v>
      </c>
      <c r="D781" s="1" t="s">
        <v>3253</v>
      </c>
      <c r="E781" s="1" t="s">
        <v>144</v>
      </c>
      <c r="F781" s="1" t="s">
        <v>142</v>
      </c>
      <c r="G781" s="1"/>
    </row>
    <row r="782">
      <c r="A782" s="1" t="s">
        <v>3255</v>
      </c>
      <c r="B782" s="1" t="s">
        <v>142</v>
      </c>
      <c r="C782" s="1" t="s">
        <v>142</v>
      </c>
      <c r="D782" s="1" t="s">
        <v>3256</v>
      </c>
      <c r="E782" s="1" t="s">
        <v>144</v>
      </c>
      <c r="F782" s="1" t="s">
        <v>142</v>
      </c>
      <c r="G782" s="1"/>
    </row>
    <row r="783">
      <c r="A783" s="1" t="s">
        <v>3257</v>
      </c>
      <c r="B783" s="1" t="s">
        <v>142</v>
      </c>
      <c r="C783" s="1" t="s">
        <v>142</v>
      </c>
      <c r="D783" s="1" t="s">
        <v>3258</v>
      </c>
      <c r="E783" s="1" t="s">
        <v>144</v>
      </c>
      <c r="F783" s="1" t="s">
        <v>142</v>
      </c>
      <c r="G783" s="1"/>
    </row>
    <row r="784">
      <c r="A784" s="1" t="s">
        <v>3260</v>
      </c>
      <c r="B784" s="1" t="s">
        <v>142</v>
      </c>
      <c r="C784" s="1" t="s">
        <v>142</v>
      </c>
      <c r="D784" s="1" t="s">
        <v>3261</v>
      </c>
      <c r="E784" s="1" t="s">
        <v>144</v>
      </c>
      <c r="F784" s="1" t="s">
        <v>142</v>
      </c>
      <c r="G784" s="1"/>
    </row>
    <row r="785">
      <c r="A785" s="1" t="s">
        <v>3262</v>
      </c>
      <c r="B785" s="1" t="s">
        <v>142</v>
      </c>
      <c r="C785" s="1" t="s">
        <v>142</v>
      </c>
      <c r="D785" s="1" t="s">
        <v>3263</v>
      </c>
      <c r="E785" s="1" t="s">
        <v>144</v>
      </c>
      <c r="F785" s="1" t="s">
        <v>142</v>
      </c>
      <c r="G785" s="1"/>
    </row>
    <row r="786">
      <c r="A786" s="1" t="s">
        <v>3264</v>
      </c>
      <c r="B786" s="1" t="s">
        <v>142</v>
      </c>
      <c r="C786" s="1" t="s">
        <v>142</v>
      </c>
      <c r="D786" s="1" t="s">
        <v>3265</v>
      </c>
      <c r="E786" s="1" t="s">
        <v>144</v>
      </c>
      <c r="F786" s="1" t="s">
        <v>142</v>
      </c>
      <c r="G786" s="1"/>
    </row>
    <row r="787">
      <c r="A787" s="1" t="s">
        <v>3267</v>
      </c>
      <c r="B787" s="1" t="s">
        <v>142</v>
      </c>
      <c r="C787" s="1" t="s">
        <v>142</v>
      </c>
      <c r="D787" s="1" t="s">
        <v>3268</v>
      </c>
      <c r="E787" s="1" t="s">
        <v>144</v>
      </c>
      <c r="F787" s="1" t="s">
        <v>142</v>
      </c>
      <c r="G787" s="1"/>
    </row>
    <row r="788">
      <c r="A788" s="1" t="s">
        <v>3269</v>
      </c>
      <c r="B788" s="1" t="s">
        <v>142</v>
      </c>
      <c r="C788" s="1" t="s">
        <v>142</v>
      </c>
      <c r="D788" s="1" t="s">
        <v>3270</v>
      </c>
      <c r="E788" s="1" t="s">
        <v>144</v>
      </c>
      <c r="F788" s="1" t="s">
        <v>142</v>
      </c>
      <c r="G788" s="1"/>
    </row>
    <row r="789">
      <c r="A789" s="1" t="s">
        <v>3272</v>
      </c>
      <c r="B789" s="1" t="s">
        <v>142</v>
      </c>
      <c r="C789" s="1" t="s">
        <v>142</v>
      </c>
      <c r="D789" s="1" t="s">
        <v>3273</v>
      </c>
      <c r="E789" s="1" t="s">
        <v>144</v>
      </c>
      <c r="F789" s="1" t="s">
        <v>142</v>
      </c>
      <c r="G789" s="1"/>
    </row>
    <row r="790">
      <c r="A790" s="1" t="s">
        <v>3274</v>
      </c>
      <c r="B790" s="1" t="s">
        <v>142</v>
      </c>
      <c r="C790" s="1" t="s">
        <v>142</v>
      </c>
      <c r="D790" s="1" t="s">
        <v>3275</v>
      </c>
      <c r="E790" s="1" t="s">
        <v>144</v>
      </c>
      <c r="F790" s="1" t="s">
        <v>142</v>
      </c>
      <c r="G790" s="1"/>
    </row>
    <row r="791">
      <c r="A791" s="1" t="s">
        <v>3276</v>
      </c>
      <c r="B791" s="1" t="s">
        <v>142</v>
      </c>
      <c r="C791" s="1" t="s">
        <v>142</v>
      </c>
      <c r="D791" s="1" t="s">
        <v>3278</v>
      </c>
      <c r="E791" s="1" t="s">
        <v>144</v>
      </c>
      <c r="F791" s="1" t="s">
        <v>142</v>
      </c>
      <c r="G791" s="1"/>
    </row>
    <row r="792">
      <c r="A792" s="1" t="s">
        <v>3279</v>
      </c>
      <c r="B792" s="1" t="s">
        <v>142</v>
      </c>
      <c r="C792" s="1" t="s">
        <v>142</v>
      </c>
      <c r="D792" s="1" t="s">
        <v>3280</v>
      </c>
      <c r="E792" s="1" t="s">
        <v>144</v>
      </c>
      <c r="F792" s="1" t="s">
        <v>142</v>
      </c>
      <c r="G792" s="1"/>
    </row>
    <row r="793">
      <c r="A793" s="1" t="s">
        <v>3281</v>
      </c>
      <c r="B793" s="1" t="s">
        <v>142</v>
      </c>
      <c r="C793" s="1" t="s">
        <v>142</v>
      </c>
      <c r="D793" s="1" t="s">
        <v>3282</v>
      </c>
      <c r="E793" s="1" t="s">
        <v>144</v>
      </c>
      <c r="F793" s="1" t="s">
        <v>142</v>
      </c>
      <c r="G793" s="1"/>
    </row>
    <row r="794">
      <c r="A794" s="1" t="s">
        <v>3283</v>
      </c>
      <c r="B794" s="1" t="s">
        <v>3284</v>
      </c>
      <c r="C794" s="1" t="s">
        <v>3286</v>
      </c>
      <c r="D794" s="1" t="s">
        <v>3287</v>
      </c>
      <c r="E794" s="1" t="s">
        <v>144</v>
      </c>
      <c r="F794" s="1" t="s">
        <v>142</v>
      </c>
      <c r="G794" s="1"/>
    </row>
    <row r="795">
      <c r="A795" s="1" t="s">
        <v>3288</v>
      </c>
      <c r="B795" s="1" t="s">
        <v>142</v>
      </c>
      <c r="C795" s="1" t="s">
        <v>142</v>
      </c>
      <c r="D795" s="1" t="s">
        <v>3289</v>
      </c>
      <c r="E795" s="1" t="s">
        <v>144</v>
      </c>
      <c r="F795" s="1" t="s">
        <v>142</v>
      </c>
      <c r="G795" s="1"/>
    </row>
    <row r="796">
      <c r="A796" s="1" t="s">
        <v>3290</v>
      </c>
      <c r="B796" s="1" t="s">
        <v>142</v>
      </c>
      <c r="C796" s="1" t="s">
        <v>142</v>
      </c>
      <c r="D796" s="1" t="s">
        <v>3291</v>
      </c>
      <c r="E796" s="1" t="s">
        <v>144</v>
      </c>
      <c r="F796" s="1" t="s">
        <v>142</v>
      </c>
      <c r="G796" s="1"/>
    </row>
    <row r="797">
      <c r="A797" s="1" t="s">
        <v>3293</v>
      </c>
      <c r="B797" s="1" t="s">
        <v>142</v>
      </c>
      <c r="C797" s="1" t="s">
        <v>142</v>
      </c>
      <c r="D797" s="1" t="s">
        <v>3294</v>
      </c>
      <c r="E797" s="1" t="s">
        <v>144</v>
      </c>
      <c r="F797" s="1" t="s">
        <v>142</v>
      </c>
      <c r="G797" s="1"/>
    </row>
    <row r="798">
      <c r="A798" s="1" t="s">
        <v>3295</v>
      </c>
      <c r="B798" s="1" t="s">
        <v>142</v>
      </c>
      <c r="C798" s="1" t="s">
        <v>142</v>
      </c>
      <c r="D798" s="1" t="s">
        <v>3296</v>
      </c>
      <c r="E798" s="1" t="s">
        <v>144</v>
      </c>
      <c r="F798" s="1" t="s">
        <v>142</v>
      </c>
      <c r="G798" s="1"/>
    </row>
    <row r="799">
      <c r="A799" s="1" t="s">
        <v>3297</v>
      </c>
      <c r="B799" s="1" t="s">
        <v>142</v>
      </c>
      <c r="C799" s="1" t="s">
        <v>142</v>
      </c>
      <c r="D799" s="1" t="s">
        <v>3298</v>
      </c>
      <c r="E799" s="1" t="s">
        <v>144</v>
      </c>
      <c r="F799" s="1" t="s">
        <v>142</v>
      </c>
      <c r="G799" s="1"/>
    </row>
    <row r="800">
      <c r="A800" s="1" t="s">
        <v>3300</v>
      </c>
      <c r="B800" s="1" t="s">
        <v>142</v>
      </c>
      <c r="C800" s="1" t="s">
        <v>142</v>
      </c>
      <c r="D800" s="1" t="s">
        <v>3301</v>
      </c>
      <c r="E800" s="1" t="s">
        <v>144</v>
      </c>
      <c r="F800" s="1" t="s">
        <v>142</v>
      </c>
      <c r="G800" s="1"/>
    </row>
    <row r="801">
      <c r="A801" s="1" t="s">
        <v>3302</v>
      </c>
      <c r="B801" s="1" t="s">
        <v>142</v>
      </c>
      <c r="C801" s="1" t="s">
        <v>142</v>
      </c>
      <c r="D801" s="1" t="s">
        <v>3303</v>
      </c>
      <c r="E801" s="1" t="s">
        <v>144</v>
      </c>
      <c r="F801" s="1" t="s">
        <v>142</v>
      </c>
      <c r="G801" s="1"/>
    </row>
    <row r="802">
      <c r="A802" s="1" t="s">
        <v>3304</v>
      </c>
      <c r="B802" s="1" t="s">
        <v>142</v>
      </c>
      <c r="C802" s="1" t="s">
        <v>142</v>
      </c>
      <c r="D802" s="1" t="s">
        <v>3306</v>
      </c>
      <c r="E802" s="1" t="s">
        <v>144</v>
      </c>
      <c r="F802" s="1" t="s">
        <v>142</v>
      </c>
      <c r="G802" s="1"/>
    </row>
    <row r="803">
      <c r="A803" s="1" t="s">
        <v>3307</v>
      </c>
      <c r="B803" s="1" t="s">
        <v>142</v>
      </c>
      <c r="C803" s="1" t="s">
        <v>142</v>
      </c>
      <c r="D803" s="1" t="s">
        <v>3308</v>
      </c>
      <c r="E803" s="1" t="s">
        <v>144</v>
      </c>
      <c r="F803" s="1" t="s">
        <v>142</v>
      </c>
      <c r="G803" s="1"/>
    </row>
    <row r="804">
      <c r="A804" s="1" t="s">
        <v>3309</v>
      </c>
      <c r="B804" s="1" t="s">
        <v>142</v>
      </c>
      <c r="C804" s="1" t="s">
        <v>142</v>
      </c>
      <c r="D804" s="1" t="s">
        <v>3310</v>
      </c>
      <c r="E804" s="1" t="s">
        <v>144</v>
      </c>
      <c r="F804" s="1" t="s">
        <v>142</v>
      </c>
      <c r="G804" s="1"/>
    </row>
    <row r="805">
      <c r="A805" s="1" t="s">
        <v>3312</v>
      </c>
      <c r="B805" s="1" t="s">
        <v>142</v>
      </c>
      <c r="C805" s="1" t="s">
        <v>142</v>
      </c>
      <c r="D805" s="1" t="s">
        <v>3313</v>
      </c>
      <c r="E805" s="1" t="s">
        <v>144</v>
      </c>
      <c r="F805" s="1" t="s">
        <v>142</v>
      </c>
      <c r="G805" s="1"/>
    </row>
    <row r="806">
      <c r="A806" s="1" t="s">
        <v>3314</v>
      </c>
      <c r="B806" s="1" t="s">
        <v>142</v>
      </c>
      <c r="C806" s="1" t="s">
        <v>142</v>
      </c>
      <c r="D806" s="1" t="s">
        <v>3315</v>
      </c>
      <c r="E806" s="1" t="s">
        <v>144</v>
      </c>
      <c r="F806" s="1" t="s">
        <v>142</v>
      </c>
      <c r="G806" s="1"/>
    </row>
    <row r="807">
      <c r="A807" s="1" t="s">
        <v>3316</v>
      </c>
      <c r="B807" s="1" t="s">
        <v>142</v>
      </c>
      <c r="C807" s="1" t="s">
        <v>142</v>
      </c>
      <c r="D807" s="1" t="s">
        <v>3318</v>
      </c>
      <c r="E807" s="1" t="s">
        <v>144</v>
      </c>
      <c r="F807" s="1" t="s">
        <v>142</v>
      </c>
      <c r="G807" s="1"/>
    </row>
    <row r="808">
      <c r="A808" s="1" t="s">
        <v>3319</v>
      </c>
      <c r="B808" s="1" t="s">
        <v>142</v>
      </c>
      <c r="C808" s="1" t="s">
        <v>142</v>
      </c>
      <c r="D808" s="1" t="s">
        <v>3320</v>
      </c>
      <c r="E808" s="1" t="s">
        <v>144</v>
      </c>
      <c r="F808" s="1" t="s">
        <v>142</v>
      </c>
      <c r="G808" s="1"/>
    </row>
    <row r="809">
      <c r="A809" s="1" t="s">
        <v>3321</v>
      </c>
      <c r="B809" s="1" t="s">
        <v>142</v>
      </c>
      <c r="C809" s="1" t="s">
        <v>142</v>
      </c>
      <c r="D809" s="1" t="s">
        <v>3322</v>
      </c>
      <c r="E809" s="1" t="s">
        <v>144</v>
      </c>
      <c r="F809" s="1" t="s">
        <v>142</v>
      </c>
      <c r="G809" s="1"/>
    </row>
    <row r="810">
      <c r="A810" s="1" t="s">
        <v>3324</v>
      </c>
      <c r="B810" s="1" t="s">
        <v>142</v>
      </c>
      <c r="C810" s="1" t="s">
        <v>142</v>
      </c>
      <c r="D810" s="1" t="s">
        <v>3325</v>
      </c>
      <c r="E810" s="1" t="s">
        <v>144</v>
      </c>
      <c r="F810" s="1" t="s">
        <v>142</v>
      </c>
      <c r="G810" s="1"/>
    </row>
    <row r="811">
      <c r="A811" s="1" t="s">
        <v>3326</v>
      </c>
      <c r="B811" s="1" t="s">
        <v>142</v>
      </c>
      <c r="C811" s="1" t="s">
        <v>142</v>
      </c>
      <c r="D811" s="1" t="s">
        <v>3327</v>
      </c>
      <c r="E811" s="1" t="s">
        <v>144</v>
      </c>
      <c r="F811" s="1" t="s">
        <v>142</v>
      </c>
      <c r="G811" s="1"/>
    </row>
    <row r="812">
      <c r="A812" s="1" t="s">
        <v>3328</v>
      </c>
      <c r="B812" s="1" t="s">
        <v>142</v>
      </c>
      <c r="C812" s="1" t="s">
        <v>142</v>
      </c>
      <c r="D812" s="1" t="s">
        <v>3329</v>
      </c>
      <c r="E812" s="1" t="s">
        <v>144</v>
      </c>
      <c r="F812" s="1" t="s">
        <v>142</v>
      </c>
      <c r="G812" s="1"/>
    </row>
    <row r="813">
      <c r="A813" s="1" t="s">
        <v>3330</v>
      </c>
      <c r="B813" s="1" t="s">
        <v>142</v>
      </c>
      <c r="C813" s="1" t="s">
        <v>142</v>
      </c>
      <c r="D813" s="1" t="s">
        <v>3331</v>
      </c>
      <c r="E813" s="1" t="s">
        <v>144</v>
      </c>
      <c r="F813" s="1" t="s">
        <v>142</v>
      </c>
      <c r="G813" s="1"/>
    </row>
    <row r="814">
      <c r="A814" s="1" t="s">
        <v>3332</v>
      </c>
      <c r="B814" s="1" t="s">
        <v>142</v>
      </c>
      <c r="C814" s="1" t="s">
        <v>142</v>
      </c>
      <c r="D814" s="1" t="s">
        <v>3333</v>
      </c>
      <c r="E814" s="1" t="s">
        <v>144</v>
      </c>
      <c r="F814" s="1" t="s">
        <v>142</v>
      </c>
      <c r="G814" s="1"/>
    </row>
    <row r="815">
      <c r="A815" s="1" t="s">
        <v>3334</v>
      </c>
      <c r="B815" s="1" t="s">
        <v>142</v>
      </c>
      <c r="C815" s="1" t="s">
        <v>142</v>
      </c>
      <c r="D815" s="1" t="s">
        <v>3335</v>
      </c>
      <c r="E815" s="1" t="s">
        <v>144</v>
      </c>
      <c r="F815" s="1" t="s">
        <v>142</v>
      </c>
      <c r="G815" s="1"/>
    </row>
    <row r="816">
      <c r="A816" s="1" t="s">
        <v>3336</v>
      </c>
      <c r="B816" s="1" t="s">
        <v>142</v>
      </c>
      <c r="C816" s="1" t="s">
        <v>142</v>
      </c>
      <c r="D816" s="1" t="s">
        <v>3337</v>
      </c>
      <c r="E816" s="1" t="s">
        <v>144</v>
      </c>
      <c r="F816" s="1" t="s">
        <v>142</v>
      </c>
      <c r="G816" s="1"/>
    </row>
    <row r="817">
      <c r="A817" s="1" t="s">
        <v>3338</v>
      </c>
      <c r="B817" s="1" t="s">
        <v>142</v>
      </c>
      <c r="C817" s="1" t="s">
        <v>142</v>
      </c>
      <c r="D817" s="1" t="s">
        <v>3339</v>
      </c>
      <c r="E817" s="1" t="s">
        <v>144</v>
      </c>
      <c r="F817" s="1" t="s">
        <v>142</v>
      </c>
      <c r="G817" s="1"/>
    </row>
    <row r="818">
      <c r="A818" s="1" t="s">
        <v>3340</v>
      </c>
      <c r="B818" s="1" t="s">
        <v>142</v>
      </c>
      <c r="C818" s="1" t="s">
        <v>142</v>
      </c>
      <c r="D818" s="1" t="s">
        <v>3341</v>
      </c>
      <c r="E818" s="1" t="s">
        <v>144</v>
      </c>
      <c r="F818" s="1" t="s">
        <v>142</v>
      </c>
      <c r="G818" s="1"/>
    </row>
    <row r="819">
      <c r="A819" s="1" t="s">
        <v>3342</v>
      </c>
      <c r="B819" s="1" t="s">
        <v>142</v>
      </c>
      <c r="C819" s="1" t="s">
        <v>142</v>
      </c>
      <c r="D819" s="1" t="s">
        <v>3343</v>
      </c>
      <c r="E819" s="1" t="s">
        <v>144</v>
      </c>
      <c r="F819" s="1" t="s">
        <v>142</v>
      </c>
      <c r="G819" s="1"/>
    </row>
    <row r="820">
      <c r="A820" s="1" t="s">
        <v>3344</v>
      </c>
      <c r="B820" s="1" t="s">
        <v>142</v>
      </c>
      <c r="C820" s="1" t="s">
        <v>142</v>
      </c>
      <c r="D820" s="1" t="s">
        <v>3345</v>
      </c>
      <c r="E820" s="1" t="s">
        <v>144</v>
      </c>
      <c r="F820" s="1" t="s">
        <v>142</v>
      </c>
      <c r="G820" s="1"/>
    </row>
    <row r="821">
      <c r="A821" s="1" t="s">
        <v>3346</v>
      </c>
      <c r="B821" s="1" t="s">
        <v>142</v>
      </c>
      <c r="C821" s="1" t="s">
        <v>142</v>
      </c>
      <c r="D821" s="1" t="s">
        <v>3347</v>
      </c>
      <c r="E821" s="1" t="s">
        <v>144</v>
      </c>
      <c r="F821" s="1" t="s">
        <v>142</v>
      </c>
      <c r="G821" s="1"/>
    </row>
    <row r="822">
      <c r="A822" s="1" t="s">
        <v>3348</v>
      </c>
      <c r="B822" s="1" t="s">
        <v>142</v>
      </c>
      <c r="C822" s="1" t="s">
        <v>142</v>
      </c>
      <c r="D822" s="1" t="s">
        <v>3349</v>
      </c>
      <c r="E822" s="1" t="s">
        <v>144</v>
      </c>
      <c r="F822" s="1" t="s">
        <v>142</v>
      </c>
      <c r="G822" s="1"/>
    </row>
    <row r="823">
      <c r="A823" s="1" t="s">
        <v>3350</v>
      </c>
      <c r="B823" s="1" t="s">
        <v>142</v>
      </c>
      <c r="C823" s="1" t="s">
        <v>142</v>
      </c>
      <c r="D823" s="1" t="s">
        <v>3351</v>
      </c>
      <c r="E823" s="1" t="s">
        <v>144</v>
      </c>
      <c r="F823" s="1" t="s">
        <v>142</v>
      </c>
      <c r="G823" s="1"/>
    </row>
    <row r="824">
      <c r="A824" s="1" t="s">
        <v>3352</v>
      </c>
      <c r="B824" s="1" t="s">
        <v>142</v>
      </c>
      <c r="C824" s="1" t="s">
        <v>142</v>
      </c>
      <c r="D824" s="1" t="s">
        <v>3353</v>
      </c>
      <c r="E824" s="1" t="s">
        <v>144</v>
      </c>
      <c r="F824" s="1" t="s">
        <v>142</v>
      </c>
      <c r="G824" s="1"/>
    </row>
    <row r="825">
      <c r="A825" s="1" t="s">
        <v>3354</v>
      </c>
      <c r="B825" s="1" t="s">
        <v>142</v>
      </c>
      <c r="C825" s="1" t="s">
        <v>142</v>
      </c>
      <c r="D825" s="1" t="s">
        <v>3355</v>
      </c>
      <c r="E825" s="1" t="s">
        <v>144</v>
      </c>
      <c r="F825" s="1" t="s">
        <v>142</v>
      </c>
      <c r="G825" s="1"/>
    </row>
    <row r="826">
      <c r="A826" s="1" t="s">
        <v>3356</v>
      </c>
      <c r="B826" s="1" t="s">
        <v>142</v>
      </c>
      <c r="C826" s="1" t="s">
        <v>142</v>
      </c>
      <c r="D826" s="1" t="s">
        <v>3357</v>
      </c>
      <c r="E826" s="1" t="s">
        <v>144</v>
      </c>
      <c r="F826" s="1" t="s">
        <v>142</v>
      </c>
      <c r="G826" s="1"/>
    </row>
    <row r="827">
      <c r="A827" s="1" t="s">
        <v>3358</v>
      </c>
      <c r="B827" s="1" t="s">
        <v>142</v>
      </c>
      <c r="C827" s="1" t="s">
        <v>142</v>
      </c>
      <c r="D827" s="1" t="s">
        <v>3359</v>
      </c>
      <c r="E827" s="1" t="s">
        <v>144</v>
      </c>
      <c r="F827" s="1" t="s">
        <v>142</v>
      </c>
      <c r="G827" s="1"/>
    </row>
    <row r="828">
      <c r="A828" s="1" t="s">
        <v>3360</v>
      </c>
      <c r="B828" s="1" t="s">
        <v>142</v>
      </c>
      <c r="C828" s="1" t="s">
        <v>142</v>
      </c>
      <c r="D828" s="1" t="s">
        <v>3361</v>
      </c>
      <c r="E828" s="1" t="s">
        <v>144</v>
      </c>
      <c r="F828" s="1" t="s">
        <v>142</v>
      </c>
      <c r="G828" s="1"/>
    </row>
    <row r="829">
      <c r="A829" s="1" t="s">
        <v>3362</v>
      </c>
      <c r="B829" s="1" t="s">
        <v>142</v>
      </c>
      <c r="C829" s="1" t="s">
        <v>142</v>
      </c>
      <c r="D829" s="1" t="s">
        <v>3363</v>
      </c>
      <c r="E829" s="1" t="s">
        <v>144</v>
      </c>
      <c r="F829" s="1" t="s">
        <v>142</v>
      </c>
      <c r="G829" s="1"/>
    </row>
    <row r="830">
      <c r="A830" s="1" t="s">
        <v>3364</v>
      </c>
      <c r="B830" s="1" t="s">
        <v>142</v>
      </c>
      <c r="C830" s="1" t="s">
        <v>142</v>
      </c>
      <c r="D830" s="1" t="s">
        <v>3366</v>
      </c>
      <c r="E830" s="1" t="s">
        <v>144</v>
      </c>
      <c r="F830" s="1" t="s">
        <v>142</v>
      </c>
      <c r="G830" s="1"/>
    </row>
    <row r="831">
      <c r="A831" s="1" t="s">
        <v>3367</v>
      </c>
      <c r="B831" s="1" t="s">
        <v>142</v>
      </c>
      <c r="C831" s="1" t="s">
        <v>142</v>
      </c>
      <c r="D831" s="1" t="s">
        <v>3368</v>
      </c>
      <c r="E831" s="1" t="s">
        <v>144</v>
      </c>
      <c r="F831" s="1" t="s">
        <v>142</v>
      </c>
      <c r="G831" s="1"/>
    </row>
    <row r="832">
      <c r="A832" s="1" t="s">
        <v>3370</v>
      </c>
      <c r="B832" s="1" t="s">
        <v>142</v>
      </c>
      <c r="C832" s="1" t="s">
        <v>142</v>
      </c>
      <c r="D832" s="1" t="s">
        <v>3371</v>
      </c>
      <c r="E832" s="1" t="s">
        <v>144</v>
      </c>
      <c r="F832" s="1" t="s">
        <v>142</v>
      </c>
      <c r="G832" s="1"/>
    </row>
    <row r="833">
      <c r="A833" s="1" t="s">
        <v>3373</v>
      </c>
      <c r="B833" s="1" t="s">
        <v>3374</v>
      </c>
      <c r="C833" s="1" t="s">
        <v>3375</v>
      </c>
      <c r="D833" s="1" t="s">
        <v>3376</v>
      </c>
      <c r="E833" s="1" t="s">
        <v>144</v>
      </c>
      <c r="F833" s="1" t="s">
        <v>142</v>
      </c>
      <c r="G833" s="1"/>
    </row>
    <row r="834">
      <c r="A834" s="1" t="s">
        <v>3406</v>
      </c>
      <c r="B834" s="1" t="s">
        <v>142</v>
      </c>
      <c r="C834" s="1" t="s">
        <v>142</v>
      </c>
      <c r="D834" s="1" t="s">
        <v>3408</v>
      </c>
      <c r="E834" s="1" t="s">
        <v>144</v>
      </c>
      <c r="F834" s="1" t="s">
        <v>142</v>
      </c>
      <c r="G834" s="1"/>
    </row>
    <row r="835">
      <c r="A835" s="1" t="s">
        <v>3415</v>
      </c>
      <c r="B835" s="1" t="s">
        <v>142</v>
      </c>
      <c r="C835" s="1" t="s">
        <v>142</v>
      </c>
      <c r="D835" s="1" t="s">
        <v>3442</v>
      </c>
      <c r="E835" s="1" t="s">
        <v>144</v>
      </c>
      <c r="F835" s="1" t="s">
        <v>142</v>
      </c>
      <c r="G835" s="1"/>
    </row>
    <row r="836">
      <c r="A836" s="1" t="s">
        <v>3444</v>
      </c>
      <c r="B836" s="1" t="s">
        <v>142</v>
      </c>
      <c r="C836" s="1" t="s">
        <v>142</v>
      </c>
      <c r="D836" s="1" t="s">
        <v>3446</v>
      </c>
      <c r="E836" s="1" t="s">
        <v>144</v>
      </c>
      <c r="F836" s="1" t="s">
        <v>142</v>
      </c>
      <c r="G836" s="1"/>
    </row>
    <row r="837">
      <c r="A837" s="1" t="s">
        <v>3447</v>
      </c>
      <c r="B837" s="1" t="s">
        <v>142</v>
      </c>
      <c r="C837" s="1" t="s">
        <v>142</v>
      </c>
      <c r="D837" s="1" t="s">
        <v>3448</v>
      </c>
      <c r="E837" s="1" t="s">
        <v>144</v>
      </c>
      <c r="F837" s="1" t="s">
        <v>142</v>
      </c>
      <c r="G837" s="1"/>
    </row>
    <row r="838">
      <c r="A838" s="1" t="s">
        <v>3449</v>
      </c>
      <c r="B838" s="1" t="s">
        <v>142</v>
      </c>
      <c r="C838" s="1" t="s">
        <v>142</v>
      </c>
      <c r="D838" s="1" t="s">
        <v>3450</v>
      </c>
      <c r="E838" s="1" t="s">
        <v>144</v>
      </c>
      <c r="F838" s="1" t="s">
        <v>142</v>
      </c>
      <c r="G838" s="1"/>
    </row>
    <row r="839">
      <c r="A839" s="1" t="s">
        <v>3451</v>
      </c>
      <c r="B839" s="1" t="s">
        <v>142</v>
      </c>
      <c r="C839" s="1" t="s">
        <v>142</v>
      </c>
      <c r="D839" s="1" t="s">
        <v>3452</v>
      </c>
      <c r="E839" s="1" t="s">
        <v>144</v>
      </c>
      <c r="F839" s="1" t="s">
        <v>142</v>
      </c>
      <c r="G839" s="1"/>
    </row>
    <row r="840">
      <c r="A840" s="1" t="s">
        <v>3453</v>
      </c>
      <c r="B840" s="1" t="s">
        <v>142</v>
      </c>
      <c r="C840" s="1" t="s">
        <v>142</v>
      </c>
      <c r="D840" s="1" t="s">
        <v>3454</v>
      </c>
      <c r="E840" s="1" t="s">
        <v>144</v>
      </c>
      <c r="F840" s="1" t="s">
        <v>142</v>
      </c>
      <c r="G840" s="1"/>
    </row>
    <row r="841">
      <c r="A841" s="1" t="s">
        <v>3455</v>
      </c>
      <c r="B841" s="1" t="s">
        <v>142</v>
      </c>
      <c r="C841" s="1" t="s">
        <v>142</v>
      </c>
      <c r="D841" s="1" t="s">
        <v>3456</v>
      </c>
      <c r="E841" s="1" t="s">
        <v>144</v>
      </c>
      <c r="F841" s="1" t="s">
        <v>142</v>
      </c>
      <c r="G841" s="1"/>
    </row>
    <row r="842">
      <c r="A842" s="1" t="s">
        <v>3457</v>
      </c>
      <c r="B842" s="1" t="s">
        <v>142</v>
      </c>
      <c r="C842" s="1" t="s">
        <v>142</v>
      </c>
      <c r="D842" s="1" t="s">
        <v>3458</v>
      </c>
      <c r="E842" s="1" t="s">
        <v>144</v>
      </c>
      <c r="F842" s="1" t="s">
        <v>142</v>
      </c>
      <c r="G842" s="1"/>
    </row>
    <row r="843">
      <c r="A843" s="1" t="s">
        <v>3459</v>
      </c>
      <c r="B843" s="1" t="s">
        <v>142</v>
      </c>
      <c r="C843" s="1" t="s">
        <v>142</v>
      </c>
      <c r="D843" s="1" t="s">
        <v>3460</v>
      </c>
      <c r="E843" s="1" t="s">
        <v>144</v>
      </c>
      <c r="F843" s="1" t="s">
        <v>142</v>
      </c>
      <c r="G843" s="1"/>
    </row>
    <row r="844">
      <c r="A844" s="1" t="s">
        <v>3462</v>
      </c>
      <c r="B844" s="1" t="s">
        <v>142</v>
      </c>
      <c r="C844" s="1" t="s">
        <v>142</v>
      </c>
      <c r="D844" s="1" t="s">
        <v>3463</v>
      </c>
      <c r="E844" s="1" t="s">
        <v>144</v>
      </c>
      <c r="F844" s="1" t="s">
        <v>142</v>
      </c>
      <c r="G844" s="1"/>
    </row>
    <row r="845">
      <c r="A845" s="1" t="s">
        <v>3464</v>
      </c>
      <c r="B845" s="1" t="s">
        <v>142</v>
      </c>
      <c r="C845" s="1" t="s">
        <v>142</v>
      </c>
      <c r="D845" s="1" t="s">
        <v>3465</v>
      </c>
      <c r="E845" s="1" t="s">
        <v>144</v>
      </c>
      <c r="F845" s="1" t="s">
        <v>142</v>
      </c>
      <c r="G845" s="1"/>
    </row>
    <row r="846">
      <c r="A846" s="1" t="s">
        <v>3467</v>
      </c>
      <c r="B846" s="1" t="s">
        <v>142</v>
      </c>
      <c r="C846" s="1" t="s">
        <v>142</v>
      </c>
      <c r="D846" s="1" t="s">
        <v>3468</v>
      </c>
      <c r="E846" s="1" t="s">
        <v>144</v>
      </c>
      <c r="F846" s="1" t="s">
        <v>142</v>
      </c>
      <c r="G846" s="1"/>
    </row>
    <row r="847">
      <c r="A847" s="1" t="s">
        <v>3469</v>
      </c>
      <c r="B847" s="1" t="s">
        <v>142</v>
      </c>
      <c r="C847" s="1" t="s">
        <v>142</v>
      </c>
      <c r="D847" s="1" t="s">
        <v>3470</v>
      </c>
      <c r="E847" s="1" t="s">
        <v>144</v>
      </c>
      <c r="F847" s="1" t="s">
        <v>142</v>
      </c>
      <c r="G847" s="1"/>
    </row>
    <row r="848">
      <c r="A848" s="1" t="s">
        <v>3472</v>
      </c>
      <c r="B848" s="1" t="s">
        <v>142</v>
      </c>
      <c r="C848" s="1" t="s">
        <v>142</v>
      </c>
      <c r="D848" s="1" t="s">
        <v>3473</v>
      </c>
      <c r="E848" s="1" t="s">
        <v>144</v>
      </c>
      <c r="F848" s="1" t="s">
        <v>142</v>
      </c>
      <c r="G848" s="1"/>
    </row>
    <row r="849">
      <c r="A849" s="1" t="s">
        <v>3474</v>
      </c>
      <c r="B849" s="1" t="s">
        <v>142</v>
      </c>
      <c r="C849" s="1" t="s">
        <v>142</v>
      </c>
      <c r="D849" s="1" t="s">
        <v>3475</v>
      </c>
      <c r="E849" s="1" t="s">
        <v>144</v>
      </c>
      <c r="F849" s="1" t="s">
        <v>142</v>
      </c>
      <c r="G849" s="1"/>
    </row>
    <row r="850">
      <c r="A850" s="1" t="s">
        <v>3477</v>
      </c>
      <c r="B850" s="1" t="s">
        <v>142</v>
      </c>
      <c r="C850" s="1" t="s">
        <v>142</v>
      </c>
      <c r="D850" s="1" t="s">
        <v>3478</v>
      </c>
      <c r="E850" s="1" t="s">
        <v>144</v>
      </c>
      <c r="F850" s="1" t="s">
        <v>142</v>
      </c>
      <c r="G850" s="1"/>
    </row>
    <row r="851">
      <c r="A851" s="1" t="s">
        <v>3479</v>
      </c>
      <c r="B851" s="1" t="s">
        <v>142</v>
      </c>
      <c r="C851" s="1" t="s">
        <v>142</v>
      </c>
      <c r="D851" s="1" t="s">
        <v>3481</v>
      </c>
      <c r="E851" s="1" t="s">
        <v>144</v>
      </c>
      <c r="F851" s="1" t="s">
        <v>142</v>
      </c>
      <c r="G851" s="1"/>
    </row>
    <row r="852">
      <c r="A852" s="1" t="s">
        <v>3482</v>
      </c>
      <c r="B852" s="1" t="s">
        <v>3483</v>
      </c>
      <c r="C852" s="1" t="s">
        <v>3485</v>
      </c>
      <c r="D852" s="1" t="s">
        <v>3487</v>
      </c>
      <c r="E852" s="1" t="s">
        <v>144</v>
      </c>
      <c r="F852" s="1" t="s">
        <v>142</v>
      </c>
      <c r="G852" s="1"/>
    </row>
    <row r="853">
      <c r="A853" s="1" t="s">
        <v>3488</v>
      </c>
      <c r="B853" s="1" t="s">
        <v>142</v>
      </c>
      <c r="C853" s="1" t="s">
        <v>142</v>
      </c>
      <c r="D853" s="1" t="s">
        <v>3489</v>
      </c>
      <c r="E853" s="1" t="s">
        <v>144</v>
      </c>
      <c r="F853" s="1" t="s">
        <v>142</v>
      </c>
      <c r="G853" s="1"/>
    </row>
    <row r="854">
      <c r="A854" s="1" t="s">
        <v>3491</v>
      </c>
      <c r="B854" s="1" t="s">
        <v>142</v>
      </c>
      <c r="C854" s="1" t="s">
        <v>142</v>
      </c>
      <c r="D854" s="1" t="s">
        <v>3492</v>
      </c>
      <c r="E854" s="1" t="s">
        <v>144</v>
      </c>
      <c r="F854" s="1" t="s">
        <v>142</v>
      </c>
      <c r="G854" s="1"/>
    </row>
    <row r="855">
      <c r="A855" s="1" t="s">
        <v>3493</v>
      </c>
      <c r="B855" s="1" t="s">
        <v>142</v>
      </c>
      <c r="C855" s="1" t="s">
        <v>142</v>
      </c>
      <c r="D855" s="1" t="s">
        <v>3494</v>
      </c>
      <c r="E855" s="1" t="s">
        <v>144</v>
      </c>
      <c r="F855" s="1" t="s">
        <v>142</v>
      </c>
      <c r="G855" s="1"/>
    </row>
    <row r="856">
      <c r="A856" s="1" t="s">
        <v>3495</v>
      </c>
      <c r="B856" s="1" t="s">
        <v>142</v>
      </c>
      <c r="C856" s="1" t="s">
        <v>142</v>
      </c>
      <c r="D856" s="1" t="s">
        <v>3496</v>
      </c>
      <c r="E856" s="1" t="s">
        <v>144</v>
      </c>
      <c r="F856" s="1" t="s">
        <v>142</v>
      </c>
      <c r="G856" s="1"/>
    </row>
    <row r="857">
      <c r="A857" s="1" t="s">
        <v>3497</v>
      </c>
      <c r="B857" s="1" t="s">
        <v>142</v>
      </c>
      <c r="C857" s="1" t="s">
        <v>142</v>
      </c>
      <c r="D857" s="1" t="s">
        <v>3498</v>
      </c>
      <c r="E857" s="1" t="s">
        <v>144</v>
      </c>
      <c r="F857" s="1" t="s">
        <v>142</v>
      </c>
      <c r="G857" s="1"/>
    </row>
    <row r="858">
      <c r="A858" s="1" t="s">
        <v>3499</v>
      </c>
      <c r="B858" s="1" t="s">
        <v>142</v>
      </c>
      <c r="C858" s="1" t="s">
        <v>142</v>
      </c>
      <c r="D858" s="1" t="s">
        <v>3500</v>
      </c>
      <c r="E858" s="1" t="s">
        <v>144</v>
      </c>
      <c r="F858" s="1" t="s">
        <v>142</v>
      </c>
      <c r="G858" s="1"/>
    </row>
    <row r="859">
      <c r="A859" s="1" t="s">
        <v>3501</v>
      </c>
      <c r="B859" s="1" t="s">
        <v>142</v>
      </c>
      <c r="C859" s="1" t="s">
        <v>142</v>
      </c>
      <c r="D859" s="1" t="s">
        <v>3502</v>
      </c>
      <c r="E859" s="1" t="s">
        <v>144</v>
      </c>
      <c r="F859" s="1" t="s">
        <v>142</v>
      </c>
      <c r="G859" s="1"/>
    </row>
    <row r="860">
      <c r="A860" s="1" t="s">
        <v>3503</v>
      </c>
      <c r="B860" s="1" t="s">
        <v>142</v>
      </c>
      <c r="C860" s="1" t="s">
        <v>142</v>
      </c>
      <c r="D860" s="1" t="s">
        <v>3504</v>
      </c>
      <c r="E860" s="1" t="s">
        <v>144</v>
      </c>
      <c r="F860" s="1" t="s">
        <v>142</v>
      </c>
      <c r="G860" s="1"/>
    </row>
    <row r="861">
      <c r="A861" s="1" t="s">
        <v>3505</v>
      </c>
      <c r="B861" s="1" t="s">
        <v>142</v>
      </c>
      <c r="C861" s="1" t="s">
        <v>142</v>
      </c>
      <c r="D861" s="1" t="s">
        <v>3506</v>
      </c>
      <c r="E861" s="1" t="s">
        <v>144</v>
      </c>
      <c r="F861" s="1" t="s">
        <v>142</v>
      </c>
      <c r="G861" s="1"/>
    </row>
    <row r="862">
      <c r="A862" s="1" t="s">
        <v>3507</v>
      </c>
      <c r="B862" s="1" t="s">
        <v>142</v>
      </c>
      <c r="C862" s="1" t="s">
        <v>142</v>
      </c>
      <c r="D862" s="1" t="s">
        <v>3508</v>
      </c>
      <c r="E862" s="1" t="s">
        <v>144</v>
      </c>
      <c r="F862" s="1" t="s">
        <v>142</v>
      </c>
      <c r="G862" s="1"/>
    </row>
    <row r="863">
      <c r="A863" s="1" t="s">
        <v>3509</v>
      </c>
      <c r="B863" s="1" t="s">
        <v>142</v>
      </c>
      <c r="C863" s="1" t="s">
        <v>142</v>
      </c>
      <c r="D863" s="1" t="s">
        <v>3510</v>
      </c>
      <c r="E863" s="1" t="s">
        <v>144</v>
      </c>
      <c r="F863" s="1" t="s">
        <v>142</v>
      </c>
      <c r="G863" s="1"/>
    </row>
    <row r="864">
      <c r="A864" s="1" t="s">
        <v>3511</v>
      </c>
      <c r="B864" s="1" t="s">
        <v>142</v>
      </c>
      <c r="C864" s="1" t="s">
        <v>142</v>
      </c>
      <c r="D864" s="1" t="s">
        <v>3512</v>
      </c>
      <c r="E864" s="1" t="s">
        <v>144</v>
      </c>
      <c r="F864" s="1" t="s">
        <v>142</v>
      </c>
      <c r="G864" s="1"/>
    </row>
    <row r="865">
      <c r="A865" s="1" t="s">
        <v>3513</v>
      </c>
      <c r="B865" s="1" t="s">
        <v>142</v>
      </c>
      <c r="C865" s="1" t="s">
        <v>142</v>
      </c>
      <c r="D865" s="1" t="s">
        <v>3514</v>
      </c>
      <c r="E865" s="1" t="s">
        <v>144</v>
      </c>
      <c r="F865" s="1" t="s">
        <v>142</v>
      </c>
      <c r="G865" s="1"/>
    </row>
    <row r="866">
      <c r="A866" s="1" t="s">
        <v>3515</v>
      </c>
      <c r="B866" s="1" t="s">
        <v>142</v>
      </c>
      <c r="C866" s="1" t="s">
        <v>142</v>
      </c>
      <c r="D866" s="1" t="s">
        <v>3516</v>
      </c>
      <c r="E866" s="1" t="s">
        <v>144</v>
      </c>
      <c r="F866" s="1" t="s">
        <v>142</v>
      </c>
      <c r="G866" s="1"/>
    </row>
    <row r="867">
      <c r="A867" s="1" t="s">
        <v>3517</v>
      </c>
      <c r="B867" s="1" t="s">
        <v>142</v>
      </c>
      <c r="C867" s="1" t="s">
        <v>142</v>
      </c>
      <c r="D867" s="1" t="s">
        <v>3518</v>
      </c>
      <c r="E867" s="1" t="s">
        <v>144</v>
      </c>
      <c r="F867" s="1" t="s">
        <v>142</v>
      </c>
      <c r="G867" s="1"/>
    </row>
    <row r="868">
      <c r="A868" s="1" t="s">
        <v>3520</v>
      </c>
      <c r="B868" s="1" t="s">
        <v>142</v>
      </c>
      <c r="C868" s="1" t="s">
        <v>142</v>
      </c>
      <c r="D868" s="1" t="s">
        <v>3521</v>
      </c>
      <c r="E868" s="1" t="s">
        <v>144</v>
      </c>
      <c r="F868" s="1" t="s">
        <v>142</v>
      </c>
      <c r="G868" s="1"/>
    </row>
    <row r="869">
      <c r="A869" s="1" t="s">
        <v>3523</v>
      </c>
      <c r="B869" s="1" t="s">
        <v>142</v>
      </c>
      <c r="C869" s="1" t="s">
        <v>142</v>
      </c>
      <c r="D869" s="1" t="s">
        <v>3524</v>
      </c>
      <c r="E869" s="1" t="s">
        <v>144</v>
      </c>
      <c r="F869" s="1" t="s">
        <v>142</v>
      </c>
      <c r="G869" s="1"/>
    </row>
    <row r="870">
      <c r="A870" s="1" t="s">
        <v>3525</v>
      </c>
      <c r="B870" s="1" t="s">
        <v>142</v>
      </c>
      <c r="C870" s="1" t="s">
        <v>142</v>
      </c>
      <c r="D870" s="1" t="s">
        <v>3526</v>
      </c>
      <c r="E870" s="1" t="s">
        <v>144</v>
      </c>
      <c r="F870" s="1" t="s">
        <v>142</v>
      </c>
      <c r="G870" s="1"/>
    </row>
    <row r="871">
      <c r="A871" s="1" t="s">
        <v>3527</v>
      </c>
      <c r="B871" s="1" t="s">
        <v>142</v>
      </c>
      <c r="C871" s="1" t="s">
        <v>142</v>
      </c>
      <c r="D871" s="1" t="s">
        <v>3528</v>
      </c>
      <c r="E871" s="1" t="s">
        <v>144</v>
      </c>
      <c r="F871" s="1" t="s">
        <v>142</v>
      </c>
      <c r="G871" s="1"/>
    </row>
    <row r="872">
      <c r="A872" s="1" t="s">
        <v>3529</v>
      </c>
      <c r="B872" s="1" t="s">
        <v>142</v>
      </c>
      <c r="C872" s="1" t="s">
        <v>142</v>
      </c>
      <c r="D872" s="1" t="s">
        <v>3531</v>
      </c>
      <c r="E872" s="1" t="s">
        <v>144</v>
      </c>
      <c r="F872" s="1" t="s">
        <v>142</v>
      </c>
      <c r="G872" s="1"/>
    </row>
    <row r="873">
      <c r="A873" s="1" t="s">
        <v>3532</v>
      </c>
      <c r="B873" s="1" t="s">
        <v>142</v>
      </c>
      <c r="C873" s="1" t="s">
        <v>142</v>
      </c>
      <c r="D873" s="1" t="s">
        <v>3533</v>
      </c>
      <c r="E873" s="1" t="s">
        <v>144</v>
      </c>
      <c r="F873" s="1" t="s">
        <v>142</v>
      </c>
      <c r="G873" s="1"/>
    </row>
    <row r="874">
      <c r="A874" s="1" t="s">
        <v>3535</v>
      </c>
      <c r="B874" s="1" t="s">
        <v>142</v>
      </c>
      <c r="C874" s="1" t="s">
        <v>142</v>
      </c>
      <c r="D874" s="1" t="s">
        <v>3536</v>
      </c>
      <c r="E874" s="1" t="s">
        <v>144</v>
      </c>
      <c r="F874" s="1" t="s">
        <v>142</v>
      </c>
      <c r="G874" s="1"/>
    </row>
    <row r="875">
      <c r="A875" s="1" t="s">
        <v>3537</v>
      </c>
      <c r="B875" s="1" t="s">
        <v>142</v>
      </c>
      <c r="C875" s="1" t="s">
        <v>142</v>
      </c>
      <c r="D875" s="1" t="s">
        <v>3539</v>
      </c>
      <c r="E875" s="1" t="s">
        <v>144</v>
      </c>
      <c r="F875" s="1" t="s">
        <v>142</v>
      </c>
      <c r="G875" s="1"/>
    </row>
    <row r="876">
      <c r="A876" s="1" t="s">
        <v>3540</v>
      </c>
      <c r="B876" s="1" t="s">
        <v>142</v>
      </c>
      <c r="C876" s="1" t="s">
        <v>142</v>
      </c>
      <c r="D876" s="1" t="s">
        <v>3541</v>
      </c>
      <c r="E876" s="1" t="s">
        <v>144</v>
      </c>
      <c r="F876" s="1" t="s">
        <v>142</v>
      </c>
      <c r="G876" s="1"/>
    </row>
    <row r="877">
      <c r="A877" s="1" t="s">
        <v>3542</v>
      </c>
      <c r="B877" s="1" t="s">
        <v>142</v>
      </c>
      <c r="C877" s="1" t="s">
        <v>142</v>
      </c>
      <c r="D877" s="1" t="s">
        <v>3543</v>
      </c>
      <c r="E877" s="1" t="s">
        <v>144</v>
      </c>
      <c r="F877" s="1" t="s">
        <v>142</v>
      </c>
      <c r="G877" s="1"/>
    </row>
    <row r="878">
      <c r="A878" s="1" t="s">
        <v>3544</v>
      </c>
      <c r="B878" s="1" t="s">
        <v>142</v>
      </c>
      <c r="C878" s="1" t="s">
        <v>142</v>
      </c>
      <c r="D878" s="1" t="s">
        <v>3546</v>
      </c>
      <c r="E878" s="1" t="s">
        <v>144</v>
      </c>
      <c r="F878" s="1" t="s">
        <v>142</v>
      </c>
      <c r="G878" s="1"/>
    </row>
    <row r="879">
      <c r="A879" s="1" t="s">
        <v>3547</v>
      </c>
      <c r="B879" s="1" t="s">
        <v>142</v>
      </c>
      <c r="C879" s="1" t="s">
        <v>142</v>
      </c>
      <c r="D879" s="1" t="s">
        <v>3548</v>
      </c>
      <c r="E879" s="1" t="s">
        <v>144</v>
      </c>
      <c r="F879" s="1" t="s">
        <v>142</v>
      </c>
      <c r="G879" s="1"/>
    </row>
    <row r="880">
      <c r="A880" s="1" t="s">
        <v>3549</v>
      </c>
      <c r="B880" s="1" t="s">
        <v>142</v>
      </c>
      <c r="C880" s="1" t="s">
        <v>142</v>
      </c>
      <c r="D880" s="1" t="s">
        <v>3551</v>
      </c>
      <c r="E880" s="1" t="s">
        <v>144</v>
      </c>
      <c r="F880" s="1" t="s">
        <v>142</v>
      </c>
      <c r="G880" s="1"/>
    </row>
    <row r="881">
      <c r="A881" s="1" t="s">
        <v>3552</v>
      </c>
      <c r="B881" s="1" t="s">
        <v>142</v>
      </c>
      <c r="C881" s="1" t="s">
        <v>142</v>
      </c>
      <c r="D881" s="1" t="s">
        <v>3553</v>
      </c>
      <c r="E881" s="1" t="s">
        <v>144</v>
      </c>
      <c r="F881" s="1" t="s">
        <v>142</v>
      </c>
      <c r="G881" s="1"/>
    </row>
    <row r="882">
      <c r="A882" s="1" t="s">
        <v>3554</v>
      </c>
      <c r="B882" s="1" t="s">
        <v>142</v>
      </c>
      <c r="C882" s="1" t="s">
        <v>142</v>
      </c>
      <c r="D882" s="1" t="s">
        <v>3555</v>
      </c>
      <c r="E882" s="1" t="s">
        <v>144</v>
      </c>
      <c r="F882" s="1" t="s">
        <v>142</v>
      </c>
      <c r="G882" s="1"/>
    </row>
    <row r="883">
      <c r="A883" s="1" t="s">
        <v>3557</v>
      </c>
      <c r="B883" s="1" t="s">
        <v>142</v>
      </c>
      <c r="C883" s="1" t="s">
        <v>142</v>
      </c>
      <c r="D883" s="1" t="s">
        <v>3558</v>
      </c>
      <c r="E883" s="1" t="s">
        <v>144</v>
      </c>
      <c r="F883" s="1" t="s">
        <v>142</v>
      </c>
      <c r="G883" s="1"/>
    </row>
    <row r="884">
      <c r="A884" s="1" t="s">
        <v>3559</v>
      </c>
      <c r="B884" s="1" t="s">
        <v>142</v>
      </c>
      <c r="C884" s="1" t="s">
        <v>142</v>
      </c>
      <c r="D884" s="1" t="s">
        <v>3560</v>
      </c>
      <c r="E884" s="1" t="s">
        <v>144</v>
      </c>
      <c r="F884" s="1" t="s">
        <v>142</v>
      </c>
      <c r="G884" s="1"/>
    </row>
    <row r="885">
      <c r="A885" s="1" t="s">
        <v>3562</v>
      </c>
      <c r="B885" s="1" t="s">
        <v>142</v>
      </c>
      <c r="C885" s="1" t="s">
        <v>142</v>
      </c>
      <c r="D885" s="1" t="s">
        <v>3563</v>
      </c>
      <c r="E885" s="1" t="s">
        <v>144</v>
      </c>
      <c r="F885" s="1" t="s">
        <v>142</v>
      </c>
      <c r="G885" s="1"/>
    </row>
    <row r="886">
      <c r="A886" s="1" t="s">
        <v>3564</v>
      </c>
      <c r="B886" s="1" t="s">
        <v>142</v>
      </c>
      <c r="C886" s="1" t="s">
        <v>142</v>
      </c>
      <c r="D886" s="1" t="s">
        <v>3565</v>
      </c>
      <c r="E886" s="1" t="s">
        <v>144</v>
      </c>
      <c r="F886" s="1" t="s">
        <v>142</v>
      </c>
      <c r="G886" s="1"/>
    </row>
    <row r="887">
      <c r="A887" s="1" t="s">
        <v>3566</v>
      </c>
      <c r="B887" s="1" t="s">
        <v>142</v>
      </c>
      <c r="C887" s="1" t="s">
        <v>142</v>
      </c>
      <c r="D887" s="1" t="s">
        <v>3568</v>
      </c>
      <c r="E887" s="1" t="s">
        <v>144</v>
      </c>
      <c r="F887" s="1" t="s">
        <v>142</v>
      </c>
      <c r="G887" s="1"/>
    </row>
    <row r="888">
      <c r="A888" s="1" t="s">
        <v>3569</v>
      </c>
      <c r="B888" s="1" t="s">
        <v>142</v>
      </c>
      <c r="C888" s="1" t="s">
        <v>142</v>
      </c>
      <c r="D888" s="1" t="s">
        <v>3570</v>
      </c>
      <c r="E888" s="1" t="s">
        <v>144</v>
      </c>
      <c r="F888" s="1" t="s">
        <v>142</v>
      </c>
      <c r="G888" s="1"/>
    </row>
    <row r="889">
      <c r="A889" s="1" t="s">
        <v>3571</v>
      </c>
      <c r="B889" s="1" t="s">
        <v>142</v>
      </c>
      <c r="C889" s="1" t="s">
        <v>142</v>
      </c>
      <c r="D889" s="1" t="s">
        <v>3573</v>
      </c>
      <c r="E889" s="1" t="s">
        <v>144</v>
      </c>
      <c r="F889" s="1" t="s">
        <v>142</v>
      </c>
      <c r="G889" s="1"/>
    </row>
    <row r="890">
      <c r="A890" s="1" t="s">
        <v>3574</v>
      </c>
      <c r="B890" s="1" t="s">
        <v>142</v>
      </c>
      <c r="C890" s="1" t="s">
        <v>142</v>
      </c>
      <c r="D890" s="1" t="s">
        <v>3575</v>
      </c>
      <c r="E890" s="1" t="s">
        <v>144</v>
      </c>
      <c r="F890" s="1" t="s">
        <v>142</v>
      </c>
      <c r="G890" s="1"/>
    </row>
    <row r="891">
      <c r="A891" s="1" t="s">
        <v>3577</v>
      </c>
      <c r="B891" s="1" t="s">
        <v>142</v>
      </c>
      <c r="C891" s="1" t="s">
        <v>142</v>
      </c>
      <c r="D891" s="1" t="s">
        <v>3578</v>
      </c>
      <c r="E891" s="1" t="s">
        <v>144</v>
      </c>
      <c r="F891" s="1" t="s">
        <v>142</v>
      </c>
      <c r="G891" s="1"/>
    </row>
    <row r="892">
      <c r="A892" s="1" t="s">
        <v>3579</v>
      </c>
      <c r="B892" s="1" t="s">
        <v>142</v>
      </c>
      <c r="C892" s="1" t="s">
        <v>142</v>
      </c>
      <c r="D892" s="1" t="s">
        <v>3580</v>
      </c>
      <c r="E892" s="1" t="s">
        <v>144</v>
      </c>
      <c r="F892" s="1" t="s">
        <v>142</v>
      </c>
      <c r="G892" s="1"/>
    </row>
    <row r="893">
      <c r="A893" s="1" t="s">
        <v>3582</v>
      </c>
      <c r="B893" s="1" t="s">
        <v>142</v>
      </c>
      <c r="C893" s="1" t="s">
        <v>142</v>
      </c>
      <c r="D893" s="1" t="s">
        <v>3583</v>
      </c>
      <c r="E893" s="1" t="s">
        <v>144</v>
      </c>
      <c r="F893" s="1" t="s">
        <v>142</v>
      </c>
      <c r="G893" s="1"/>
    </row>
    <row r="894">
      <c r="A894" s="1" t="s">
        <v>3597</v>
      </c>
      <c r="B894" s="1" t="s">
        <v>142</v>
      </c>
      <c r="C894" s="1" t="s">
        <v>142</v>
      </c>
      <c r="D894" s="1" t="s">
        <v>3598</v>
      </c>
      <c r="E894" s="1" t="s">
        <v>144</v>
      </c>
      <c r="F894" s="1" t="s">
        <v>142</v>
      </c>
      <c r="G894" s="1"/>
    </row>
    <row r="895">
      <c r="A895" s="1" t="s">
        <v>3599</v>
      </c>
      <c r="B895" s="1" t="s">
        <v>142</v>
      </c>
      <c r="C895" s="1" t="s">
        <v>142</v>
      </c>
      <c r="D895" s="1" t="s">
        <v>3600</v>
      </c>
      <c r="E895" s="1" t="s">
        <v>144</v>
      </c>
      <c r="F895" s="1" t="s">
        <v>142</v>
      </c>
      <c r="G895" s="1"/>
    </row>
    <row r="896">
      <c r="A896" s="1" t="s">
        <v>3601</v>
      </c>
      <c r="B896" s="1" t="s">
        <v>142</v>
      </c>
      <c r="C896" s="1" t="s">
        <v>142</v>
      </c>
      <c r="D896" s="1" t="s">
        <v>3602</v>
      </c>
      <c r="E896" s="1" t="s">
        <v>144</v>
      </c>
      <c r="F896" s="1" t="s">
        <v>142</v>
      </c>
      <c r="G896" s="1"/>
    </row>
    <row r="897">
      <c r="A897" s="1" t="s">
        <v>3603</v>
      </c>
      <c r="B897" s="1" t="s">
        <v>142</v>
      </c>
      <c r="C897" s="1" t="s">
        <v>142</v>
      </c>
      <c r="D897" s="1" t="s">
        <v>3604</v>
      </c>
      <c r="E897" s="1" t="s">
        <v>144</v>
      </c>
      <c r="F897" s="1" t="s">
        <v>142</v>
      </c>
      <c r="G897" s="1"/>
    </row>
    <row r="898">
      <c r="A898" s="1" t="s">
        <v>3605</v>
      </c>
      <c r="B898" s="1" t="s">
        <v>142</v>
      </c>
      <c r="C898" s="1" t="s">
        <v>142</v>
      </c>
      <c r="D898" s="1" t="s">
        <v>3606</v>
      </c>
      <c r="E898" s="1" t="s">
        <v>144</v>
      </c>
      <c r="F898" s="1" t="s">
        <v>142</v>
      </c>
      <c r="G898" s="1"/>
    </row>
    <row r="899">
      <c r="A899" s="1" t="s">
        <v>3607</v>
      </c>
      <c r="B899" s="1" t="s">
        <v>142</v>
      </c>
      <c r="C899" s="1" t="s">
        <v>142</v>
      </c>
      <c r="D899" s="1" t="s">
        <v>3608</v>
      </c>
      <c r="E899" s="1" t="s">
        <v>144</v>
      </c>
      <c r="F899" s="1" t="s">
        <v>142</v>
      </c>
      <c r="G899" s="1"/>
    </row>
    <row r="900">
      <c r="A900" s="1" t="s">
        <v>3609</v>
      </c>
      <c r="B900" s="1" t="s">
        <v>142</v>
      </c>
      <c r="C900" s="1" t="s">
        <v>142</v>
      </c>
      <c r="D900" s="1" t="s">
        <v>3610</v>
      </c>
      <c r="E900" s="1" t="s">
        <v>144</v>
      </c>
      <c r="F900" s="1" t="s">
        <v>142</v>
      </c>
      <c r="G900" s="1"/>
    </row>
    <row r="901">
      <c r="A901" s="1" t="s">
        <v>3611</v>
      </c>
      <c r="B901" s="1" t="s">
        <v>142</v>
      </c>
      <c r="C901" s="1" t="s">
        <v>142</v>
      </c>
      <c r="D901" s="1" t="s">
        <v>3612</v>
      </c>
      <c r="E901" s="1" t="s">
        <v>144</v>
      </c>
      <c r="F901" s="1" t="s">
        <v>142</v>
      </c>
      <c r="G901" s="1"/>
    </row>
    <row r="902">
      <c r="A902" s="1" t="s">
        <v>3613</v>
      </c>
      <c r="B902" s="1" t="s">
        <v>142</v>
      </c>
      <c r="C902" s="1" t="s">
        <v>142</v>
      </c>
      <c r="D902" s="1" t="s">
        <v>3614</v>
      </c>
      <c r="E902" s="1" t="s">
        <v>144</v>
      </c>
      <c r="F902" s="1" t="s">
        <v>142</v>
      </c>
      <c r="G902" s="1"/>
    </row>
    <row r="903">
      <c r="A903" s="1" t="s">
        <v>3615</v>
      </c>
      <c r="B903" s="1" t="s">
        <v>142</v>
      </c>
      <c r="C903" s="1" t="s">
        <v>142</v>
      </c>
      <c r="D903" s="1" t="s">
        <v>3616</v>
      </c>
      <c r="E903" s="1" t="s">
        <v>144</v>
      </c>
      <c r="F903" s="1" t="s">
        <v>142</v>
      </c>
      <c r="G903" s="1"/>
    </row>
    <row r="904">
      <c r="A904" s="1" t="s">
        <v>3617</v>
      </c>
      <c r="B904" s="1" t="s">
        <v>142</v>
      </c>
      <c r="C904" s="1" t="s">
        <v>142</v>
      </c>
      <c r="D904" s="1" t="s">
        <v>3618</v>
      </c>
      <c r="E904" s="1" t="s">
        <v>144</v>
      </c>
      <c r="F904" s="1" t="s">
        <v>142</v>
      </c>
      <c r="G904" s="1"/>
    </row>
    <row r="905">
      <c r="A905" s="1" t="s">
        <v>3619</v>
      </c>
      <c r="B905" s="1" t="s">
        <v>142</v>
      </c>
      <c r="C905" s="1" t="s">
        <v>142</v>
      </c>
      <c r="D905" s="1" t="s">
        <v>3620</v>
      </c>
      <c r="E905" s="1" t="s">
        <v>144</v>
      </c>
      <c r="F905" s="1" t="s">
        <v>142</v>
      </c>
      <c r="G905" s="1"/>
    </row>
    <row r="906">
      <c r="A906" s="1" t="s">
        <v>3621</v>
      </c>
      <c r="B906" s="1" t="s">
        <v>142</v>
      </c>
      <c r="C906" s="1" t="s">
        <v>142</v>
      </c>
      <c r="D906" s="1" t="s">
        <v>3622</v>
      </c>
      <c r="E906" s="1" t="s">
        <v>144</v>
      </c>
      <c r="F906" s="1" t="s">
        <v>142</v>
      </c>
      <c r="G906" s="1"/>
    </row>
    <row r="907">
      <c r="A907" s="1" t="s">
        <v>3623</v>
      </c>
      <c r="B907" s="1" t="s">
        <v>142</v>
      </c>
      <c r="C907" s="1" t="s">
        <v>142</v>
      </c>
      <c r="D907" s="1" t="s">
        <v>3624</v>
      </c>
      <c r="E907" s="1" t="s">
        <v>144</v>
      </c>
      <c r="F907" s="1" t="s">
        <v>142</v>
      </c>
      <c r="G907" s="1"/>
    </row>
    <row r="908">
      <c r="A908" s="1" t="s">
        <v>3625</v>
      </c>
      <c r="B908" s="1" t="s">
        <v>142</v>
      </c>
      <c r="C908" s="1" t="s">
        <v>142</v>
      </c>
      <c r="D908" s="1" t="s">
        <v>3626</v>
      </c>
      <c r="E908" s="1" t="s">
        <v>144</v>
      </c>
      <c r="F908" s="1" t="s">
        <v>142</v>
      </c>
      <c r="G908" s="1"/>
    </row>
    <row r="909">
      <c r="A909" s="1" t="s">
        <v>3627</v>
      </c>
      <c r="B909" s="1" t="s">
        <v>142</v>
      </c>
      <c r="C909" s="1" t="s">
        <v>142</v>
      </c>
      <c r="D909" s="1" t="s">
        <v>3628</v>
      </c>
      <c r="E909" s="1" t="s">
        <v>144</v>
      </c>
      <c r="F909" s="1" t="s">
        <v>142</v>
      </c>
      <c r="G909" s="1"/>
    </row>
    <row r="910">
      <c r="A910" s="1" t="s">
        <v>3629</v>
      </c>
      <c r="B910" s="1" t="s">
        <v>142</v>
      </c>
      <c r="C910" s="1" t="s">
        <v>142</v>
      </c>
      <c r="D910" s="1" t="s">
        <v>3630</v>
      </c>
      <c r="E910" s="1" t="s">
        <v>144</v>
      </c>
      <c r="F910" s="1" t="s">
        <v>142</v>
      </c>
      <c r="G910" s="1"/>
    </row>
    <row r="911">
      <c r="A911" s="1" t="s">
        <v>3631</v>
      </c>
      <c r="B911" s="1" t="s">
        <v>142</v>
      </c>
      <c r="C911" s="1" t="s">
        <v>142</v>
      </c>
      <c r="D911" s="1" t="s">
        <v>3632</v>
      </c>
      <c r="E911" s="1" t="s">
        <v>144</v>
      </c>
      <c r="F911" s="1" t="s">
        <v>142</v>
      </c>
      <c r="G911" s="1"/>
    </row>
    <row r="912">
      <c r="A912" s="1" t="s">
        <v>3633</v>
      </c>
      <c r="B912" s="1" t="s">
        <v>3634</v>
      </c>
      <c r="C912" s="1" t="s">
        <v>3635</v>
      </c>
      <c r="D912" s="1" t="s">
        <v>3636</v>
      </c>
      <c r="E912" s="1" t="s">
        <v>971</v>
      </c>
      <c r="F912" s="1">
        <v>6.0</v>
      </c>
      <c r="G912" s="1">
        <v>7.0</v>
      </c>
    </row>
    <row r="913">
      <c r="A913" s="1" t="s">
        <v>3637</v>
      </c>
      <c r="B913" s="1" t="s">
        <v>142</v>
      </c>
      <c r="C913" s="1" t="s">
        <v>142</v>
      </c>
      <c r="D913" s="1" t="s">
        <v>3638</v>
      </c>
      <c r="E913" s="1" t="s">
        <v>144</v>
      </c>
      <c r="F913" s="1" t="s">
        <v>142</v>
      </c>
      <c r="G913" s="1"/>
    </row>
    <row r="914">
      <c r="A914" s="1" t="s">
        <v>3639</v>
      </c>
      <c r="B914" s="1" t="s">
        <v>142</v>
      </c>
      <c r="C914" s="1" t="s">
        <v>142</v>
      </c>
      <c r="D914" s="1" t="s">
        <v>3640</v>
      </c>
      <c r="E914" s="1" t="s">
        <v>144</v>
      </c>
      <c r="F914" s="1" t="s">
        <v>142</v>
      </c>
      <c r="G914" s="1"/>
    </row>
    <row r="915">
      <c r="A915" s="1" t="s">
        <v>3641</v>
      </c>
      <c r="B915" s="1" t="s">
        <v>142</v>
      </c>
      <c r="C915" s="1" t="s">
        <v>142</v>
      </c>
      <c r="D915" s="1" t="s">
        <v>3642</v>
      </c>
      <c r="E915" s="1" t="s">
        <v>144</v>
      </c>
      <c r="F915" s="1" t="s">
        <v>142</v>
      </c>
      <c r="G915" s="1"/>
    </row>
    <row r="916">
      <c r="A916" s="1" t="s">
        <v>3643</v>
      </c>
      <c r="B916" s="1" t="s">
        <v>142</v>
      </c>
      <c r="C916" s="1" t="s">
        <v>142</v>
      </c>
      <c r="D916" s="1" t="s">
        <v>3644</v>
      </c>
      <c r="E916" s="1" t="s">
        <v>144</v>
      </c>
      <c r="F916" s="1" t="s">
        <v>142</v>
      </c>
      <c r="G916" s="1"/>
    </row>
    <row r="917">
      <c r="A917" s="1" t="s">
        <v>3645</v>
      </c>
      <c r="B917" s="1" t="s">
        <v>142</v>
      </c>
      <c r="C917" s="1" t="s">
        <v>142</v>
      </c>
      <c r="D917" s="1" t="s">
        <v>3646</v>
      </c>
      <c r="E917" s="1" t="s">
        <v>144</v>
      </c>
      <c r="F917" s="1" t="s">
        <v>142</v>
      </c>
      <c r="G917" s="1"/>
    </row>
    <row r="918">
      <c r="A918" s="1" t="s">
        <v>3647</v>
      </c>
      <c r="B918" s="1" t="s">
        <v>142</v>
      </c>
      <c r="C918" s="1" t="s">
        <v>142</v>
      </c>
      <c r="D918" s="1" t="s">
        <v>3648</v>
      </c>
      <c r="E918" s="1" t="s">
        <v>144</v>
      </c>
      <c r="F918" s="1" t="s">
        <v>142</v>
      </c>
      <c r="G918" s="1"/>
    </row>
    <row r="919">
      <c r="A919" s="1" t="s">
        <v>3649</v>
      </c>
      <c r="B919" s="1" t="s">
        <v>142</v>
      </c>
      <c r="C919" s="1" t="s">
        <v>142</v>
      </c>
      <c r="D919" s="1" t="s">
        <v>3650</v>
      </c>
      <c r="E919" s="1" t="s">
        <v>144</v>
      </c>
      <c r="F919" s="1" t="s">
        <v>142</v>
      </c>
      <c r="G919" s="1"/>
    </row>
    <row r="920">
      <c r="A920" s="1" t="s">
        <v>3652</v>
      </c>
      <c r="B920" s="1" t="s">
        <v>142</v>
      </c>
      <c r="C920" s="1" t="s">
        <v>142</v>
      </c>
      <c r="D920" s="1" t="s">
        <v>3653</v>
      </c>
      <c r="E920" s="1" t="s">
        <v>144</v>
      </c>
      <c r="F920" s="1" t="s">
        <v>142</v>
      </c>
      <c r="G920" s="1"/>
    </row>
    <row r="921">
      <c r="A921" s="1" t="s">
        <v>3654</v>
      </c>
      <c r="B921" s="1" t="s">
        <v>142</v>
      </c>
      <c r="C921" s="1" t="s">
        <v>142</v>
      </c>
      <c r="D921" s="1" t="s">
        <v>3655</v>
      </c>
      <c r="E921" s="1" t="s">
        <v>144</v>
      </c>
      <c r="F921" s="1" t="s">
        <v>142</v>
      </c>
      <c r="G921" s="1"/>
    </row>
    <row r="922">
      <c r="A922" s="1" t="s">
        <v>3656</v>
      </c>
      <c r="B922" s="1" t="s">
        <v>142</v>
      </c>
      <c r="C922" s="1" t="s">
        <v>142</v>
      </c>
      <c r="D922" s="1" t="s">
        <v>3657</v>
      </c>
      <c r="E922" s="1" t="s">
        <v>144</v>
      </c>
      <c r="F922" s="1" t="s">
        <v>142</v>
      </c>
      <c r="G922" s="1"/>
    </row>
    <row r="923">
      <c r="A923" s="1" t="s">
        <v>3658</v>
      </c>
      <c r="B923" s="1" t="s">
        <v>142</v>
      </c>
      <c r="C923" s="1" t="s">
        <v>142</v>
      </c>
      <c r="D923" s="1" t="s">
        <v>3659</v>
      </c>
      <c r="E923" s="1" t="s">
        <v>144</v>
      </c>
      <c r="F923" s="1" t="s">
        <v>142</v>
      </c>
      <c r="G923" s="1"/>
    </row>
    <row r="924">
      <c r="A924" s="1" t="s">
        <v>3660</v>
      </c>
      <c r="B924" s="1" t="s">
        <v>142</v>
      </c>
      <c r="C924" s="1" t="s">
        <v>142</v>
      </c>
      <c r="D924" s="1" t="s">
        <v>3661</v>
      </c>
      <c r="E924" s="1" t="s">
        <v>144</v>
      </c>
      <c r="F924" s="1" t="s">
        <v>142</v>
      </c>
      <c r="G924" s="1"/>
    </row>
    <row r="925">
      <c r="A925" s="1" t="s">
        <v>3662</v>
      </c>
      <c r="B925" s="1" t="s">
        <v>142</v>
      </c>
      <c r="C925" s="1" t="s">
        <v>142</v>
      </c>
      <c r="D925" s="1" t="s">
        <v>3663</v>
      </c>
      <c r="E925" s="1" t="s">
        <v>144</v>
      </c>
      <c r="F925" s="1" t="s">
        <v>142</v>
      </c>
      <c r="G925" s="1"/>
    </row>
    <row r="926">
      <c r="A926" s="1" t="s">
        <v>3664</v>
      </c>
      <c r="B926" s="1" t="s">
        <v>142</v>
      </c>
      <c r="C926" s="1" t="s">
        <v>142</v>
      </c>
      <c r="D926" s="1" t="s">
        <v>3665</v>
      </c>
      <c r="E926" s="1" t="s">
        <v>144</v>
      </c>
      <c r="F926" s="1" t="s">
        <v>142</v>
      </c>
      <c r="G926" s="1"/>
    </row>
    <row r="927">
      <c r="A927" s="1" t="s">
        <v>3666</v>
      </c>
      <c r="B927" s="1" t="s">
        <v>142</v>
      </c>
      <c r="C927" s="1" t="s">
        <v>142</v>
      </c>
      <c r="D927" s="1" t="s">
        <v>3667</v>
      </c>
      <c r="E927" s="1" t="s">
        <v>144</v>
      </c>
      <c r="F927" s="1" t="s">
        <v>142</v>
      </c>
      <c r="G927" s="1"/>
    </row>
    <row r="928">
      <c r="A928" s="1" t="s">
        <v>3668</v>
      </c>
      <c r="B928" s="1" t="s">
        <v>142</v>
      </c>
      <c r="C928" s="1" t="s">
        <v>142</v>
      </c>
      <c r="D928" s="1" t="s">
        <v>3669</v>
      </c>
      <c r="E928" s="1" t="s">
        <v>144</v>
      </c>
      <c r="F928" s="1" t="s">
        <v>142</v>
      </c>
      <c r="G928" s="1"/>
    </row>
    <row r="929">
      <c r="A929" s="1" t="s">
        <v>3670</v>
      </c>
      <c r="B929" s="1" t="s">
        <v>142</v>
      </c>
      <c r="C929" s="1" t="s">
        <v>142</v>
      </c>
      <c r="D929" s="1" t="s">
        <v>3671</v>
      </c>
      <c r="E929" s="1" t="s">
        <v>144</v>
      </c>
      <c r="F929" s="1" t="s">
        <v>142</v>
      </c>
      <c r="G929" s="1"/>
    </row>
    <row r="930">
      <c r="A930" s="1" t="s">
        <v>3672</v>
      </c>
      <c r="B930" s="1" t="s">
        <v>142</v>
      </c>
      <c r="C930" s="1" t="s">
        <v>142</v>
      </c>
      <c r="D930" s="1" t="s">
        <v>3674</v>
      </c>
      <c r="E930" s="1" t="s">
        <v>144</v>
      </c>
      <c r="F930" s="1" t="s">
        <v>142</v>
      </c>
      <c r="G930" s="1"/>
    </row>
    <row r="931">
      <c r="A931" s="1" t="s">
        <v>3675</v>
      </c>
      <c r="B931" s="1" t="s">
        <v>142</v>
      </c>
      <c r="C931" s="1" t="s">
        <v>142</v>
      </c>
      <c r="D931" s="1" t="s">
        <v>3676</v>
      </c>
      <c r="E931" s="1" t="s">
        <v>144</v>
      </c>
      <c r="F931" s="1" t="s">
        <v>142</v>
      </c>
      <c r="G931" s="1"/>
    </row>
    <row r="932">
      <c r="A932" s="1" t="s">
        <v>3677</v>
      </c>
      <c r="B932" s="1" t="s">
        <v>3678</v>
      </c>
      <c r="C932" s="1" t="s">
        <v>3679</v>
      </c>
      <c r="D932" s="1" t="s">
        <v>3680</v>
      </c>
      <c r="E932" s="1" t="s">
        <v>144</v>
      </c>
      <c r="F932" s="1" t="s">
        <v>142</v>
      </c>
      <c r="G932" s="1"/>
    </row>
    <row r="933">
      <c r="A933" s="1" t="s">
        <v>3681</v>
      </c>
      <c r="B933" s="1" t="s">
        <v>3682</v>
      </c>
      <c r="C933" s="1" t="s">
        <v>3684</v>
      </c>
      <c r="D933" s="1" t="s">
        <v>3685</v>
      </c>
      <c r="E933" s="1" t="s">
        <v>144</v>
      </c>
      <c r="F933" s="1" t="s">
        <v>142</v>
      </c>
      <c r="G933" s="1"/>
    </row>
    <row r="934">
      <c r="A934" s="1" t="s">
        <v>3687</v>
      </c>
      <c r="B934" s="1" t="s">
        <v>142</v>
      </c>
      <c r="C934" s="1" t="s">
        <v>142</v>
      </c>
      <c r="D934" s="1" t="s">
        <v>3689</v>
      </c>
      <c r="E934" s="1" t="s">
        <v>144</v>
      </c>
      <c r="F934" s="1" t="s">
        <v>142</v>
      </c>
      <c r="G934" s="1"/>
    </row>
    <row r="935">
      <c r="A935" s="1" t="s">
        <v>3690</v>
      </c>
      <c r="B935" s="1" t="s">
        <v>142</v>
      </c>
      <c r="C935" s="1" t="s">
        <v>142</v>
      </c>
      <c r="D935" s="1" t="s">
        <v>3691</v>
      </c>
      <c r="E935" s="1" t="s">
        <v>144</v>
      </c>
      <c r="F935" s="1" t="s">
        <v>142</v>
      </c>
      <c r="G935" s="1"/>
    </row>
    <row r="936">
      <c r="A936" s="1" t="s">
        <v>3692</v>
      </c>
      <c r="B936" s="1" t="s">
        <v>142</v>
      </c>
      <c r="C936" s="1" t="s">
        <v>142</v>
      </c>
      <c r="D936" s="1" t="s">
        <v>3693</v>
      </c>
      <c r="E936" s="1" t="s">
        <v>144</v>
      </c>
      <c r="F936" s="1" t="s">
        <v>142</v>
      </c>
      <c r="G936" s="1"/>
    </row>
    <row r="937">
      <c r="A937" s="1" t="s">
        <v>3694</v>
      </c>
      <c r="B937" s="1" t="s">
        <v>142</v>
      </c>
      <c r="C937" s="1" t="s">
        <v>142</v>
      </c>
      <c r="D937" s="1" t="s">
        <v>3695</v>
      </c>
      <c r="E937" s="1" t="s">
        <v>144</v>
      </c>
      <c r="F937" s="1" t="s">
        <v>142</v>
      </c>
      <c r="G937" s="1"/>
    </row>
    <row r="938">
      <c r="A938" s="1" t="s">
        <v>3696</v>
      </c>
      <c r="B938" s="1" t="s">
        <v>142</v>
      </c>
      <c r="C938" s="1" t="s">
        <v>142</v>
      </c>
      <c r="D938" s="1" t="s">
        <v>3697</v>
      </c>
      <c r="E938" s="1" t="s">
        <v>144</v>
      </c>
      <c r="F938" s="1" t="s">
        <v>142</v>
      </c>
      <c r="G938" s="1"/>
    </row>
    <row r="939">
      <c r="A939" s="1" t="s">
        <v>3698</v>
      </c>
      <c r="B939" s="1" t="s">
        <v>142</v>
      </c>
      <c r="C939" s="1" t="s">
        <v>142</v>
      </c>
      <c r="D939" s="1" t="s">
        <v>3699</v>
      </c>
      <c r="E939" s="1" t="s">
        <v>144</v>
      </c>
      <c r="F939" s="1" t="s">
        <v>142</v>
      </c>
      <c r="G939" s="1"/>
    </row>
    <row r="940">
      <c r="A940" s="1" t="s">
        <v>3700</v>
      </c>
      <c r="B940" s="1" t="s">
        <v>142</v>
      </c>
      <c r="C940" s="1" t="s">
        <v>142</v>
      </c>
      <c r="D940" s="1" t="s">
        <v>3701</v>
      </c>
      <c r="E940" s="1" t="s">
        <v>144</v>
      </c>
      <c r="F940" s="1" t="s">
        <v>142</v>
      </c>
      <c r="G940" s="1"/>
    </row>
    <row r="941">
      <c r="A941" s="1" t="s">
        <v>3702</v>
      </c>
      <c r="B941" s="1" t="s">
        <v>142</v>
      </c>
      <c r="C941" s="1" t="s">
        <v>142</v>
      </c>
      <c r="D941" s="1" t="s">
        <v>3703</v>
      </c>
      <c r="E941" s="1" t="s">
        <v>144</v>
      </c>
      <c r="F941" s="1" t="s">
        <v>142</v>
      </c>
      <c r="G941" s="1"/>
    </row>
    <row r="942">
      <c r="A942" s="1" t="s">
        <v>3704</v>
      </c>
      <c r="B942" s="1" t="s">
        <v>142</v>
      </c>
      <c r="C942" s="1" t="s">
        <v>142</v>
      </c>
      <c r="D942" s="1" t="s">
        <v>3705</v>
      </c>
      <c r="E942" s="1" t="s">
        <v>144</v>
      </c>
      <c r="F942" s="1" t="s">
        <v>142</v>
      </c>
      <c r="G942" s="1"/>
    </row>
    <row r="943">
      <c r="A943" s="1" t="s">
        <v>3706</v>
      </c>
      <c r="B943" s="1" t="s">
        <v>142</v>
      </c>
      <c r="C943" s="1" t="s">
        <v>142</v>
      </c>
      <c r="D943" s="1" t="s">
        <v>3707</v>
      </c>
      <c r="E943" s="1" t="s">
        <v>144</v>
      </c>
      <c r="F943" s="1" t="s">
        <v>142</v>
      </c>
      <c r="G943" s="1"/>
    </row>
    <row r="944">
      <c r="A944" s="1" t="s">
        <v>3708</v>
      </c>
      <c r="B944" s="1" t="s">
        <v>142</v>
      </c>
      <c r="C944" s="1" t="s">
        <v>142</v>
      </c>
      <c r="D944" s="1" t="s">
        <v>3709</v>
      </c>
      <c r="E944" s="1" t="s">
        <v>144</v>
      </c>
      <c r="F944" s="1" t="s">
        <v>142</v>
      </c>
      <c r="G944" s="1"/>
    </row>
    <row r="945">
      <c r="A945" s="1" t="s">
        <v>3710</v>
      </c>
      <c r="B945" s="1" t="s">
        <v>142</v>
      </c>
      <c r="C945" s="1" t="s">
        <v>142</v>
      </c>
      <c r="D945" s="1" t="s">
        <v>3711</v>
      </c>
      <c r="E945" s="1" t="s">
        <v>144</v>
      </c>
      <c r="F945" s="1" t="s">
        <v>142</v>
      </c>
      <c r="G945" s="1"/>
    </row>
    <row r="946">
      <c r="A946" s="1" t="s">
        <v>3712</v>
      </c>
      <c r="B946" s="1" t="s">
        <v>142</v>
      </c>
      <c r="C946" s="1" t="s">
        <v>142</v>
      </c>
      <c r="D946" s="1" t="s">
        <v>3713</v>
      </c>
      <c r="E946" s="1" t="s">
        <v>144</v>
      </c>
      <c r="F946" s="1" t="s">
        <v>142</v>
      </c>
      <c r="G946" s="1"/>
    </row>
    <row r="947">
      <c r="A947" s="1" t="s">
        <v>3714</v>
      </c>
      <c r="B947" s="1" t="s">
        <v>142</v>
      </c>
      <c r="C947" s="1" t="s">
        <v>142</v>
      </c>
      <c r="D947" s="1" t="s">
        <v>3715</v>
      </c>
      <c r="E947" s="1" t="s">
        <v>144</v>
      </c>
      <c r="F947" s="1" t="s">
        <v>142</v>
      </c>
      <c r="G947" s="1"/>
    </row>
    <row r="948">
      <c r="A948" s="1" t="s">
        <v>3716</v>
      </c>
      <c r="B948" s="1" t="s">
        <v>142</v>
      </c>
      <c r="C948" s="1" t="s">
        <v>142</v>
      </c>
      <c r="D948" s="1" t="s">
        <v>3717</v>
      </c>
      <c r="E948" s="1" t="s">
        <v>144</v>
      </c>
      <c r="F948" s="1" t="s">
        <v>142</v>
      </c>
      <c r="G948" s="1"/>
    </row>
    <row r="949">
      <c r="A949" s="1" t="s">
        <v>3718</v>
      </c>
      <c r="B949" s="1" t="s">
        <v>142</v>
      </c>
      <c r="C949" s="1" t="s">
        <v>142</v>
      </c>
      <c r="D949" s="1" t="s">
        <v>3719</v>
      </c>
      <c r="E949" s="1" t="s">
        <v>144</v>
      </c>
      <c r="F949" s="1" t="s">
        <v>142</v>
      </c>
      <c r="G949" s="1"/>
    </row>
    <row r="950">
      <c r="A950" s="1" t="s">
        <v>3720</v>
      </c>
      <c r="B950" s="1" t="s">
        <v>3721</v>
      </c>
      <c r="C950" s="1" t="s">
        <v>3722</v>
      </c>
      <c r="D950" s="1" t="s">
        <v>3723</v>
      </c>
      <c r="E950" s="1" t="s">
        <v>144</v>
      </c>
      <c r="F950" s="1" t="s">
        <v>142</v>
      </c>
      <c r="G950" s="1"/>
    </row>
    <row r="951">
      <c r="A951" s="1" t="s">
        <v>3724</v>
      </c>
      <c r="B951" s="1" t="s">
        <v>142</v>
      </c>
      <c r="C951" s="1" t="s">
        <v>142</v>
      </c>
      <c r="D951" s="1" t="s">
        <v>3725</v>
      </c>
      <c r="E951" s="1" t="s">
        <v>144</v>
      </c>
      <c r="F951" s="1" t="s">
        <v>142</v>
      </c>
      <c r="G951" s="1"/>
    </row>
    <row r="952">
      <c r="A952" s="1" t="s">
        <v>3726</v>
      </c>
      <c r="B952" s="1" t="s">
        <v>142</v>
      </c>
      <c r="C952" s="1" t="s">
        <v>142</v>
      </c>
      <c r="D952" s="1" t="s">
        <v>3727</v>
      </c>
      <c r="E952" s="1" t="s">
        <v>144</v>
      </c>
      <c r="F952" s="1" t="s">
        <v>142</v>
      </c>
      <c r="G952" s="1"/>
    </row>
    <row r="953">
      <c r="A953" s="1" t="s">
        <v>3728</v>
      </c>
      <c r="B953" s="1" t="s">
        <v>142</v>
      </c>
      <c r="C953" s="1" t="s">
        <v>142</v>
      </c>
      <c r="D953" s="1" t="s">
        <v>3729</v>
      </c>
      <c r="E953" s="1" t="s">
        <v>144</v>
      </c>
      <c r="F953" s="1" t="s">
        <v>142</v>
      </c>
      <c r="G953" s="1"/>
    </row>
    <row r="954">
      <c r="A954" s="1" t="s">
        <v>3730</v>
      </c>
      <c r="B954" s="1" t="s">
        <v>142</v>
      </c>
      <c r="C954" s="1" t="s">
        <v>142</v>
      </c>
      <c r="D954" s="1" t="s">
        <v>3731</v>
      </c>
      <c r="E954" s="1" t="s">
        <v>144</v>
      </c>
      <c r="F954" s="1" t="s">
        <v>142</v>
      </c>
      <c r="G954" s="1"/>
    </row>
    <row r="955">
      <c r="A955" s="1" t="s">
        <v>3732</v>
      </c>
      <c r="B955" s="1" t="s">
        <v>142</v>
      </c>
      <c r="C955" s="1" t="s">
        <v>142</v>
      </c>
      <c r="D955" s="1" t="s">
        <v>3733</v>
      </c>
      <c r="E955" s="1" t="s">
        <v>144</v>
      </c>
      <c r="F955" s="1" t="s">
        <v>142</v>
      </c>
      <c r="G955" s="1"/>
    </row>
    <row r="956">
      <c r="A956" s="1" t="s">
        <v>3734</v>
      </c>
      <c r="B956" s="1" t="s">
        <v>142</v>
      </c>
      <c r="C956" s="1" t="s">
        <v>142</v>
      </c>
      <c r="D956" s="1" t="s">
        <v>3735</v>
      </c>
      <c r="E956" s="1" t="s">
        <v>144</v>
      </c>
      <c r="F956" s="1" t="s">
        <v>142</v>
      </c>
      <c r="G956" s="1"/>
    </row>
    <row r="957">
      <c r="A957" s="1" t="s">
        <v>3736</v>
      </c>
      <c r="B957" s="1" t="s">
        <v>142</v>
      </c>
      <c r="C957" s="1" t="s">
        <v>142</v>
      </c>
      <c r="D957" s="1" t="s">
        <v>3737</v>
      </c>
      <c r="E957" s="1" t="s">
        <v>144</v>
      </c>
      <c r="F957" s="1" t="s">
        <v>142</v>
      </c>
      <c r="G957" s="1"/>
    </row>
    <row r="958">
      <c r="A958" s="1" t="s">
        <v>3738</v>
      </c>
      <c r="B958" s="1" t="s">
        <v>142</v>
      </c>
      <c r="C958" s="1" t="s">
        <v>142</v>
      </c>
      <c r="D958" s="1" t="s">
        <v>3739</v>
      </c>
      <c r="E958" s="1" t="s">
        <v>144</v>
      </c>
      <c r="F958" s="1" t="s">
        <v>142</v>
      </c>
      <c r="G958" s="1"/>
    </row>
    <row r="959">
      <c r="A959" s="1" t="s">
        <v>3740</v>
      </c>
      <c r="B959" s="1" t="s">
        <v>142</v>
      </c>
      <c r="C959" s="1" t="s">
        <v>142</v>
      </c>
      <c r="D959" s="1" t="s">
        <v>3741</v>
      </c>
      <c r="E959" s="1" t="s">
        <v>144</v>
      </c>
      <c r="F959" s="1" t="s">
        <v>142</v>
      </c>
      <c r="G959" s="1"/>
    </row>
    <row r="960">
      <c r="A960" s="1" t="s">
        <v>3742</v>
      </c>
      <c r="B960" s="1" t="s">
        <v>142</v>
      </c>
      <c r="C960" s="1" t="s">
        <v>142</v>
      </c>
      <c r="D960" s="1" t="s">
        <v>3743</v>
      </c>
      <c r="E960" s="1" t="s">
        <v>144</v>
      </c>
      <c r="F960" s="1" t="s">
        <v>142</v>
      </c>
      <c r="G960" s="1"/>
    </row>
    <row r="961">
      <c r="A961" s="1" t="s">
        <v>3744</v>
      </c>
      <c r="B961" s="1" t="s">
        <v>142</v>
      </c>
      <c r="C961" s="1" t="s">
        <v>142</v>
      </c>
      <c r="D961" s="1" t="s">
        <v>3745</v>
      </c>
      <c r="E961" s="1" t="s">
        <v>144</v>
      </c>
      <c r="F961" s="1" t="s">
        <v>142</v>
      </c>
      <c r="G961" s="1"/>
    </row>
    <row r="962">
      <c r="A962" s="1" t="s">
        <v>3746</v>
      </c>
      <c r="B962" s="1" t="s">
        <v>142</v>
      </c>
      <c r="C962" s="1" t="s">
        <v>142</v>
      </c>
      <c r="D962" s="1" t="s">
        <v>3747</v>
      </c>
      <c r="E962" s="1" t="s">
        <v>144</v>
      </c>
      <c r="F962" s="1" t="s">
        <v>142</v>
      </c>
      <c r="G962" s="1"/>
    </row>
    <row r="963">
      <c r="A963" s="1" t="s">
        <v>3748</v>
      </c>
      <c r="B963" s="1" t="s">
        <v>142</v>
      </c>
      <c r="C963" s="1" t="s">
        <v>142</v>
      </c>
      <c r="D963" s="1" t="s">
        <v>3749</v>
      </c>
      <c r="E963" s="1" t="s">
        <v>144</v>
      </c>
      <c r="F963" s="1" t="s">
        <v>142</v>
      </c>
      <c r="G963" s="1"/>
    </row>
    <row r="964">
      <c r="A964" s="1" t="s">
        <v>3750</v>
      </c>
      <c r="B964" s="1" t="s">
        <v>142</v>
      </c>
      <c r="C964" s="1" t="s">
        <v>142</v>
      </c>
      <c r="D964" s="1" t="s">
        <v>3752</v>
      </c>
      <c r="E964" s="1" t="s">
        <v>144</v>
      </c>
      <c r="F964" s="1" t="s">
        <v>142</v>
      </c>
      <c r="G964" s="1"/>
    </row>
    <row r="965">
      <c r="A965" s="1" t="s">
        <v>3753</v>
      </c>
      <c r="B965" s="1" t="s">
        <v>142</v>
      </c>
      <c r="C965" s="1" t="s">
        <v>142</v>
      </c>
      <c r="D965" s="1" t="s">
        <v>3754</v>
      </c>
      <c r="E965" s="1" t="s">
        <v>144</v>
      </c>
      <c r="F965" s="1" t="s">
        <v>142</v>
      </c>
      <c r="G965" s="1"/>
    </row>
    <row r="966">
      <c r="A966" s="1" t="s">
        <v>3755</v>
      </c>
      <c r="B966" s="1" t="s">
        <v>142</v>
      </c>
      <c r="C966" s="1" t="s">
        <v>142</v>
      </c>
      <c r="D966" s="1" t="s">
        <v>3756</v>
      </c>
      <c r="E966" s="1" t="s">
        <v>144</v>
      </c>
      <c r="F966" s="1" t="s">
        <v>142</v>
      </c>
      <c r="G966" s="1"/>
    </row>
    <row r="967">
      <c r="A967" s="1" t="s">
        <v>3757</v>
      </c>
      <c r="B967" s="1" t="s">
        <v>142</v>
      </c>
      <c r="C967" s="1" t="s">
        <v>142</v>
      </c>
      <c r="D967" s="1" t="s">
        <v>3758</v>
      </c>
      <c r="E967" s="1" t="s">
        <v>144</v>
      </c>
      <c r="F967" s="1" t="s">
        <v>142</v>
      </c>
      <c r="G967" s="1"/>
    </row>
    <row r="968">
      <c r="A968" s="1" t="s">
        <v>3759</v>
      </c>
      <c r="B968" s="1" t="s">
        <v>142</v>
      </c>
      <c r="C968" s="1" t="s">
        <v>142</v>
      </c>
      <c r="D968" s="1" t="s">
        <v>3760</v>
      </c>
      <c r="E968" s="1" t="s">
        <v>144</v>
      </c>
      <c r="F968" s="1" t="s">
        <v>142</v>
      </c>
      <c r="G968" s="1"/>
    </row>
    <row r="969">
      <c r="A969" s="1" t="s">
        <v>13</v>
      </c>
      <c r="B969" s="1" t="s">
        <v>142</v>
      </c>
      <c r="C969" s="1" t="s">
        <v>142</v>
      </c>
      <c r="D969" s="1" t="s">
        <v>3761</v>
      </c>
      <c r="E969" s="1" t="s">
        <v>144</v>
      </c>
      <c r="F969" s="1" t="s">
        <v>142</v>
      </c>
      <c r="G969" s="1"/>
    </row>
    <row r="970">
      <c r="A970" s="1" t="s">
        <v>3762</v>
      </c>
      <c r="B970" s="1" t="s">
        <v>142</v>
      </c>
      <c r="C970" s="1" t="s">
        <v>142</v>
      </c>
      <c r="D970" s="1" t="s">
        <v>3763</v>
      </c>
      <c r="E970" s="1" t="s">
        <v>144</v>
      </c>
      <c r="F970" s="1" t="s">
        <v>142</v>
      </c>
      <c r="G970" s="1"/>
    </row>
    <row r="971">
      <c r="A971" s="1" t="s">
        <v>3764</v>
      </c>
      <c r="B971" s="1" t="s">
        <v>142</v>
      </c>
      <c r="C971" s="1" t="s">
        <v>142</v>
      </c>
      <c r="D971" s="1" t="s">
        <v>3766</v>
      </c>
      <c r="E971" s="1" t="s">
        <v>144</v>
      </c>
      <c r="F971" s="1" t="s">
        <v>142</v>
      </c>
      <c r="G971" s="1"/>
    </row>
    <row r="972">
      <c r="A972" s="1" t="s">
        <v>3767</v>
      </c>
      <c r="B972" s="1" t="s">
        <v>142</v>
      </c>
      <c r="C972" s="1" t="s">
        <v>142</v>
      </c>
      <c r="D972" s="1" t="s">
        <v>3768</v>
      </c>
      <c r="E972" s="1" t="s">
        <v>144</v>
      </c>
      <c r="F972" s="1" t="s">
        <v>142</v>
      </c>
      <c r="G972" s="1"/>
    </row>
    <row r="973">
      <c r="A973" s="1" t="s">
        <v>3769</v>
      </c>
      <c r="B973" s="1" t="s">
        <v>142</v>
      </c>
      <c r="C973" s="1" t="s">
        <v>142</v>
      </c>
      <c r="D973" s="1" t="s">
        <v>3770</v>
      </c>
      <c r="E973" s="1" t="s">
        <v>144</v>
      </c>
      <c r="F973" s="1" t="s">
        <v>142</v>
      </c>
      <c r="G973" s="1"/>
    </row>
    <row r="974">
      <c r="A974" s="1" t="s">
        <v>3771</v>
      </c>
      <c r="B974" s="1" t="s">
        <v>142</v>
      </c>
      <c r="C974" s="1" t="s">
        <v>142</v>
      </c>
      <c r="D974" s="1" t="s">
        <v>3772</v>
      </c>
      <c r="E974" s="1" t="s">
        <v>144</v>
      </c>
      <c r="F974" s="1" t="s">
        <v>142</v>
      </c>
      <c r="G974" s="1"/>
    </row>
    <row r="975">
      <c r="A975" s="1" t="s">
        <v>3774</v>
      </c>
      <c r="B975" s="1" t="s">
        <v>142</v>
      </c>
      <c r="C975" s="1" t="s">
        <v>142</v>
      </c>
      <c r="D975" s="1" t="s">
        <v>3775</v>
      </c>
      <c r="E975" s="1" t="s">
        <v>144</v>
      </c>
      <c r="F975" s="1" t="s">
        <v>142</v>
      </c>
      <c r="G975" s="1"/>
    </row>
    <row r="976">
      <c r="A976" s="1" t="s">
        <v>3776</v>
      </c>
      <c r="B976" s="1" t="s">
        <v>142</v>
      </c>
      <c r="C976" s="1" t="s">
        <v>142</v>
      </c>
      <c r="D976" s="1" t="s">
        <v>3777</v>
      </c>
      <c r="E976" s="1" t="s">
        <v>144</v>
      </c>
      <c r="F976" s="1" t="s">
        <v>142</v>
      </c>
      <c r="G976" s="1"/>
    </row>
    <row r="977">
      <c r="A977" s="1" t="s">
        <v>3778</v>
      </c>
      <c r="B977" s="1" t="s">
        <v>142</v>
      </c>
      <c r="C977" s="1" t="s">
        <v>142</v>
      </c>
      <c r="D977" s="1" t="s">
        <v>3779</v>
      </c>
      <c r="E977" s="1" t="s">
        <v>144</v>
      </c>
      <c r="F977" s="1" t="s">
        <v>142</v>
      </c>
      <c r="G977" s="1"/>
    </row>
    <row r="978">
      <c r="A978" s="1" t="s">
        <v>3780</v>
      </c>
      <c r="B978" s="1" t="s">
        <v>142</v>
      </c>
      <c r="C978" s="1" t="s">
        <v>142</v>
      </c>
      <c r="D978" s="1" t="s">
        <v>3781</v>
      </c>
      <c r="E978" s="1" t="s">
        <v>144</v>
      </c>
      <c r="F978" s="1" t="s">
        <v>142</v>
      </c>
      <c r="G978" s="1"/>
    </row>
    <row r="979">
      <c r="A979" s="1" t="s">
        <v>3783</v>
      </c>
      <c r="B979" s="1" t="s">
        <v>142</v>
      </c>
      <c r="C979" s="1" t="s">
        <v>142</v>
      </c>
      <c r="D979" s="1" t="s">
        <v>3784</v>
      </c>
      <c r="E979" s="1" t="s">
        <v>144</v>
      </c>
      <c r="F979" s="1" t="s">
        <v>142</v>
      </c>
      <c r="G979" s="1"/>
    </row>
    <row r="980">
      <c r="A980" s="1" t="s">
        <v>3785</v>
      </c>
      <c r="B980" s="1" t="s">
        <v>142</v>
      </c>
      <c r="C980" s="1" t="s">
        <v>142</v>
      </c>
      <c r="D980" s="1" t="s">
        <v>3786</v>
      </c>
      <c r="E980" s="1" t="s">
        <v>144</v>
      </c>
      <c r="F980" s="1" t="s">
        <v>142</v>
      </c>
      <c r="G980" s="1"/>
    </row>
    <row r="981">
      <c r="A981" s="1" t="s">
        <v>3788</v>
      </c>
      <c r="B981" s="1" t="s">
        <v>142</v>
      </c>
      <c r="C981" s="1" t="s">
        <v>142</v>
      </c>
      <c r="D981" s="1" t="s">
        <v>3789</v>
      </c>
      <c r="E981" s="1" t="s">
        <v>144</v>
      </c>
      <c r="F981" s="1" t="s">
        <v>142</v>
      </c>
      <c r="G981" s="1"/>
    </row>
    <row r="982">
      <c r="A982" s="1" t="s">
        <v>3790</v>
      </c>
      <c r="B982" s="1" t="s">
        <v>142</v>
      </c>
      <c r="C982" s="1" t="s">
        <v>142</v>
      </c>
      <c r="D982" s="1" t="s">
        <v>3791</v>
      </c>
      <c r="E982" s="1" t="s">
        <v>144</v>
      </c>
      <c r="F982" s="1" t="s">
        <v>142</v>
      </c>
      <c r="G982" s="1"/>
    </row>
    <row r="983">
      <c r="A983" s="1" t="s">
        <v>3792</v>
      </c>
      <c r="B983" s="1" t="s">
        <v>142</v>
      </c>
      <c r="C983" s="1" t="s">
        <v>142</v>
      </c>
      <c r="D983" s="1" t="s">
        <v>3793</v>
      </c>
      <c r="E983" s="1" t="s">
        <v>144</v>
      </c>
      <c r="F983" s="1" t="s">
        <v>142</v>
      </c>
      <c r="G983" s="1"/>
    </row>
    <row r="984">
      <c r="A984" s="1" t="s">
        <v>3794</v>
      </c>
      <c r="B984" s="1" t="s">
        <v>142</v>
      </c>
      <c r="C984" s="1" t="s">
        <v>142</v>
      </c>
      <c r="D984" s="1" t="s">
        <v>3795</v>
      </c>
      <c r="E984" s="1" t="s">
        <v>144</v>
      </c>
      <c r="F984" s="1" t="s">
        <v>142</v>
      </c>
      <c r="G984" s="1"/>
    </row>
    <row r="985">
      <c r="A985" s="1" t="s">
        <v>3796</v>
      </c>
      <c r="B985" s="1" t="s">
        <v>142</v>
      </c>
      <c r="C985" s="1" t="s">
        <v>142</v>
      </c>
      <c r="D985" s="1" t="s">
        <v>3797</v>
      </c>
      <c r="E985" s="1" t="s">
        <v>144</v>
      </c>
      <c r="F985" s="1" t="s">
        <v>142</v>
      </c>
      <c r="G985" s="1"/>
    </row>
    <row r="986">
      <c r="A986" s="1" t="s">
        <v>3798</v>
      </c>
      <c r="B986" s="1" t="s">
        <v>142</v>
      </c>
      <c r="C986" s="1" t="s">
        <v>142</v>
      </c>
      <c r="D986" s="1" t="s">
        <v>3799</v>
      </c>
      <c r="E986" s="1" t="s">
        <v>144</v>
      </c>
      <c r="F986" s="1" t="s">
        <v>142</v>
      </c>
      <c r="G986" s="1"/>
    </row>
    <row r="987">
      <c r="A987" s="1" t="s">
        <v>3800</v>
      </c>
      <c r="B987" s="1" t="s">
        <v>142</v>
      </c>
      <c r="C987" s="1" t="s">
        <v>142</v>
      </c>
      <c r="D987" s="1" t="s">
        <v>3801</v>
      </c>
      <c r="E987" s="1" t="s">
        <v>144</v>
      </c>
      <c r="F987" s="1" t="s">
        <v>142</v>
      </c>
      <c r="G987" s="1"/>
    </row>
    <row r="988">
      <c r="A988" s="1" t="s">
        <v>3802</v>
      </c>
      <c r="B988" s="1" t="s">
        <v>142</v>
      </c>
      <c r="C988" s="1" t="s">
        <v>142</v>
      </c>
      <c r="D988" s="1" t="s">
        <v>3803</v>
      </c>
      <c r="E988" s="1" t="s">
        <v>144</v>
      </c>
      <c r="F988" s="1" t="s">
        <v>142</v>
      </c>
      <c r="G988" s="1"/>
    </row>
    <row r="989">
      <c r="A989" s="1" t="s">
        <v>3804</v>
      </c>
      <c r="B989" s="1" t="s">
        <v>142</v>
      </c>
      <c r="C989" s="1" t="s">
        <v>142</v>
      </c>
      <c r="D989" s="1" t="s">
        <v>3805</v>
      </c>
      <c r="E989" s="1" t="s">
        <v>144</v>
      </c>
      <c r="F989" s="1" t="s">
        <v>142</v>
      </c>
      <c r="G989" s="1"/>
    </row>
    <row r="990">
      <c r="A990" s="1" t="s">
        <v>3806</v>
      </c>
      <c r="B990" s="1" t="s">
        <v>142</v>
      </c>
      <c r="C990" s="1" t="s">
        <v>142</v>
      </c>
      <c r="D990" s="1" t="s">
        <v>3807</v>
      </c>
      <c r="E990" s="1" t="s">
        <v>144</v>
      </c>
      <c r="F990" s="1" t="s">
        <v>142</v>
      </c>
      <c r="G990" s="1"/>
    </row>
    <row r="991">
      <c r="A991" s="1" t="s">
        <v>3808</v>
      </c>
      <c r="B991" s="1" t="s">
        <v>3809</v>
      </c>
      <c r="C991" s="1" t="s">
        <v>3810</v>
      </c>
      <c r="D991" s="1" t="s">
        <v>3811</v>
      </c>
      <c r="E991" s="1" t="s">
        <v>1085</v>
      </c>
      <c r="F991" s="1">
        <v>7.0</v>
      </c>
      <c r="G991" s="1">
        <v>8.0</v>
      </c>
    </row>
    <row r="992">
      <c r="A992" s="1" t="s">
        <v>3808</v>
      </c>
      <c r="B992" s="1" t="s">
        <v>3809</v>
      </c>
      <c r="C992" s="1" t="s">
        <v>3810</v>
      </c>
      <c r="D992" s="1" t="s">
        <v>3812</v>
      </c>
      <c r="E992" s="1" t="s">
        <v>144</v>
      </c>
      <c r="F992" s="1" t="s">
        <v>142</v>
      </c>
      <c r="G992" s="1"/>
    </row>
    <row r="993">
      <c r="A993" s="1" t="s">
        <v>3808</v>
      </c>
      <c r="B993" s="1" t="s">
        <v>3813</v>
      </c>
      <c r="C993" s="1" t="s">
        <v>3814</v>
      </c>
      <c r="D993" s="1" t="s">
        <v>3812</v>
      </c>
      <c r="E993" s="1" t="s">
        <v>144</v>
      </c>
      <c r="F993" s="1" t="s">
        <v>142</v>
      </c>
      <c r="G993" s="1"/>
    </row>
    <row r="994">
      <c r="A994" s="1" t="s">
        <v>3816</v>
      </c>
      <c r="B994" s="1" t="s">
        <v>142</v>
      </c>
      <c r="C994" s="1" t="s">
        <v>142</v>
      </c>
      <c r="D994" s="1" t="s">
        <v>3817</v>
      </c>
      <c r="E994" s="1" t="s">
        <v>144</v>
      </c>
      <c r="F994" s="1" t="s">
        <v>142</v>
      </c>
      <c r="G994" s="1"/>
    </row>
    <row r="995">
      <c r="A995" s="1" t="s">
        <v>3818</v>
      </c>
      <c r="B995" s="1" t="s">
        <v>142</v>
      </c>
      <c r="C995" s="1" t="s">
        <v>142</v>
      </c>
      <c r="D995" s="1" t="s">
        <v>3819</v>
      </c>
      <c r="E995" s="1" t="s">
        <v>144</v>
      </c>
      <c r="F995" s="1" t="s">
        <v>142</v>
      </c>
      <c r="G995" s="1"/>
    </row>
    <row r="996">
      <c r="A996" s="1" t="s">
        <v>3820</v>
      </c>
      <c r="B996" s="1" t="s">
        <v>142</v>
      </c>
      <c r="C996" s="1" t="s">
        <v>142</v>
      </c>
      <c r="D996" s="1" t="s">
        <v>3822</v>
      </c>
      <c r="E996" s="1" t="s">
        <v>144</v>
      </c>
      <c r="F996" s="1" t="s">
        <v>142</v>
      </c>
      <c r="G996" s="1"/>
    </row>
    <row r="997">
      <c r="A997" s="1" t="s">
        <v>3823</v>
      </c>
      <c r="B997" s="1" t="s">
        <v>142</v>
      </c>
      <c r="C997" s="1" t="s">
        <v>142</v>
      </c>
      <c r="D997" s="1" t="s">
        <v>3824</v>
      </c>
      <c r="E997" s="1" t="s">
        <v>144</v>
      </c>
      <c r="F997" s="1" t="s">
        <v>142</v>
      </c>
      <c r="G997" s="1"/>
    </row>
    <row r="998">
      <c r="A998" s="1" t="s">
        <v>3825</v>
      </c>
      <c r="B998" s="1" t="s">
        <v>142</v>
      </c>
      <c r="C998" s="1" t="s">
        <v>142</v>
      </c>
      <c r="D998" s="1" t="s">
        <v>3827</v>
      </c>
      <c r="E998" s="1" t="s">
        <v>144</v>
      </c>
      <c r="F998" s="1" t="s">
        <v>142</v>
      </c>
      <c r="G998" s="1"/>
    </row>
    <row r="999">
      <c r="A999" s="1" t="s">
        <v>3828</v>
      </c>
      <c r="B999" s="1" t="s">
        <v>142</v>
      </c>
      <c r="C999" s="1" t="s">
        <v>142</v>
      </c>
      <c r="D999" s="1" t="s">
        <v>3829</v>
      </c>
      <c r="E999" s="1" t="s">
        <v>144</v>
      </c>
      <c r="F999" s="1" t="s">
        <v>142</v>
      </c>
      <c r="G999" s="1"/>
    </row>
    <row r="1000">
      <c r="A1000" s="1" t="s">
        <v>3830</v>
      </c>
      <c r="B1000" s="1" t="s">
        <v>142</v>
      </c>
      <c r="C1000" s="1" t="s">
        <v>142</v>
      </c>
      <c r="D1000" s="1" t="s">
        <v>3831</v>
      </c>
      <c r="E1000" s="1" t="s">
        <v>144</v>
      </c>
      <c r="F1000" s="1" t="s">
        <v>142</v>
      </c>
      <c r="G1000" s="1"/>
    </row>
    <row r="1001">
      <c r="A1001" s="1" t="s">
        <v>3832</v>
      </c>
      <c r="B1001" s="1" t="s">
        <v>142</v>
      </c>
      <c r="C1001" s="1" t="s">
        <v>142</v>
      </c>
      <c r="D1001" s="1" t="s">
        <v>3833</v>
      </c>
      <c r="E1001" s="1" t="s">
        <v>144</v>
      </c>
      <c r="F1001" s="1" t="s">
        <v>142</v>
      </c>
      <c r="G1001" s="1"/>
    </row>
    <row r="1002">
      <c r="A1002" s="1" t="s">
        <v>3835</v>
      </c>
      <c r="B1002" s="1" t="s">
        <v>142</v>
      </c>
      <c r="C1002" s="1" t="s">
        <v>142</v>
      </c>
      <c r="D1002" s="1" t="s">
        <v>3836</v>
      </c>
      <c r="E1002" s="1" t="s">
        <v>144</v>
      </c>
      <c r="F1002" s="1" t="s">
        <v>142</v>
      </c>
      <c r="G1002" s="1"/>
    </row>
    <row r="1003">
      <c r="A1003" s="1" t="s">
        <v>3837</v>
      </c>
      <c r="B1003" s="1" t="s">
        <v>142</v>
      </c>
      <c r="C1003" s="1" t="s">
        <v>142</v>
      </c>
      <c r="D1003" s="1" t="s">
        <v>3838</v>
      </c>
      <c r="E1003" s="1" t="s">
        <v>144</v>
      </c>
      <c r="F1003" s="1" t="s">
        <v>142</v>
      </c>
      <c r="G1003" s="1"/>
    </row>
    <row r="1004">
      <c r="A1004" s="1" t="s">
        <v>3839</v>
      </c>
      <c r="B1004" s="1" t="s">
        <v>142</v>
      </c>
      <c r="C1004" s="1" t="s">
        <v>142</v>
      </c>
      <c r="D1004" s="1" t="s">
        <v>3841</v>
      </c>
      <c r="E1004" s="1" t="s">
        <v>144</v>
      </c>
      <c r="F1004" s="1" t="s">
        <v>142</v>
      </c>
      <c r="G1004" s="1"/>
    </row>
    <row r="1005">
      <c r="A1005" s="1" t="s">
        <v>3842</v>
      </c>
      <c r="B1005" s="1" t="s">
        <v>142</v>
      </c>
      <c r="C1005" s="1" t="s">
        <v>142</v>
      </c>
      <c r="D1005" s="1" t="s">
        <v>3843</v>
      </c>
      <c r="E1005" s="1" t="s">
        <v>144</v>
      </c>
      <c r="F1005" s="1" t="s">
        <v>142</v>
      </c>
      <c r="G1005" s="1"/>
    </row>
    <row r="1006">
      <c r="A1006" s="1" t="s">
        <v>3845</v>
      </c>
      <c r="B1006" s="1" t="s">
        <v>142</v>
      </c>
      <c r="C1006" s="1" t="s">
        <v>142</v>
      </c>
      <c r="D1006" s="1" t="s">
        <v>3846</v>
      </c>
      <c r="E1006" s="1" t="s">
        <v>144</v>
      </c>
      <c r="F1006" s="1" t="s">
        <v>142</v>
      </c>
      <c r="G1006" s="1"/>
    </row>
    <row r="1007">
      <c r="A1007" s="1" t="s">
        <v>3847</v>
      </c>
      <c r="B1007" s="1" t="s">
        <v>142</v>
      </c>
      <c r="C1007" s="1" t="s">
        <v>142</v>
      </c>
      <c r="D1007" s="1" t="s">
        <v>3848</v>
      </c>
      <c r="E1007" s="1" t="s">
        <v>144</v>
      </c>
      <c r="F1007" s="1" t="s">
        <v>142</v>
      </c>
      <c r="G1007" s="1"/>
    </row>
    <row r="1008">
      <c r="A1008" s="1" t="s">
        <v>3850</v>
      </c>
      <c r="B1008" s="1" t="s">
        <v>142</v>
      </c>
      <c r="C1008" s="1" t="s">
        <v>142</v>
      </c>
      <c r="D1008" s="1" t="s">
        <v>3851</v>
      </c>
      <c r="E1008" s="1" t="s">
        <v>144</v>
      </c>
      <c r="F1008" s="1" t="s">
        <v>142</v>
      </c>
      <c r="G1008" s="1"/>
    </row>
    <row r="1009">
      <c r="A1009" s="1" t="s">
        <v>3852</v>
      </c>
      <c r="B1009" s="1" t="s">
        <v>142</v>
      </c>
      <c r="C1009" s="1" t="s">
        <v>142</v>
      </c>
      <c r="D1009" s="1" t="s">
        <v>3853</v>
      </c>
      <c r="E1009" s="1" t="s">
        <v>144</v>
      </c>
      <c r="F1009" s="1" t="s">
        <v>142</v>
      </c>
      <c r="G1009" s="1"/>
    </row>
    <row r="1010">
      <c r="A1010" s="1" t="s">
        <v>3854</v>
      </c>
      <c r="B1010" s="1" t="s">
        <v>142</v>
      </c>
      <c r="C1010" s="1" t="s">
        <v>142</v>
      </c>
      <c r="D1010" s="1" t="s">
        <v>3856</v>
      </c>
      <c r="E1010" s="1" t="s">
        <v>144</v>
      </c>
      <c r="F1010" s="1" t="s">
        <v>142</v>
      </c>
      <c r="G1010" s="1"/>
    </row>
    <row r="1011">
      <c r="A1011" s="1" t="s">
        <v>3857</v>
      </c>
      <c r="B1011" s="1" t="s">
        <v>142</v>
      </c>
      <c r="C1011" s="1" t="s">
        <v>142</v>
      </c>
      <c r="D1011" s="1" t="s">
        <v>3858</v>
      </c>
      <c r="E1011" s="1" t="s">
        <v>144</v>
      </c>
      <c r="F1011" s="1" t="s">
        <v>142</v>
      </c>
      <c r="G1011" s="1"/>
    </row>
    <row r="1012">
      <c r="A1012" s="1" t="s">
        <v>3863</v>
      </c>
      <c r="B1012" s="1" t="s">
        <v>142</v>
      </c>
      <c r="C1012" s="1" t="s">
        <v>142</v>
      </c>
      <c r="D1012" s="1" t="s">
        <v>3865</v>
      </c>
      <c r="E1012" s="1" t="s">
        <v>144</v>
      </c>
      <c r="F1012" s="1" t="s">
        <v>142</v>
      </c>
      <c r="G1012" s="1"/>
    </row>
    <row r="1013">
      <c r="A1013" s="1" t="s">
        <v>3866</v>
      </c>
      <c r="B1013" s="1" t="s">
        <v>142</v>
      </c>
      <c r="C1013" s="1" t="s">
        <v>142</v>
      </c>
      <c r="D1013" s="1" t="s">
        <v>3867</v>
      </c>
      <c r="E1013" s="1" t="s">
        <v>144</v>
      </c>
      <c r="F1013" s="1" t="s">
        <v>142</v>
      </c>
      <c r="G1013" s="1"/>
    </row>
    <row r="1014">
      <c r="A1014" s="1" t="s">
        <v>3869</v>
      </c>
      <c r="B1014" s="1" t="s">
        <v>142</v>
      </c>
      <c r="C1014" s="1" t="s">
        <v>142</v>
      </c>
      <c r="D1014" s="1" t="s">
        <v>3870</v>
      </c>
      <c r="E1014" s="1" t="s">
        <v>144</v>
      </c>
      <c r="F1014" s="1" t="s">
        <v>142</v>
      </c>
      <c r="G1014" s="1"/>
    </row>
    <row r="1015">
      <c r="A1015" s="1" t="s">
        <v>3871</v>
      </c>
      <c r="B1015" s="1" t="s">
        <v>142</v>
      </c>
      <c r="C1015" s="1" t="s">
        <v>142</v>
      </c>
      <c r="D1015" s="1" t="s">
        <v>3873</v>
      </c>
      <c r="E1015" s="1" t="s">
        <v>144</v>
      </c>
      <c r="F1015" s="1" t="s">
        <v>142</v>
      </c>
      <c r="G1015" s="1"/>
    </row>
    <row r="1016">
      <c r="A1016" s="1" t="s">
        <v>3875</v>
      </c>
      <c r="B1016" s="1" t="s">
        <v>142</v>
      </c>
      <c r="C1016" s="1" t="s">
        <v>142</v>
      </c>
      <c r="D1016" s="1" t="s">
        <v>3876</v>
      </c>
      <c r="E1016" s="1" t="s">
        <v>144</v>
      </c>
      <c r="F1016" s="1" t="s">
        <v>142</v>
      </c>
      <c r="G1016" s="1"/>
    </row>
    <row r="1017">
      <c r="A1017" s="1" t="s">
        <v>3877</v>
      </c>
      <c r="B1017" s="1" t="s">
        <v>142</v>
      </c>
      <c r="C1017" s="1" t="s">
        <v>142</v>
      </c>
      <c r="D1017" s="1" t="s">
        <v>3878</v>
      </c>
      <c r="E1017" s="1" t="s">
        <v>144</v>
      </c>
      <c r="F1017" s="1" t="s">
        <v>142</v>
      </c>
      <c r="G1017" s="1"/>
    </row>
    <row r="1018">
      <c r="A1018" s="1" t="s">
        <v>3880</v>
      </c>
      <c r="B1018" s="1" t="s">
        <v>142</v>
      </c>
      <c r="C1018" s="1" t="s">
        <v>142</v>
      </c>
      <c r="D1018" s="1" t="s">
        <v>3881</v>
      </c>
      <c r="E1018" s="1" t="s">
        <v>144</v>
      </c>
      <c r="F1018" s="1" t="s">
        <v>142</v>
      </c>
      <c r="G1018" s="1"/>
    </row>
    <row r="1019">
      <c r="A1019" s="1" t="s">
        <v>3882</v>
      </c>
      <c r="B1019" s="1" t="s">
        <v>142</v>
      </c>
      <c r="C1019" s="1" t="s">
        <v>142</v>
      </c>
      <c r="D1019" s="1" t="s">
        <v>3883</v>
      </c>
      <c r="E1019" s="1" t="s">
        <v>144</v>
      </c>
      <c r="F1019" s="1" t="s">
        <v>142</v>
      </c>
      <c r="G1019" s="1"/>
    </row>
    <row r="1020">
      <c r="A1020" s="1" t="s">
        <v>3885</v>
      </c>
      <c r="B1020" s="1" t="s">
        <v>142</v>
      </c>
      <c r="C1020" s="1" t="s">
        <v>142</v>
      </c>
      <c r="D1020" s="1" t="s">
        <v>3886</v>
      </c>
      <c r="E1020" s="1" t="s">
        <v>144</v>
      </c>
      <c r="F1020" s="1" t="s">
        <v>142</v>
      </c>
      <c r="G1020" s="1"/>
    </row>
    <row r="1021">
      <c r="A1021" s="1" t="s">
        <v>3887</v>
      </c>
      <c r="B1021" s="1" t="s">
        <v>142</v>
      </c>
      <c r="C1021" s="1" t="s">
        <v>142</v>
      </c>
      <c r="D1021" s="1" t="s">
        <v>3888</v>
      </c>
      <c r="E1021" s="1" t="s">
        <v>144</v>
      </c>
      <c r="F1021" s="1" t="s">
        <v>142</v>
      </c>
      <c r="G1021" s="1"/>
    </row>
    <row r="1022">
      <c r="A1022" s="1" t="s">
        <v>3890</v>
      </c>
      <c r="B1022" s="1" t="s">
        <v>142</v>
      </c>
      <c r="C1022" s="1" t="s">
        <v>142</v>
      </c>
      <c r="D1022" s="1" t="s">
        <v>3891</v>
      </c>
      <c r="E1022" s="1" t="s">
        <v>144</v>
      </c>
      <c r="F1022" s="1" t="s">
        <v>142</v>
      </c>
      <c r="G1022" s="1"/>
    </row>
    <row r="1023">
      <c r="A1023" s="1" t="s">
        <v>3892</v>
      </c>
      <c r="B1023" s="1" t="s">
        <v>142</v>
      </c>
      <c r="C1023" s="1" t="s">
        <v>142</v>
      </c>
      <c r="D1023" s="1" t="s">
        <v>3893</v>
      </c>
      <c r="E1023" s="1" t="s">
        <v>144</v>
      </c>
      <c r="F1023" s="1" t="s">
        <v>142</v>
      </c>
      <c r="G1023" s="1"/>
    </row>
    <row r="1024">
      <c r="A1024" s="1" t="s">
        <v>3894</v>
      </c>
      <c r="B1024" s="1" t="s">
        <v>142</v>
      </c>
      <c r="C1024" s="1" t="s">
        <v>142</v>
      </c>
      <c r="D1024" s="1" t="s">
        <v>3895</v>
      </c>
      <c r="E1024" s="1" t="s">
        <v>144</v>
      </c>
      <c r="F1024" s="1" t="s">
        <v>142</v>
      </c>
      <c r="G1024" s="1"/>
    </row>
    <row r="1025">
      <c r="A1025" s="1" t="s">
        <v>3896</v>
      </c>
      <c r="B1025" s="1" t="s">
        <v>142</v>
      </c>
      <c r="C1025" s="1" t="s">
        <v>142</v>
      </c>
      <c r="D1025" s="1" t="s">
        <v>3897</v>
      </c>
      <c r="E1025" s="1" t="s">
        <v>144</v>
      </c>
      <c r="F1025" s="1" t="s">
        <v>142</v>
      </c>
      <c r="G1025" s="1"/>
    </row>
    <row r="1026">
      <c r="A1026" s="1" t="s">
        <v>3899</v>
      </c>
      <c r="B1026" s="1" t="s">
        <v>142</v>
      </c>
      <c r="C1026" s="1" t="s">
        <v>142</v>
      </c>
      <c r="D1026" s="1" t="s">
        <v>3900</v>
      </c>
      <c r="E1026" s="1" t="s">
        <v>144</v>
      </c>
      <c r="F1026" s="1" t="s">
        <v>142</v>
      </c>
      <c r="G1026" s="1"/>
    </row>
    <row r="1027">
      <c r="A1027" s="1" t="s">
        <v>3901</v>
      </c>
      <c r="B1027" s="1" t="s">
        <v>142</v>
      </c>
      <c r="C1027" s="1" t="s">
        <v>142</v>
      </c>
      <c r="D1027" s="1" t="s">
        <v>3903</v>
      </c>
      <c r="E1027" s="1" t="s">
        <v>144</v>
      </c>
      <c r="F1027" s="1" t="s">
        <v>142</v>
      </c>
      <c r="G1027" s="1"/>
    </row>
    <row r="1028">
      <c r="A1028" s="1" t="s">
        <v>3904</v>
      </c>
      <c r="B1028" s="1" t="s">
        <v>142</v>
      </c>
      <c r="C1028" s="1" t="s">
        <v>142</v>
      </c>
      <c r="D1028" s="1" t="s">
        <v>3906</v>
      </c>
      <c r="E1028" s="1" t="s">
        <v>144</v>
      </c>
      <c r="F1028" s="1" t="s">
        <v>142</v>
      </c>
      <c r="G1028" s="1"/>
    </row>
    <row r="1029">
      <c r="A1029" s="1" t="s">
        <v>3907</v>
      </c>
      <c r="B1029" s="1" t="s">
        <v>142</v>
      </c>
      <c r="C1029" s="1" t="s">
        <v>142</v>
      </c>
      <c r="D1029" s="1" t="s">
        <v>3908</v>
      </c>
      <c r="E1029" s="1" t="s">
        <v>144</v>
      </c>
      <c r="F1029" s="1" t="s">
        <v>142</v>
      </c>
      <c r="G1029" s="1"/>
    </row>
    <row r="1030">
      <c r="A1030" s="1" t="s">
        <v>3909</v>
      </c>
      <c r="B1030" s="1" t="s">
        <v>142</v>
      </c>
      <c r="C1030" s="1" t="s">
        <v>142</v>
      </c>
      <c r="D1030" s="1" t="s">
        <v>3911</v>
      </c>
      <c r="E1030" s="1" t="s">
        <v>144</v>
      </c>
      <c r="F1030" s="1" t="s">
        <v>142</v>
      </c>
      <c r="G1030" s="1"/>
    </row>
    <row r="1031">
      <c r="A1031" s="1" t="s">
        <v>3912</v>
      </c>
      <c r="B1031" s="1" t="s">
        <v>142</v>
      </c>
      <c r="C1031" s="1" t="s">
        <v>142</v>
      </c>
      <c r="D1031" s="1" t="s">
        <v>3913</v>
      </c>
      <c r="E1031" s="1" t="s">
        <v>144</v>
      </c>
      <c r="F1031" s="1" t="s">
        <v>142</v>
      </c>
      <c r="G1031" s="1"/>
    </row>
    <row r="1032">
      <c r="A1032" s="1" t="s">
        <v>3914</v>
      </c>
      <c r="B1032" s="1" t="s">
        <v>142</v>
      </c>
      <c r="C1032" s="1" t="s">
        <v>142</v>
      </c>
      <c r="D1032" s="1" t="s">
        <v>3915</v>
      </c>
      <c r="E1032" s="1" t="s">
        <v>144</v>
      </c>
      <c r="F1032" s="1" t="s">
        <v>142</v>
      </c>
      <c r="G1032" s="1"/>
    </row>
    <row r="1033">
      <c r="A1033" s="1" t="s">
        <v>3916</v>
      </c>
      <c r="B1033" s="1" t="s">
        <v>142</v>
      </c>
      <c r="C1033" s="1" t="s">
        <v>142</v>
      </c>
      <c r="D1033" s="1" t="s">
        <v>3918</v>
      </c>
      <c r="E1033" s="1" t="s">
        <v>144</v>
      </c>
      <c r="F1033" s="1" t="s">
        <v>142</v>
      </c>
      <c r="G1033" s="1"/>
    </row>
    <row r="1034">
      <c r="A1034" s="1" t="s">
        <v>3919</v>
      </c>
      <c r="B1034" s="1" t="s">
        <v>142</v>
      </c>
      <c r="C1034" s="1" t="s">
        <v>142</v>
      </c>
      <c r="D1034" s="1" t="s">
        <v>3920</v>
      </c>
      <c r="E1034" s="1" t="s">
        <v>144</v>
      </c>
      <c r="F1034" s="1" t="s">
        <v>142</v>
      </c>
      <c r="G1034" s="1"/>
    </row>
    <row r="1035">
      <c r="A1035" s="1" t="s">
        <v>3921</v>
      </c>
      <c r="B1035" s="1" t="s">
        <v>142</v>
      </c>
      <c r="C1035" s="1" t="s">
        <v>142</v>
      </c>
      <c r="D1035" s="1" t="s">
        <v>3922</v>
      </c>
      <c r="E1035" s="1" t="s">
        <v>144</v>
      </c>
      <c r="F1035" s="1" t="s">
        <v>142</v>
      </c>
      <c r="G1035" s="1"/>
    </row>
    <row r="1036">
      <c r="A1036" s="1" t="s">
        <v>3923</v>
      </c>
      <c r="B1036" s="1" t="s">
        <v>142</v>
      </c>
      <c r="C1036" s="1" t="s">
        <v>142</v>
      </c>
      <c r="D1036" s="1" t="s">
        <v>3924</v>
      </c>
      <c r="E1036" s="1" t="s">
        <v>144</v>
      </c>
      <c r="F1036" s="1" t="s">
        <v>142</v>
      </c>
      <c r="G1036" s="1"/>
    </row>
    <row r="1037">
      <c r="A1037" s="1" t="s">
        <v>3926</v>
      </c>
      <c r="B1037" s="1" t="s">
        <v>142</v>
      </c>
      <c r="C1037" s="1" t="s">
        <v>142</v>
      </c>
      <c r="D1037" s="1" t="s">
        <v>3928</v>
      </c>
      <c r="E1037" s="1" t="s">
        <v>144</v>
      </c>
      <c r="F1037" s="1" t="s">
        <v>142</v>
      </c>
      <c r="G1037" s="1"/>
    </row>
    <row r="1038">
      <c r="A1038" s="1" t="s">
        <v>3930</v>
      </c>
      <c r="B1038" s="1" t="s">
        <v>142</v>
      </c>
      <c r="C1038" s="1" t="s">
        <v>142</v>
      </c>
      <c r="D1038" s="1" t="s">
        <v>3931</v>
      </c>
      <c r="E1038" s="1" t="s">
        <v>144</v>
      </c>
      <c r="F1038" s="1" t="s">
        <v>142</v>
      </c>
      <c r="G1038" s="1"/>
    </row>
    <row r="1039">
      <c r="A1039" s="1" t="s">
        <v>3932</v>
      </c>
      <c r="B1039" s="1" t="s">
        <v>142</v>
      </c>
      <c r="C1039" s="1" t="s">
        <v>142</v>
      </c>
      <c r="D1039" s="1" t="s">
        <v>3933</v>
      </c>
      <c r="E1039" s="1" t="s">
        <v>144</v>
      </c>
      <c r="F1039" s="1" t="s">
        <v>142</v>
      </c>
      <c r="G1039" s="1"/>
    </row>
    <row r="1040">
      <c r="A1040" s="1" t="s">
        <v>3935</v>
      </c>
      <c r="B1040" s="1" t="s">
        <v>142</v>
      </c>
      <c r="C1040" s="1" t="s">
        <v>142</v>
      </c>
      <c r="D1040" s="1" t="s">
        <v>3936</v>
      </c>
      <c r="E1040" s="1" t="s">
        <v>144</v>
      </c>
      <c r="F1040" s="1" t="s">
        <v>142</v>
      </c>
      <c r="G1040" s="1"/>
    </row>
    <row r="1041">
      <c r="A1041" s="1" t="s">
        <v>3937</v>
      </c>
      <c r="B1041" s="1" t="s">
        <v>142</v>
      </c>
      <c r="C1041" s="1" t="s">
        <v>142</v>
      </c>
      <c r="D1041" s="1" t="s">
        <v>3939</v>
      </c>
      <c r="E1041" s="1" t="s">
        <v>144</v>
      </c>
      <c r="F1041" s="1" t="s">
        <v>142</v>
      </c>
      <c r="G1041" s="1"/>
    </row>
    <row r="1042">
      <c r="A1042" s="1" t="s">
        <v>3940</v>
      </c>
      <c r="B1042" s="1" t="s">
        <v>142</v>
      </c>
      <c r="C1042" s="1" t="s">
        <v>142</v>
      </c>
      <c r="D1042" s="1" t="s">
        <v>3941</v>
      </c>
      <c r="E1042" s="1" t="s">
        <v>144</v>
      </c>
      <c r="F1042" s="1" t="s">
        <v>142</v>
      </c>
      <c r="G1042" s="1"/>
    </row>
    <row r="1043">
      <c r="A1043" s="1" t="s">
        <v>3942</v>
      </c>
      <c r="B1043" s="1" t="s">
        <v>142</v>
      </c>
      <c r="C1043" s="1" t="s">
        <v>142</v>
      </c>
      <c r="D1043" s="1" t="s">
        <v>3943</v>
      </c>
      <c r="E1043" s="1" t="s">
        <v>144</v>
      </c>
      <c r="F1043" s="1" t="s">
        <v>142</v>
      </c>
      <c r="G1043" s="1"/>
    </row>
    <row r="1044">
      <c r="A1044" s="1" t="s">
        <v>3944</v>
      </c>
      <c r="B1044" s="1" t="s">
        <v>142</v>
      </c>
      <c r="C1044" s="1" t="s">
        <v>142</v>
      </c>
      <c r="D1044" s="1" t="s">
        <v>3945</v>
      </c>
      <c r="E1044" s="1" t="s">
        <v>144</v>
      </c>
      <c r="F1044" s="1" t="s">
        <v>142</v>
      </c>
      <c r="G1044" s="1"/>
    </row>
    <row r="1045">
      <c r="A1045" s="1" t="s">
        <v>3946</v>
      </c>
      <c r="B1045" s="1" t="s">
        <v>142</v>
      </c>
      <c r="C1045" s="1" t="s">
        <v>142</v>
      </c>
      <c r="D1045" s="1" t="s">
        <v>3947</v>
      </c>
      <c r="E1045" s="1" t="s">
        <v>144</v>
      </c>
      <c r="F1045" s="1" t="s">
        <v>142</v>
      </c>
      <c r="G1045" s="1"/>
    </row>
    <row r="1046">
      <c r="A1046" s="1" t="s">
        <v>3948</v>
      </c>
      <c r="B1046" s="1" t="s">
        <v>142</v>
      </c>
      <c r="C1046" s="1" t="s">
        <v>142</v>
      </c>
      <c r="D1046" s="1" t="s">
        <v>3949</v>
      </c>
      <c r="E1046" s="1" t="s">
        <v>144</v>
      </c>
      <c r="F1046" s="1" t="s">
        <v>142</v>
      </c>
      <c r="G1046" s="1"/>
    </row>
    <row r="1047">
      <c r="A1047" s="1" t="s">
        <v>3950</v>
      </c>
      <c r="B1047" s="1" t="s">
        <v>142</v>
      </c>
      <c r="C1047" s="1" t="s">
        <v>142</v>
      </c>
      <c r="D1047" s="1" t="s">
        <v>3951</v>
      </c>
      <c r="E1047" s="1" t="s">
        <v>144</v>
      </c>
      <c r="F1047" s="1" t="s">
        <v>142</v>
      </c>
      <c r="G1047" s="1"/>
    </row>
    <row r="1048">
      <c r="A1048" s="1" t="s">
        <v>3952</v>
      </c>
      <c r="B1048" s="1" t="s">
        <v>142</v>
      </c>
      <c r="C1048" s="1" t="s">
        <v>142</v>
      </c>
      <c r="D1048" s="1" t="s">
        <v>3953</v>
      </c>
      <c r="E1048" s="1" t="s">
        <v>144</v>
      </c>
      <c r="F1048" s="1" t="s">
        <v>142</v>
      </c>
      <c r="G1048" s="1"/>
    </row>
    <row r="1049">
      <c r="A1049" s="1" t="s">
        <v>3954</v>
      </c>
      <c r="B1049" s="1" t="s">
        <v>142</v>
      </c>
      <c r="C1049" s="1" t="s">
        <v>142</v>
      </c>
      <c r="D1049" s="1" t="s">
        <v>3955</v>
      </c>
      <c r="E1049" s="1" t="s">
        <v>144</v>
      </c>
      <c r="F1049" s="1" t="s">
        <v>142</v>
      </c>
      <c r="G1049" s="1"/>
    </row>
    <row r="1050">
      <c r="A1050" s="1" t="s">
        <v>3956</v>
      </c>
      <c r="B1050" s="1" t="s">
        <v>142</v>
      </c>
      <c r="C1050" s="1" t="s">
        <v>142</v>
      </c>
      <c r="D1050" s="1" t="s">
        <v>3957</v>
      </c>
      <c r="E1050" s="1" t="s">
        <v>144</v>
      </c>
      <c r="F1050" s="1" t="s">
        <v>142</v>
      </c>
      <c r="G1050" s="1"/>
    </row>
    <row r="1051">
      <c r="A1051" s="1" t="s">
        <v>3958</v>
      </c>
      <c r="B1051" s="1" t="s">
        <v>142</v>
      </c>
      <c r="C1051" s="1" t="s">
        <v>142</v>
      </c>
      <c r="D1051" s="1" t="s">
        <v>3959</v>
      </c>
      <c r="E1051" s="1" t="s">
        <v>144</v>
      </c>
      <c r="F1051" s="1" t="s">
        <v>142</v>
      </c>
      <c r="G1051" s="1"/>
    </row>
    <row r="1052">
      <c r="A1052" s="1" t="s">
        <v>3960</v>
      </c>
      <c r="B1052" s="1" t="s">
        <v>142</v>
      </c>
      <c r="C1052" s="1" t="s">
        <v>142</v>
      </c>
      <c r="D1052" s="1" t="s">
        <v>3961</v>
      </c>
      <c r="E1052" s="1" t="s">
        <v>144</v>
      </c>
      <c r="F1052" s="1" t="s">
        <v>142</v>
      </c>
      <c r="G1052" s="1"/>
    </row>
    <row r="1053">
      <c r="A1053" s="1" t="s">
        <v>3962</v>
      </c>
      <c r="B1053" s="1" t="s">
        <v>142</v>
      </c>
      <c r="C1053" s="1" t="s">
        <v>142</v>
      </c>
      <c r="D1053" s="1" t="s">
        <v>3963</v>
      </c>
      <c r="E1053" s="1" t="s">
        <v>144</v>
      </c>
      <c r="F1053" s="1" t="s">
        <v>142</v>
      </c>
      <c r="G1053" s="1"/>
    </row>
    <row r="1054">
      <c r="A1054" s="1" t="s">
        <v>3964</v>
      </c>
      <c r="B1054" s="1" t="s">
        <v>142</v>
      </c>
      <c r="C1054" s="1" t="s">
        <v>142</v>
      </c>
      <c r="D1054" s="1" t="s">
        <v>3965</v>
      </c>
      <c r="E1054" s="1" t="s">
        <v>144</v>
      </c>
      <c r="F1054" s="1" t="s">
        <v>142</v>
      </c>
      <c r="G1054" s="1"/>
    </row>
    <row r="1055">
      <c r="A1055" s="1" t="s">
        <v>3966</v>
      </c>
      <c r="B1055" s="1" t="s">
        <v>142</v>
      </c>
      <c r="C1055" s="1" t="s">
        <v>142</v>
      </c>
      <c r="D1055" s="1" t="s">
        <v>3967</v>
      </c>
      <c r="E1055" s="1" t="s">
        <v>144</v>
      </c>
      <c r="F1055" s="1" t="s">
        <v>142</v>
      </c>
      <c r="G1055" s="1"/>
    </row>
    <row r="1056">
      <c r="A1056" s="1" t="s">
        <v>3968</v>
      </c>
      <c r="B1056" s="1" t="s">
        <v>142</v>
      </c>
      <c r="C1056" s="1" t="s">
        <v>142</v>
      </c>
      <c r="D1056" s="1" t="s">
        <v>3969</v>
      </c>
      <c r="E1056" s="1" t="s">
        <v>144</v>
      </c>
      <c r="F1056" s="1" t="s">
        <v>142</v>
      </c>
      <c r="G1056" s="1"/>
    </row>
    <row r="1057">
      <c r="A1057" s="1" t="s">
        <v>3970</v>
      </c>
      <c r="B1057" s="1" t="s">
        <v>142</v>
      </c>
      <c r="C1057" s="1" t="s">
        <v>142</v>
      </c>
      <c r="D1057" s="1" t="s">
        <v>3971</v>
      </c>
      <c r="E1057" s="1" t="s">
        <v>144</v>
      </c>
      <c r="F1057" s="1" t="s">
        <v>142</v>
      </c>
      <c r="G1057" s="1"/>
    </row>
    <row r="1058">
      <c r="A1058" s="1" t="s">
        <v>3972</v>
      </c>
      <c r="B1058" s="1" t="s">
        <v>142</v>
      </c>
      <c r="C1058" s="1" t="s">
        <v>142</v>
      </c>
      <c r="D1058" s="1" t="s">
        <v>3973</v>
      </c>
      <c r="E1058" s="1" t="s">
        <v>144</v>
      </c>
      <c r="F1058" s="1" t="s">
        <v>142</v>
      </c>
      <c r="G1058" s="1"/>
    </row>
    <row r="1059">
      <c r="A1059" s="1" t="s">
        <v>3974</v>
      </c>
      <c r="B1059" s="1" t="s">
        <v>142</v>
      </c>
      <c r="C1059" s="1" t="s">
        <v>142</v>
      </c>
      <c r="D1059" s="1" t="s">
        <v>3975</v>
      </c>
      <c r="E1059" s="1" t="s">
        <v>144</v>
      </c>
      <c r="F1059" s="1" t="s">
        <v>142</v>
      </c>
      <c r="G1059" s="1"/>
    </row>
    <row r="1060">
      <c r="A1060" s="1" t="s">
        <v>3976</v>
      </c>
      <c r="B1060" s="1" t="s">
        <v>142</v>
      </c>
      <c r="C1060" s="1" t="s">
        <v>142</v>
      </c>
      <c r="D1060" s="1" t="s">
        <v>3977</v>
      </c>
      <c r="E1060" s="1" t="s">
        <v>144</v>
      </c>
      <c r="F1060" s="1" t="s">
        <v>142</v>
      </c>
      <c r="G1060" s="1"/>
    </row>
    <row r="1061">
      <c r="A1061" s="1" t="s">
        <v>3978</v>
      </c>
      <c r="B1061" s="1" t="s">
        <v>142</v>
      </c>
      <c r="C1061" s="1" t="s">
        <v>142</v>
      </c>
      <c r="D1061" s="1" t="s">
        <v>3979</v>
      </c>
      <c r="E1061" s="1" t="s">
        <v>144</v>
      </c>
      <c r="F1061" s="1" t="s">
        <v>142</v>
      </c>
      <c r="G1061" s="1"/>
    </row>
    <row r="1062">
      <c r="A1062" s="1" t="s">
        <v>3980</v>
      </c>
      <c r="B1062" s="1" t="s">
        <v>142</v>
      </c>
      <c r="C1062" s="1" t="s">
        <v>142</v>
      </c>
      <c r="D1062" s="1" t="s">
        <v>3981</v>
      </c>
      <c r="E1062" s="1" t="s">
        <v>144</v>
      </c>
      <c r="F1062" s="1" t="s">
        <v>142</v>
      </c>
      <c r="G1062" s="1"/>
    </row>
    <row r="1063">
      <c r="A1063" s="1" t="s">
        <v>3982</v>
      </c>
      <c r="B1063" s="1" t="s">
        <v>142</v>
      </c>
      <c r="C1063" s="1" t="s">
        <v>142</v>
      </c>
      <c r="D1063" s="1" t="s">
        <v>3983</v>
      </c>
      <c r="E1063" s="1" t="s">
        <v>144</v>
      </c>
      <c r="F1063" s="1" t="s">
        <v>142</v>
      </c>
      <c r="G1063" s="1"/>
    </row>
    <row r="1064">
      <c r="A1064" s="1" t="s">
        <v>3984</v>
      </c>
      <c r="B1064" s="1" t="s">
        <v>142</v>
      </c>
      <c r="C1064" s="1" t="s">
        <v>142</v>
      </c>
      <c r="D1064" s="1" t="s">
        <v>3985</v>
      </c>
      <c r="E1064" s="1" t="s">
        <v>144</v>
      </c>
      <c r="F1064" s="1" t="s">
        <v>142</v>
      </c>
      <c r="G1064" s="1"/>
    </row>
    <row r="1065">
      <c r="A1065" s="1" t="s">
        <v>3986</v>
      </c>
      <c r="B1065" s="1" t="s">
        <v>142</v>
      </c>
      <c r="C1065" s="1" t="s">
        <v>142</v>
      </c>
      <c r="D1065" s="1" t="s">
        <v>3987</v>
      </c>
      <c r="E1065" s="1" t="s">
        <v>144</v>
      </c>
      <c r="F1065" s="1" t="s">
        <v>142</v>
      </c>
      <c r="G1065" s="1"/>
    </row>
    <row r="1066">
      <c r="A1066" s="1" t="s">
        <v>3988</v>
      </c>
      <c r="B1066" s="1" t="s">
        <v>142</v>
      </c>
      <c r="C1066" s="1" t="s">
        <v>142</v>
      </c>
      <c r="D1066" s="1" t="s">
        <v>3990</v>
      </c>
      <c r="E1066" s="1" t="s">
        <v>144</v>
      </c>
      <c r="F1066" s="1" t="s">
        <v>142</v>
      </c>
      <c r="G1066" s="1"/>
    </row>
    <row r="1067">
      <c r="A1067" s="1" t="s">
        <v>3991</v>
      </c>
      <c r="B1067" s="1" t="s">
        <v>142</v>
      </c>
      <c r="C1067" s="1" t="s">
        <v>142</v>
      </c>
      <c r="D1067" s="1" t="s">
        <v>3992</v>
      </c>
      <c r="E1067" s="1" t="s">
        <v>144</v>
      </c>
      <c r="F1067" s="1" t="s">
        <v>142</v>
      </c>
      <c r="G1067" s="1"/>
    </row>
    <row r="1068">
      <c r="A1068" s="1" t="s">
        <v>3993</v>
      </c>
      <c r="B1068" s="1" t="s">
        <v>142</v>
      </c>
      <c r="C1068" s="1" t="s">
        <v>142</v>
      </c>
      <c r="D1068" s="1" t="s">
        <v>3994</v>
      </c>
      <c r="E1068" s="1" t="s">
        <v>144</v>
      </c>
      <c r="F1068" s="1" t="s">
        <v>142</v>
      </c>
      <c r="G1068" s="1"/>
    </row>
    <row r="1069">
      <c r="A1069" s="1" t="s">
        <v>3995</v>
      </c>
      <c r="B1069" s="1" t="s">
        <v>142</v>
      </c>
      <c r="C1069" s="1" t="s">
        <v>142</v>
      </c>
      <c r="D1069" s="1" t="s">
        <v>3997</v>
      </c>
      <c r="E1069" s="1" t="s">
        <v>144</v>
      </c>
      <c r="F1069" s="1" t="s">
        <v>142</v>
      </c>
      <c r="G1069" s="1"/>
    </row>
    <row r="1070">
      <c r="A1070" s="1" t="s">
        <v>3999</v>
      </c>
      <c r="B1070" s="1" t="s">
        <v>142</v>
      </c>
      <c r="C1070" s="1" t="s">
        <v>142</v>
      </c>
      <c r="D1070" s="1" t="s">
        <v>4000</v>
      </c>
      <c r="E1070" s="1" t="s">
        <v>144</v>
      </c>
      <c r="F1070" s="1" t="s">
        <v>142</v>
      </c>
      <c r="G1070" s="1"/>
    </row>
    <row r="1071">
      <c r="A1071" s="1" t="s">
        <v>4001</v>
      </c>
      <c r="B1071" s="1" t="s">
        <v>142</v>
      </c>
      <c r="C1071" s="1" t="s">
        <v>142</v>
      </c>
      <c r="D1071" s="1" t="s">
        <v>4002</v>
      </c>
      <c r="E1071" s="1" t="s">
        <v>144</v>
      </c>
      <c r="F1071" s="1" t="s">
        <v>142</v>
      </c>
      <c r="G1071" s="1"/>
    </row>
    <row r="1072">
      <c r="A1072" s="1" t="s">
        <v>4008</v>
      </c>
      <c r="B1072" s="1" t="s">
        <v>142</v>
      </c>
      <c r="C1072" s="1" t="s">
        <v>142</v>
      </c>
      <c r="D1072" s="1" t="s">
        <v>4009</v>
      </c>
      <c r="E1072" s="1" t="s">
        <v>144</v>
      </c>
      <c r="F1072" s="1" t="s">
        <v>142</v>
      </c>
      <c r="G1072" s="1"/>
    </row>
    <row r="1073">
      <c r="A1073" s="1" t="s">
        <v>4011</v>
      </c>
      <c r="B1073" s="1" t="s">
        <v>142</v>
      </c>
      <c r="C1073" s="1" t="s">
        <v>142</v>
      </c>
      <c r="D1073" s="1" t="s">
        <v>4012</v>
      </c>
      <c r="E1073" s="1" t="s">
        <v>144</v>
      </c>
      <c r="F1073" s="1" t="s">
        <v>142</v>
      </c>
      <c r="G1073" s="1"/>
    </row>
    <row r="1074">
      <c r="A1074" s="1" t="s">
        <v>4013</v>
      </c>
      <c r="B1074" s="1" t="s">
        <v>142</v>
      </c>
      <c r="C1074" s="1" t="s">
        <v>142</v>
      </c>
      <c r="D1074" s="1" t="s">
        <v>4014</v>
      </c>
      <c r="E1074" s="1" t="s">
        <v>144</v>
      </c>
      <c r="F1074" s="1" t="s">
        <v>142</v>
      </c>
      <c r="G1074" s="1"/>
    </row>
    <row r="1075">
      <c r="A1075" s="1" t="s">
        <v>4015</v>
      </c>
      <c r="B1075" s="1" t="s">
        <v>142</v>
      </c>
      <c r="C1075" s="1" t="s">
        <v>142</v>
      </c>
      <c r="D1075" s="1" t="s">
        <v>4016</v>
      </c>
      <c r="E1075" s="1" t="s">
        <v>144</v>
      </c>
      <c r="F1075" s="1" t="s">
        <v>142</v>
      </c>
      <c r="G1075" s="1"/>
    </row>
    <row r="1076">
      <c r="A1076" s="1" t="s">
        <v>4017</v>
      </c>
      <c r="B1076" s="1" t="s">
        <v>142</v>
      </c>
      <c r="C1076" s="1" t="s">
        <v>142</v>
      </c>
      <c r="D1076" s="1" t="s">
        <v>4018</v>
      </c>
      <c r="E1076" s="1" t="s">
        <v>144</v>
      </c>
      <c r="F1076" s="1" t="s">
        <v>142</v>
      </c>
      <c r="G1076" s="1"/>
    </row>
    <row r="1077">
      <c r="A1077" s="1" t="s">
        <v>4020</v>
      </c>
      <c r="B1077" s="1" t="s">
        <v>142</v>
      </c>
      <c r="C1077" s="1" t="s">
        <v>142</v>
      </c>
      <c r="D1077" s="1" t="s">
        <v>4021</v>
      </c>
      <c r="E1077" s="1" t="s">
        <v>144</v>
      </c>
      <c r="F1077" s="1" t="s">
        <v>142</v>
      </c>
      <c r="G1077" s="1"/>
    </row>
    <row r="1078">
      <c r="A1078" s="1" t="s">
        <v>4023</v>
      </c>
      <c r="B1078" s="1" t="s">
        <v>142</v>
      </c>
      <c r="C1078" s="1" t="s">
        <v>142</v>
      </c>
      <c r="D1078" s="1" t="s">
        <v>4024</v>
      </c>
      <c r="E1078" s="1" t="s">
        <v>144</v>
      </c>
      <c r="F1078" s="1" t="s">
        <v>142</v>
      </c>
      <c r="G1078" s="1"/>
    </row>
    <row r="1079">
      <c r="A1079" s="1" t="s">
        <v>4026</v>
      </c>
      <c r="B1079" s="1" t="s">
        <v>142</v>
      </c>
      <c r="C1079" s="1" t="s">
        <v>142</v>
      </c>
      <c r="D1079" s="1" t="s">
        <v>4027</v>
      </c>
      <c r="E1079" s="1" t="s">
        <v>144</v>
      </c>
      <c r="F1079" s="1" t="s">
        <v>142</v>
      </c>
      <c r="G1079" s="1"/>
    </row>
    <row r="1080">
      <c r="A1080" s="1" t="s">
        <v>4029</v>
      </c>
      <c r="B1080" s="1" t="s">
        <v>142</v>
      </c>
      <c r="C1080" s="1" t="s">
        <v>142</v>
      </c>
      <c r="D1080" s="1" t="s">
        <v>4031</v>
      </c>
      <c r="E1080" s="1" t="s">
        <v>144</v>
      </c>
      <c r="F1080" s="1" t="s">
        <v>142</v>
      </c>
      <c r="G1080" s="1"/>
    </row>
    <row r="1081">
      <c r="A1081" s="1" t="s">
        <v>4032</v>
      </c>
      <c r="B1081" s="1" t="s">
        <v>142</v>
      </c>
      <c r="C1081" s="1" t="s">
        <v>142</v>
      </c>
      <c r="D1081" s="1" t="s">
        <v>4033</v>
      </c>
      <c r="E1081" s="1" t="s">
        <v>144</v>
      </c>
      <c r="F1081" s="1" t="s">
        <v>142</v>
      </c>
      <c r="G1081" s="1"/>
    </row>
    <row r="1082">
      <c r="A1082" s="1" t="s">
        <v>4035</v>
      </c>
      <c r="B1082" s="1" t="s">
        <v>142</v>
      </c>
      <c r="C1082" s="1" t="s">
        <v>142</v>
      </c>
      <c r="D1082" s="1" t="s">
        <v>4036</v>
      </c>
      <c r="E1082" s="1" t="s">
        <v>144</v>
      </c>
      <c r="F1082" s="1" t="s">
        <v>142</v>
      </c>
      <c r="G1082" s="1"/>
    </row>
    <row r="1083">
      <c r="A1083" s="1" t="s">
        <v>4037</v>
      </c>
      <c r="B1083" s="1" t="s">
        <v>142</v>
      </c>
      <c r="C1083" s="1" t="s">
        <v>142</v>
      </c>
      <c r="D1083" s="1" t="s">
        <v>4039</v>
      </c>
      <c r="E1083" s="1" t="s">
        <v>144</v>
      </c>
      <c r="F1083" s="1" t="s">
        <v>142</v>
      </c>
      <c r="G1083" s="1"/>
    </row>
    <row r="1084">
      <c r="A1084" s="1" t="s">
        <v>4040</v>
      </c>
      <c r="B1084" s="1" t="s">
        <v>142</v>
      </c>
      <c r="C1084" s="1" t="s">
        <v>142</v>
      </c>
      <c r="D1084" s="1" t="s">
        <v>4041</v>
      </c>
      <c r="E1084" s="1" t="s">
        <v>144</v>
      </c>
      <c r="F1084" s="1" t="s">
        <v>142</v>
      </c>
      <c r="G1084" s="1"/>
    </row>
    <row r="1085">
      <c r="A1085" s="1" t="s">
        <v>4043</v>
      </c>
      <c r="B1085" s="1" t="s">
        <v>142</v>
      </c>
      <c r="C1085" s="1" t="s">
        <v>142</v>
      </c>
      <c r="D1085" s="1" t="s">
        <v>4044</v>
      </c>
      <c r="E1085" s="1" t="s">
        <v>144</v>
      </c>
      <c r="F1085" s="1" t="s">
        <v>142</v>
      </c>
      <c r="G1085" s="1"/>
    </row>
    <row r="1086">
      <c r="A1086" s="1" t="s">
        <v>4045</v>
      </c>
      <c r="B1086" s="1" t="s">
        <v>142</v>
      </c>
      <c r="C1086" s="1" t="s">
        <v>142</v>
      </c>
      <c r="D1086" s="1" t="s">
        <v>4047</v>
      </c>
      <c r="E1086" s="1" t="s">
        <v>144</v>
      </c>
      <c r="F1086" s="1" t="s">
        <v>142</v>
      </c>
      <c r="G1086" s="1"/>
    </row>
    <row r="1087">
      <c r="A1087" s="1" t="s">
        <v>4049</v>
      </c>
      <c r="B1087" s="1" t="s">
        <v>142</v>
      </c>
      <c r="C1087" s="1" t="s">
        <v>142</v>
      </c>
      <c r="D1087" s="1" t="s">
        <v>4050</v>
      </c>
      <c r="E1087" s="1" t="s">
        <v>144</v>
      </c>
      <c r="F1087" s="1" t="s">
        <v>142</v>
      </c>
      <c r="G1087" s="1"/>
    </row>
    <row r="1088">
      <c r="A1088" s="1" t="s">
        <v>4051</v>
      </c>
      <c r="B1088" s="1" t="s">
        <v>142</v>
      </c>
      <c r="C1088" s="1" t="s">
        <v>142</v>
      </c>
      <c r="D1088" s="1" t="s">
        <v>4053</v>
      </c>
      <c r="E1088" s="1" t="s">
        <v>144</v>
      </c>
      <c r="F1088" s="1" t="s">
        <v>142</v>
      </c>
      <c r="G1088" s="1"/>
    </row>
    <row r="1089">
      <c r="A1089" s="1" t="s">
        <v>4058</v>
      </c>
      <c r="B1089" s="1" t="s">
        <v>142</v>
      </c>
      <c r="C1089" s="1" t="s">
        <v>142</v>
      </c>
      <c r="D1089" s="1" t="s">
        <v>4059</v>
      </c>
      <c r="E1089" s="1" t="s">
        <v>144</v>
      </c>
      <c r="F1089" s="1" t="s">
        <v>142</v>
      </c>
      <c r="G1089" s="1"/>
    </row>
    <row r="1090">
      <c r="A1090" s="1" t="s">
        <v>327</v>
      </c>
      <c r="B1090" s="1" t="s">
        <v>142</v>
      </c>
      <c r="C1090" s="1" t="s">
        <v>142</v>
      </c>
      <c r="D1090" s="1" t="s">
        <v>4061</v>
      </c>
      <c r="E1090" s="1" t="s">
        <v>144</v>
      </c>
      <c r="F1090" s="1" t="s">
        <v>142</v>
      </c>
      <c r="G1090" s="1"/>
    </row>
    <row r="1091">
      <c r="A1091" s="1" t="s">
        <v>4062</v>
      </c>
      <c r="B1091" s="1" t="s">
        <v>142</v>
      </c>
      <c r="C1091" s="1" t="s">
        <v>142</v>
      </c>
      <c r="D1091" s="1" t="s">
        <v>4064</v>
      </c>
      <c r="E1091" s="1" t="s">
        <v>144</v>
      </c>
      <c r="F1091" s="1" t="s">
        <v>142</v>
      </c>
      <c r="G1091" s="1"/>
    </row>
    <row r="1092">
      <c r="A1092" s="1" t="s">
        <v>4065</v>
      </c>
      <c r="B1092" s="1" t="s">
        <v>142</v>
      </c>
      <c r="C1092" s="1" t="s">
        <v>142</v>
      </c>
      <c r="D1092" s="1" t="s">
        <v>4066</v>
      </c>
      <c r="E1092" s="1" t="s">
        <v>144</v>
      </c>
      <c r="F1092" s="1" t="s">
        <v>142</v>
      </c>
      <c r="G1092" s="1"/>
    </row>
    <row r="1093">
      <c r="A1093" s="1" t="s">
        <v>4068</v>
      </c>
      <c r="B1093" s="1" t="s">
        <v>142</v>
      </c>
      <c r="C1093" s="1" t="s">
        <v>142</v>
      </c>
      <c r="D1093" s="1" t="s">
        <v>4069</v>
      </c>
      <c r="E1093" s="1" t="s">
        <v>144</v>
      </c>
      <c r="F1093" s="1" t="s">
        <v>142</v>
      </c>
      <c r="G1093" s="1"/>
    </row>
    <row r="1094">
      <c r="A1094" s="1" t="s">
        <v>4070</v>
      </c>
      <c r="B1094" s="1" t="s">
        <v>142</v>
      </c>
      <c r="C1094" s="1" t="s">
        <v>142</v>
      </c>
      <c r="D1094" s="1" t="s">
        <v>4071</v>
      </c>
      <c r="E1094" s="1" t="s">
        <v>144</v>
      </c>
      <c r="F1094" s="1" t="s">
        <v>142</v>
      </c>
      <c r="G1094" s="1"/>
    </row>
    <row r="1095">
      <c r="A1095" s="1" t="s">
        <v>4073</v>
      </c>
      <c r="B1095" s="1" t="s">
        <v>142</v>
      </c>
      <c r="C1095" s="1" t="s">
        <v>142</v>
      </c>
      <c r="D1095" s="1" t="s">
        <v>4075</v>
      </c>
      <c r="E1095" s="1" t="s">
        <v>144</v>
      </c>
      <c r="F1095" s="1" t="s">
        <v>142</v>
      </c>
      <c r="G1095" s="1"/>
    </row>
    <row r="1096">
      <c r="A1096" s="1" t="s">
        <v>4077</v>
      </c>
      <c r="B1096" s="1" t="s">
        <v>142</v>
      </c>
      <c r="C1096" s="1" t="s">
        <v>142</v>
      </c>
      <c r="D1096" s="1" t="s">
        <v>4078</v>
      </c>
      <c r="E1096" s="1" t="s">
        <v>144</v>
      </c>
      <c r="F1096" s="1" t="s">
        <v>142</v>
      </c>
      <c r="G1096" s="1"/>
    </row>
    <row r="1097">
      <c r="A1097" s="1" t="s">
        <v>4079</v>
      </c>
      <c r="B1097" s="1" t="s">
        <v>142</v>
      </c>
      <c r="C1097" s="1" t="s">
        <v>142</v>
      </c>
      <c r="D1097" s="1" t="s">
        <v>4081</v>
      </c>
      <c r="E1097" s="1" t="s">
        <v>144</v>
      </c>
      <c r="F1097" s="1" t="s">
        <v>142</v>
      </c>
      <c r="G1097" s="1"/>
    </row>
    <row r="1098">
      <c r="A1098" s="1" t="s">
        <v>4082</v>
      </c>
      <c r="B1098" s="1" t="s">
        <v>142</v>
      </c>
      <c r="C1098" s="1" t="s">
        <v>142</v>
      </c>
      <c r="D1098" s="1" t="s">
        <v>4083</v>
      </c>
      <c r="E1098" s="1" t="s">
        <v>144</v>
      </c>
      <c r="F1098" s="1" t="s">
        <v>142</v>
      </c>
      <c r="G1098" s="1"/>
    </row>
    <row r="1099">
      <c r="A1099" s="1" t="s">
        <v>4085</v>
      </c>
      <c r="B1099" s="1" t="s">
        <v>142</v>
      </c>
      <c r="C1099" s="1" t="s">
        <v>142</v>
      </c>
      <c r="D1099" s="1" t="s">
        <v>4086</v>
      </c>
      <c r="E1099" s="1" t="s">
        <v>144</v>
      </c>
      <c r="F1099" s="1" t="s">
        <v>142</v>
      </c>
      <c r="G1099" s="1"/>
    </row>
    <row r="1100">
      <c r="A1100" s="1" t="s">
        <v>4087</v>
      </c>
      <c r="B1100" s="1" t="s">
        <v>142</v>
      </c>
      <c r="C1100" s="1" t="s">
        <v>142</v>
      </c>
      <c r="D1100" s="1" t="s">
        <v>4088</v>
      </c>
      <c r="E1100" s="1" t="s">
        <v>144</v>
      </c>
      <c r="F1100" s="1" t="s">
        <v>142</v>
      </c>
      <c r="G1100" s="1"/>
    </row>
    <row r="1101">
      <c r="A1101" s="1" t="s">
        <v>4089</v>
      </c>
      <c r="B1101" s="1" t="s">
        <v>142</v>
      </c>
      <c r="C1101" s="1" t="s">
        <v>142</v>
      </c>
      <c r="D1101" s="1" t="s">
        <v>4090</v>
      </c>
      <c r="E1101" s="1" t="s">
        <v>144</v>
      </c>
      <c r="F1101" s="1" t="s">
        <v>142</v>
      </c>
      <c r="G1101" s="1"/>
    </row>
    <row r="1102">
      <c r="A1102" s="1" t="s">
        <v>4091</v>
      </c>
      <c r="B1102" s="1" t="s">
        <v>142</v>
      </c>
      <c r="C1102" s="1" t="s">
        <v>142</v>
      </c>
      <c r="D1102" s="1" t="s">
        <v>4093</v>
      </c>
      <c r="E1102" s="1" t="s">
        <v>144</v>
      </c>
      <c r="F1102" s="1" t="s">
        <v>142</v>
      </c>
      <c r="G1102" s="1"/>
    </row>
    <row r="1103">
      <c r="A1103" s="1" t="s">
        <v>4094</v>
      </c>
      <c r="B1103" s="1" t="s">
        <v>142</v>
      </c>
      <c r="C1103" s="1" t="s">
        <v>142</v>
      </c>
      <c r="D1103" s="1" t="s">
        <v>4095</v>
      </c>
      <c r="E1103" s="1" t="s">
        <v>144</v>
      </c>
      <c r="F1103" s="1" t="s">
        <v>142</v>
      </c>
      <c r="G1103" s="1"/>
    </row>
    <row r="1104">
      <c r="A1104" s="1" t="s">
        <v>4096</v>
      </c>
      <c r="B1104" s="1" t="s">
        <v>142</v>
      </c>
      <c r="C1104" s="1" t="s">
        <v>142</v>
      </c>
      <c r="D1104" s="1" t="s">
        <v>4097</v>
      </c>
      <c r="E1104" s="1" t="s">
        <v>144</v>
      </c>
      <c r="F1104" s="1" t="s">
        <v>142</v>
      </c>
      <c r="G1104" s="1"/>
    </row>
    <row r="1105">
      <c r="A1105" s="1" t="s">
        <v>4098</v>
      </c>
      <c r="B1105" s="1" t="s">
        <v>142</v>
      </c>
      <c r="C1105" s="1" t="s">
        <v>142</v>
      </c>
      <c r="D1105" s="1" t="s">
        <v>4101</v>
      </c>
      <c r="E1105" s="1" t="s">
        <v>144</v>
      </c>
      <c r="F1105" s="1" t="s">
        <v>142</v>
      </c>
      <c r="G1105" s="1"/>
    </row>
    <row r="1106">
      <c r="A1106" s="1" t="s">
        <v>4103</v>
      </c>
      <c r="B1106" s="1" t="s">
        <v>142</v>
      </c>
      <c r="C1106" s="1" t="s">
        <v>142</v>
      </c>
      <c r="D1106" s="1" t="s">
        <v>4104</v>
      </c>
      <c r="E1106" s="1" t="s">
        <v>144</v>
      </c>
      <c r="F1106" s="1" t="s">
        <v>142</v>
      </c>
      <c r="G1106" s="1"/>
    </row>
    <row r="1107">
      <c r="A1107" s="1" t="s">
        <v>4105</v>
      </c>
      <c r="B1107" s="1" t="s">
        <v>142</v>
      </c>
      <c r="C1107" s="1" t="s">
        <v>142</v>
      </c>
      <c r="D1107" s="1" t="s">
        <v>4107</v>
      </c>
      <c r="E1107" s="1" t="s">
        <v>144</v>
      </c>
      <c r="F1107" s="1" t="s">
        <v>142</v>
      </c>
      <c r="G1107" s="1"/>
    </row>
    <row r="1108">
      <c r="A1108" s="1" t="s">
        <v>4108</v>
      </c>
      <c r="B1108" s="1" t="s">
        <v>142</v>
      </c>
      <c r="C1108" s="1" t="s">
        <v>142</v>
      </c>
      <c r="D1108" s="1" t="s">
        <v>4109</v>
      </c>
      <c r="E1108" s="1" t="s">
        <v>144</v>
      </c>
      <c r="F1108" s="1" t="s">
        <v>142</v>
      </c>
      <c r="G1108" s="1"/>
    </row>
    <row r="1109">
      <c r="A1109" s="1" t="s">
        <v>4110</v>
      </c>
      <c r="B1109" s="1" t="s">
        <v>142</v>
      </c>
      <c r="C1109" s="1" t="s">
        <v>142</v>
      </c>
      <c r="D1109" s="1" t="s">
        <v>4112</v>
      </c>
      <c r="E1109" s="1" t="s">
        <v>144</v>
      </c>
      <c r="F1109" s="1" t="s">
        <v>142</v>
      </c>
      <c r="G1109" s="1"/>
    </row>
    <row r="1110">
      <c r="A1110" s="1" t="s">
        <v>4113</v>
      </c>
      <c r="B1110" s="1" t="s">
        <v>142</v>
      </c>
      <c r="C1110" s="1" t="s">
        <v>142</v>
      </c>
      <c r="D1110" s="1" t="s">
        <v>4114</v>
      </c>
      <c r="E1110" s="1" t="s">
        <v>144</v>
      </c>
      <c r="F1110" s="1" t="s">
        <v>142</v>
      </c>
      <c r="G1110" s="1"/>
    </row>
    <row r="1111">
      <c r="A1111" s="1" t="s">
        <v>4116</v>
      </c>
      <c r="B1111" s="1" t="s">
        <v>142</v>
      </c>
      <c r="C1111" s="1" t="s">
        <v>142</v>
      </c>
      <c r="D1111" s="1" t="s">
        <v>4117</v>
      </c>
      <c r="E1111" s="1" t="s">
        <v>144</v>
      </c>
      <c r="F1111" s="1" t="s">
        <v>142</v>
      </c>
      <c r="G1111" s="1"/>
    </row>
    <row r="1112">
      <c r="A1112" s="1" t="s">
        <v>4119</v>
      </c>
      <c r="B1112" s="1" t="s">
        <v>142</v>
      </c>
      <c r="C1112" s="1" t="s">
        <v>142</v>
      </c>
      <c r="D1112" s="1" t="s">
        <v>4121</v>
      </c>
      <c r="E1112" s="1" t="s">
        <v>144</v>
      </c>
      <c r="F1112" s="1" t="s">
        <v>142</v>
      </c>
      <c r="G1112" s="1"/>
    </row>
    <row r="1113">
      <c r="A1113" s="1" t="s">
        <v>4122</v>
      </c>
      <c r="B1113" s="1" t="s">
        <v>142</v>
      </c>
      <c r="C1113" s="1" t="s">
        <v>142</v>
      </c>
      <c r="D1113" s="1" t="s">
        <v>4123</v>
      </c>
      <c r="E1113" s="1" t="s">
        <v>144</v>
      </c>
      <c r="F1113" s="1" t="s">
        <v>142</v>
      </c>
      <c r="G1113" s="1"/>
    </row>
    <row r="1114">
      <c r="A1114" s="1" t="s">
        <v>4125</v>
      </c>
      <c r="B1114" s="1" t="s">
        <v>142</v>
      </c>
      <c r="C1114" s="1" t="s">
        <v>142</v>
      </c>
      <c r="D1114" s="1" t="s">
        <v>4126</v>
      </c>
      <c r="E1114" s="1" t="s">
        <v>144</v>
      </c>
      <c r="F1114" s="1" t="s">
        <v>142</v>
      </c>
      <c r="G1114" s="1"/>
    </row>
    <row r="1115">
      <c r="A1115" s="1" t="s">
        <v>4127</v>
      </c>
      <c r="B1115" s="1" t="s">
        <v>142</v>
      </c>
      <c r="C1115" s="1" t="s">
        <v>142</v>
      </c>
      <c r="D1115" s="1" t="s">
        <v>4129</v>
      </c>
      <c r="E1115" s="1" t="s">
        <v>144</v>
      </c>
      <c r="F1115" s="1" t="s">
        <v>142</v>
      </c>
      <c r="G1115" s="1"/>
    </row>
    <row r="1116">
      <c r="A1116" s="1" t="s">
        <v>4131</v>
      </c>
      <c r="B1116" s="1" t="s">
        <v>142</v>
      </c>
      <c r="C1116" s="1" t="s">
        <v>142</v>
      </c>
      <c r="D1116" s="1" t="s">
        <v>4132</v>
      </c>
      <c r="E1116" s="1" t="s">
        <v>144</v>
      </c>
      <c r="F1116" s="1" t="s">
        <v>142</v>
      </c>
      <c r="G1116" s="1"/>
    </row>
    <row r="1117">
      <c r="A1117" s="1" t="s">
        <v>4134</v>
      </c>
      <c r="B1117" s="1" t="s">
        <v>142</v>
      </c>
      <c r="C1117" s="1" t="s">
        <v>142</v>
      </c>
      <c r="D1117" s="1" t="s">
        <v>4135</v>
      </c>
      <c r="E1117" s="1" t="s">
        <v>144</v>
      </c>
      <c r="F1117" s="1" t="s">
        <v>142</v>
      </c>
      <c r="G1117" s="1"/>
    </row>
    <row r="1118">
      <c r="A1118" s="1" t="s">
        <v>4136</v>
      </c>
      <c r="B1118" s="1" t="s">
        <v>142</v>
      </c>
      <c r="C1118" s="1" t="s">
        <v>142</v>
      </c>
      <c r="D1118" s="1" t="s">
        <v>4137</v>
      </c>
      <c r="E1118" s="1" t="s">
        <v>144</v>
      </c>
      <c r="F1118" s="1" t="s">
        <v>142</v>
      </c>
      <c r="G1118" s="1"/>
    </row>
    <row r="1119">
      <c r="A1119" s="1" t="s">
        <v>4138</v>
      </c>
      <c r="B1119" s="1" t="s">
        <v>142</v>
      </c>
      <c r="C1119" s="1" t="s">
        <v>142</v>
      </c>
      <c r="D1119" s="1" t="s">
        <v>4139</v>
      </c>
      <c r="E1119" s="1" t="s">
        <v>144</v>
      </c>
      <c r="F1119" s="1" t="s">
        <v>142</v>
      </c>
      <c r="G1119" s="1"/>
    </row>
    <row r="1120">
      <c r="A1120" s="1" t="s">
        <v>4141</v>
      </c>
      <c r="B1120" s="1" t="s">
        <v>142</v>
      </c>
      <c r="C1120" s="1" t="s">
        <v>142</v>
      </c>
      <c r="D1120" s="1" t="s">
        <v>4142</v>
      </c>
      <c r="E1120" s="1" t="s">
        <v>144</v>
      </c>
      <c r="F1120" s="1" t="s">
        <v>142</v>
      </c>
      <c r="G1120" s="1"/>
    </row>
    <row r="1121">
      <c r="A1121" s="1" t="s">
        <v>4143</v>
      </c>
      <c r="B1121" s="1" t="s">
        <v>142</v>
      </c>
      <c r="C1121" s="1" t="s">
        <v>142</v>
      </c>
      <c r="D1121" s="1" t="s">
        <v>4144</v>
      </c>
      <c r="E1121" s="1" t="s">
        <v>144</v>
      </c>
      <c r="F1121" s="1" t="s">
        <v>142</v>
      </c>
      <c r="G1121" s="1"/>
    </row>
    <row r="1122">
      <c r="A1122" s="1" t="s">
        <v>4146</v>
      </c>
      <c r="B1122" s="1" t="s">
        <v>142</v>
      </c>
      <c r="C1122" s="1" t="s">
        <v>142</v>
      </c>
      <c r="D1122" s="1" t="s">
        <v>4147</v>
      </c>
      <c r="E1122" s="1" t="s">
        <v>144</v>
      </c>
      <c r="F1122" s="1" t="s">
        <v>142</v>
      </c>
      <c r="G1122" s="1"/>
    </row>
    <row r="1123">
      <c r="A1123" s="1" t="s">
        <v>4148</v>
      </c>
      <c r="B1123" s="1" t="s">
        <v>142</v>
      </c>
      <c r="C1123" s="1" t="s">
        <v>142</v>
      </c>
      <c r="D1123" s="1" t="s">
        <v>4149</v>
      </c>
      <c r="E1123" s="1" t="s">
        <v>144</v>
      </c>
      <c r="F1123" s="1" t="s">
        <v>142</v>
      </c>
      <c r="G1123" s="1"/>
    </row>
    <row r="1124">
      <c r="A1124" s="1" t="s">
        <v>4151</v>
      </c>
      <c r="B1124" s="1" t="s">
        <v>142</v>
      </c>
      <c r="C1124" s="1" t="s">
        <v>142</v>
      </c>
      <c r="D1124" s="1" t="s">
        <v>4152</v>
      </c>
      <c r="E1124" s="1" t="s">
        <v>144</v>
      </c>
      <c r="F1124" s="1" t="s">
        <v>142</v>
      </c>
      <c r="G1124" s="1"/>
    </row>
    <row r="1125">
      <c r="A1125" s="1" t="s">
        <v>4153</v>
      </c>
      <c r="B1125" s="1" t="s">
        <v>142</v>
      </c>
      <c r="C1125" s="1" t="s">
        <v>142</v>
      </c>
      <c r="D1125" s="1" t="s">
        <v>4154</v>
      </c>
      <c r="E1125" s="1" t="s">
        <v>144</v>
      </c>
      <c r="F1125" s="1" t="s">
        <v>142</v>
      </c>
      <c r="G1125" s="1"/>
    </row>
    <row r="1126">
      <c r="A1126" s="1" t="s">
        <v>4156</v>
      </c>
      <c r="B1126" s="1" t="s">
        <v>142</v>
      </c>
      <c r="C1126" s="1" t="s">
        <v>142</v>
      </c>
      <c r="D1126" s="1" t="s">
        <v>4157</v>
      </c>
      <c r="E1126" s="1" t="s">
        <v>144</v>
      </c>
      <c r="F1126" s="1" t="s">
        <v>142</v>
      </c>
      <c r="G1126" s="1"/>
    </row>
    <row r="1127">
      <c r="A1127" s="1" t="s">
        <v>4158</v>
      </c>
      <c r="B1127" s="1" t="s">
        <v>142</v>
      </c>
      <c r="C1127" s="1" t="s">
        <v>142</v>
      </c>
      <c r="D1127" s="1" t="s">
        <v>4159</v>
      </c>
      <c r="E1127" s="1" t="s">
        <v>144</v>
      </c>
      <c r="F1127" s="1" t="s">
        <v>142</v>
      </c>
      <c r="G1127" s="1"/>
    </row>
    <row r="1128">
      <c r="A1128" s="1" t="s">
        <v>4160</v>
      </c>
      <c r="B1128" s="1" t="s">
        <v>142</v>
      </c>
      <c r="C1128" s="1" t="s">
        <v>142</v>
      </c>
      <c r="D1128" s="1" t="s">
        <v>4161</v>
      </c>
      <c r="E1128" s="1" t="s">
        <v>144</v>
      </c>
      <c r="F1128" s="1" t="s">
        <v>142</v>
      </c>
      <c r="G1128" s="1"/>
    </row>
    <row r="1129">
      <c r="A1129" s="1" t="s">
        <v>4162</v>
      </c>
      <c r="B1129" s="1" t="s">
        <v>142</v>
      </c>
      <c r="C1129" s="1" t="s">
        <v>142</v>
      </c>
      <c r="D1129" s="1" t="s">
        <v>4163</v>
      </c>
      <c r="E1129" s="1" t="s">
        <v>144</v>
      </c>
      <c r="F1129" s="1" t="s">
        <v>142</v>
      </c>
      <c r="G1129" s="1"/>
    </row>
    <row r="1130">
      <c r="A1130" s="1" t="s">
        <v>4164</v>
      </c>
      <c r="B1130" s="1" t="s">
        <v>142</v>
      </c>
      <c r="C1130" s="1" t="s">
        <v>142</v>
      </c>
      <c r="D1130" s="1" t="s">
        <v>4165</v>
      </c>
      <c r="E1130" s="1" t="s">
        <v>144</v>
      </c>
      <c r="F1130" s="1" t="s">
        <v>142</v>
      </c>
      <c r="G1130" s="1"/>
    </row>
    <row r="1131">
      <c r="A1131" s="1" t="s">
        <v>4166</v>
      </c>
      <c r="B1131" s="1" t="s">
        <v>142</v>
      </c>
      <c r="C1131" s="1" t="s">
        <v>142</v>
      </c>
      <c r="D1131" s="1" t="s">
        <v>4167</v>
      </c>
      <c r="E1131" s="1" t="s">
        <v>144</v>
      </c>
      <c r="F1131" s="1" t="s">
        <v>142</v>
      </c>
      <c r="G1131" s="1"/>
    </row>
    <row r="1132">
      <c r="A1132" s="1" t="s">
        <v>4168</v>
      </c>
      <c r="B1132" s="1" t="s">
        <v>142</v>
      </c>
      <c r="C1132" s="1" t="s">
        <v>142</v>
      </c>
      <c r="D1132" s="1" t="s">
        <v>4169</v>
      </c>
      <c r="E1132" s="1" t="s">
        <v>144</v>
      </c>
      <c r="F1132" s="1" t="s">
        <v>142</v>
      </c>
      <c r="G1132" s="1"/>
    </row>
    <row r="1133">
      <c r="A1133" s="1" t="s">
        <v>4170</v>
      </c>
      <c r="B1133" s="1" t="s">
        <v>4171</v>
      </c>
      <c r="C1133" s="1" t="s">
        <v>4172</v>
      </c>
      <c r="D1133" s="1" t="s">
        <v>4173</v>
      </c>
      <c r="E1133" s="1" t="s">
        <v>144</v>
      </c>
      <c r="F1133" s="1" t="s">
        <v>142</v>
      </c>
      <c r="G1133" s="1"/>
    </row>
    <row r="1134">
      <c r="A1134" s="1" t="s">
        <v>4174</v>
      </c>
      <c r="B1134" s="1" t="s">
        <v>142</v>
      </c>
      <c r="C1134" s="1" t="s">
        <v>142</v>
      </c>
      <c r="D1134" s="1" t="s">
        <v>4175</v>
      </c>
      <c r="E1134" s="1" t="s">
        <v>144</v>
      </c>
      <c r="F1134" s="1" t="s">
        <v>142</v>
      </c>
      <c r="G1134" s="1"/>
    </row>
    <row r="1135">
      <c r="A1135" s="1" t="s">
        <v>4176</v>
      </c>
      <c r="B1135" s="1" t="s">
        <v>142</v>
      </c>
      <c r="C1135" s="1" t="s">
        <v>142</v>
      </c>
      <c r="D1135" s="1" t="s">
        <v>4177</v>
      </c>
      <c r="E1135" s="1" t="s">
        <v>144</v>
      </c>
      <c r="F1135" s="1" t="s">
        <v>142</v>
      </c>
      <c r="G1135" s="1"/>
    </row>
    <row r="1136">
      <c r="A1136" s="1" t="s">
        <v>4178</v>
      </c>
      <c r="B1136" s="1" t="s">
        <v>142</v>
      </c>
      <c r="C1136" s="1" t="s">
        <v>142</v>
      </c>
      <c r="D1136" s="1" t="s">
        <v>4179</v>
      </c>
      <c r="E1136" s="1" t="s">
        <v>144</v>
      </c>
      <c r="F1136" s="1" t="s">
        <v>142</v>
      </c>
      <c r="G1136" s="1"/>
    </row>
    <row r="1137">
      <c r="A1137" s="1" t="s">
        <v>4180</v>
      </c>
      <c r="B1137" s="1" t="s">
        <v>142</v>
      </c>
      <c r="C1137" s="1" t="s">
        <v>142</v>
      </c>
      <c r="D1137" s="1" t="s">
        <v>4181</v>
      </c>
      <c r="E1137" s="1" t="s">
        <v>144</v>
      </c>
      <c r="F1137" s="1" t="s">
        <v>142</v>
      </c>
      <c r="G1137" s="1"/>
    </row>
    <row r="1138">
      <c r="A1138" s="1" t="s">
        <v>4182</v>
      </c>
      <c r="B1138" s="1" t="s">
        <v>142</v>
      </c>
      <c r="C1138" s="1" t="s">
        <v>142</v>
      </c>
      <c r="D1138" s="1" t="s">
        <v>4183</v>
      </c>
      <c r="E1138" s="1" t="s">
        <v>144</v>
      </c>
      <c r="F1138" s="1" t="s">
        <v>142</v>
      </c>
      <c r="G1138" s="1"/>
    </row>
    <row r="1139">
      <c r="A1139" s="1" t="s">
        <v>4184</v>
      </c>
      <c r="B1139" s="1" t="s">
        <v>142</v>
      </c>
      <c r="C1139" s="1" t="s">
        <v>142</v>
      </c>
      <c r="D1139" s="1" t="s">
        <v>4185</v>
      </c>
      <c r="E1139" s="1" t="s">
        <v>144</v>
      </c>
      <c r="F1139" s="1" t="s">
        <v>142</v>
      </c>
      <c r="G1139" s="1"/>
    </row>
    <row r="1140">
      <c r="A1140" s="1" t="s">
        <v>4186</v>
      </c>
      <c r="B1140" s="1" t="s">
        <v>142</v>
      </c>
      <c r="C1140" s="1" t="s">
        <v>142</v>
      </c>
      <c r="D1140" s="1" t="s">
        <v>4187</v>
      </c>
      <c r="E1140" s="1" t="s">
        <v>144</v>
      </c>
      <c r="F1140" s="1" t="s">
        <v>142</v>
      </c>
      <c r="G1140" s="1"/>
    </row>
    <row r="1141">
      <c r="A1141" s="1" t="s">
        <v>4188</v>
      </c>
      <c r="B1141" s="1" t="s">
        <v>142</v>
      </c>
      <c r="C1141" s="1" t="s">
        <v>142</v>
      </c>
      <c r="D1141" s="1" t="s">
        <v>4189</v>
      </c>
      <c r="E1141" s="1" t="s">
        <v>144</v>
      </c>
      <c r="F1141" s="1" t="s">
        <v>142</v>
      </c>
      <c r="G1141" s="1"/>
    </row>
    <row r="1142">
      <c r="A1142" s="1" t="s">
        <v>4190</v>
      </c>
      <c r="B1142" s="1" t="s">
        <v>142</v>
      </c>
      <c r="C1142" s="1" t="s">
        <v>142</v>
      </c>
      <c r="D1142" s="1" t="s">
        <v>4191</v>
      </c>
      <c r="E1142" s="1" t="s">
        <v>144</v>
      </c>
      <c r="F1142" s="1" t="s">
        <v>142</v>
      </c>
      <c r="G1142" s="1"/>
    </row>
    <row r="1143">
      <c r="A1143" s="1" t="s">
        <v>4192</v>
      </c>
      <c r="B1143" s="1" t="s">
        <v>142</v>
      </c>
      <c r="C1143" s="1" t="s">
        <v>142</v>
      </c>
      <c r="D1143" s="1" t="s">
        <v>4193</v>
      </c>
      <c r="E1143" s="1" t="s">
        <v>144</v>
      </c>
      <c r="F1143" s="1" t="s">
        <v>142</v>
      </c>
      <c r="G1143" s="1"/>
    </row>
    <row r="1144">
      <c r="A1144" s="1" t="s">
        <v>4194</v>
      </c>
      <c r="B1144" s="1" t="s">
        <v>142</v>
      </c>
      <c r="C1144" s="1" t="s">
        <v>142</v>
      </c>
      <c r="D1144" s="1" t="s">
        <v>4195</v>
      </c>
      <c r="E1144" s="1" t="s">
        <v>144</v>
      </c>
      <c r="F1144" s="1" t="s">
        <v>142</v>
      </c>
      <c r="G1144" s="1"/>
    </row>
    <row r="1145">
      <c r="A1145" s="1" t="s">
        <v>4196</v>
      </c>
      <c r="B1145" s="1" t="s">
        <v>142</v>
      </c>
      <c r="C1145" s="1" t="s">
        <v>142</v>
      </c>
      <c r="D1145" s="1" t="s">
        <v>4197</v>
      </c>
      <c r="E1145" s="1" t="s">
        <v>144</v>
      </c>
      <c r="F1145" s="1" t="s">
        <v>142</v>
      </c>
      <c r="G1145" s="1"/>
    </row>
    <row r="1146">
      <c r="A1146" s="1" t="s">
        <v>4198</v>
      </c>
      <c r="B1146" s="1" t="s">
        <v>142</v>
      </c>
      <c r="C1146" s="1" t="s">
        <v>142</v>
      </c>
      <c r="D1146" s="1" t="s">
        <v>4199</v>
      </c>
      <c r="E1146" s="1" t="s">
        <v>144</v>
      </c>
      <c r="F1146" s="1" t="s">
        <v>142</v>
      </c>
      <c r="G1146" s="1"/>
    </row>
    <row r="1147">
      <c r="A1147" s="1" t="s">
        <v>4200</v>
      </c>
      <c r="B1147" s="1" t="s">
        <v>142</v>
      </c>
      <c r="C1147" s="1" t="s">
        <v>142</v>
      </c>
      <c r="D1147" s="1" t="s">
        <v>4201</v>
      </c>
      <c r="E1147" s="1" t="s">
        <v>144</v>
      </c>
      <c r="F1147" s="1" t="s">
        <v>142</v>
      </c>
      <c r="G1147" s="1"/>
    </row>
    <row r="1148">
      <c r="A1148" s="1" t="s">
        <v>4202</v>
      </c>
      <c r="B1148" s="1" t="s">
        <v>142</v>
      </c>
      <c r="C1148" s="1" t="s">
        <v>142</v>
      </c>
      <c r="D1148" s="1" t="s">
        <v>4203</v>
      </c>
      <c r="E1148" s="1" t="s">
        <v>144</v>
      </c>
      <c r="F1148" s="1" t="s">
        <v>142</v>
      </c>
      <c r="G1148" s="1"/>
    </row>
    <row r="1149">
      <c r="A1149" s="1" t="s">
        <v>4204</v>
      </c>
      <c r="B1149" s="1" t="s">
        <v>142</v>
      </c>
      <c r="C1149" s="1" t="s">
        <v>142</v>
      </c>
      <c r="D1149" s="1" t="s">
        <v>4205</v>
      </c>
      <c r="E1149" s="1" t="s">
        <v>144</v>
      </c>
      <c r="F1149" s="1" t="s">
        <v>142</v>
      </c>
      <c r="G1149" s="1"/>
    </row>
    <row r="1150">
      <c r="A1150" s="1" t="s">
        <v>4206</v>
      </c>
      <c r="B1150" s="1" t="s">
        <v>142</v>
      </c>
      <c r="C1150" s="1" t="s">
        <v>142</v>
      </c>
      <c r="D1150" s="1" t="s">
        <v>4207</v>
      </c>
      <c r="E1150" s="1" t="s">
        <v>144</v>
      </c>
      <c r="F1150" s="1" t="s">
        <v>142</v>
      </c>
      <c r="G1150" s="1"/>
    </row>
    <row r="1151">
      <c r="A1151" s="1" t="s">
        <v>4208</v>
      </c>
      <c r="B1151" s="1" t="s">
        <v>142</v>
      </c>
      <c r="C1151" s="1" t="s">
        <v>142</v>
      </c>
      <c r="D1151" s="1" t="s">
        <v>4209</v>
      </c>
      <c r="E1151" s="1" t="s">
        <v>144</v>
      </c>
      <c r="F1151" s="1" t="s">
        <v>142</v>
      </c>
      <c r="G1151" s="1"/>
    </row>
    <row r="1152">
      <c r="A1152" s="1" t="s">
        <v>4210</v>
      </c>
      <c r="B1152" s="1" t="s">
        <v>142</v>
      </c>
      <c r="C1152" s="1" t="s">
        <v>142</v>
      </c>
      <c r="D1152" s="1" t="s">
        <v>4211</v>
      </c>
      <c r="E1152" s="1" t="s">
        <v>144</v>
      </c>
      <c r="F1152" s="1" t="s">
        <v>142</v>
      </c>
      <c r="G1152" s="1"/>
    </row>
    <row r="1153">
      <c r="A1153" s="1" t="s">
        <v>4212</v>
      </c>
      <c r="B1153" s="1" t="s">
        <v>142</v>
      </c>
      <c r="C1153" s="1" t="s">
        <v>142</v>
      </c>
      <c r="D1153" s="1" t="s">
        <v>4213</v>
      </c>
      <c r="E1153" s="1" t="s">
        <v>144</v>
      </c>
      <c r="F1153" s="1" t="s">
        <v>142</v>
      </c>
      <c r="G1153" s="1"/>
    </row>
    <row r="1154">
      <c r="A1154" s="1" t="s">
        <v>4214</v>
      </c>
      <c r="B1154" s="1" t="s">
        <v>4215</v>
      </c>
      <c r="C1154" s="1" t="s">
        <v>4216</v>
      </c>
      <c r="D1154" s="1" t="s">
        <v>4217</v>
      </c>
      <c r="E1154" s="1" t="s">
        <v>144</v>
      </c>
      <c r="F1154" s="1" t="s">
        <v>142</v>
      </c>
      <c r="G1154" s="1"/>
    </row>
    <row r="1155">
      <c r="A1155" s="1" t="s">
        <v>4218</v>
      </c>
      <c r="B1155" s="1" t="s">
        <v>142</v>
      </c>
      <c r="C1155" s="1" t="s">
        <v>142</v>
      </c>
      <c r="D1155" s="1" t="s">
        <v>4219</v>
      </c>
      <c r="E1155" s="1" t="s">
        <v>144</v>
      </c>
      <c r="F1155" s="1" t="s">
        <v>142</v>
      </c>
      <c r="G1155" s="1"/>
    </row>
    <row r="1156">
      <c r="A1156" s="1" t="s">
        <v>4220</v>
      </c>
      <c r="B1156" s="1" t="s">
        <v>142</v>
      </c>
      <c r="C1156" s="1" t="s">
        <v>142</v>
      </c>
      <c r="D1156" s="1" t="s">
        <v>4221</v>
      </c>
      <c r="E1156" s="1" t="s">
        <v>144</v>
      </c>
      <c r="F1156" s="1" t="s">
        <v>142</v>
      </c>
      <c r="G1156" s="1"/>
    </row>
    <row r="1157">
      <c r="A1157" s="1" t="s">
        <v>4222</v>
      </c>
      <c r="B1157" s="1" t="s">
        <v>142</v>
      </c>
      <c r="C1157" s="1" t="s">
        <v>142</v>
      </c>
      <c r="D1157" s="1" t="s">
        <v>4223</v>
      </c>
      <c r="E1157" s="1" t="s">
        <v>144</v>
      </c>
      <c r="F1157" s="1" t="s">
        <v>142</v>
      </c>
      <c r="G1157" s="1"/>
    </row>
    <row r="1158">
      <c r="A1158" s="1" t="s">
        <v>4224</v>
      </c>
      <c r="B1158" s="1" t="s">
        <v>142</v>
      </c>
      <c r="C1158" s="1" t="s">
        <v>142</v>
      </c>
      <c r="D1158" s="1" t="s">
        <v>4225</v>
      </c>
      <c r="E1158" s="1" t="s">
        <v>144</v>
      </c>
      <c r="F1158" s="1" t="s">
        <v>142</v>
      </c>
      <c r="G1158" s="1"/>
    </row>
    <row r="1159">
      <c r="A1159" s="1" t="s">
        <v>4226</v>
      </c>
      <c r="B1159" s="1" t="s">
        <v>142</v>
      </c>
      <c r="C1159" s="1" t="s">
        <v>142</v>
      </c>
      <c r="D1159" s="1" t="s">
        <v>4227</v>
      </c>
      <c r="E1159" s="1" t="s">
        <v>144</v>
      </c>
      <c r="F1159" s="1" t="s">
        <v>142</v>
      </c>
      <c r="G1159" s="1"/>
    </row>
    <row r="1160">
      <c r="A1160" s="1" t="s">
        <v>4228</v>
      </c>
      <c r="B1160" s="1" t="s">
        <v>142</v>
      </c>
      <c r="C1160" s="1" t="s">
        <v>142</v>
      </c>
      <c r="D1160" s="1" t="s">
        <v>4229</v>
      </c>
      <c r="E1160" s="1" t="s">
        <v>144</v>
      </c>
      <c r="F1160" s="1" t="s">
        <v>142</v>
      </c>
      <c r="G1160" s="1"/>
    </row>
    <row r="1161">
      <c r="A1161" s="1" t="s">
        <v>4230</v>
      </c>
      <c r="B1161" s="1" t="s">
        <v>142</v>
      </c>
      <c r="C1161" s="1" t="s">
        <v>142</v>
      </c>
      <c r="D1161" s="1" t="s">
        <v>4231</v>
      </c>
      <c r="E1161" s="1" t="s">
        <v>144</v>
      </c>
      <c r="F1161" s="1" t="s">
        <v>142</v>
      </c>
      <c r="G1161" s="1"/>
    </row>
    <row r="1162">
      <c r="A1162" s="1" t="s">
        <v>4232</v>
      </c>
      <c r="B1162" s="1" t="s">
        <v>142</v>
      </c>
      <c r="C1162" s="1" t="s">
        <v>142</v>
      </c>
      <c r="D1162" s="1" t="s">
        <v>4233</v>
      </c>
      <c r="E1162" s="1" t="s">
        <v>144</v>
      </c>
      <c r="F1162" s="1" t="s">
        <v>142</v>
      </c>
      <c r="G1162" s="1"/>
    </row>
    <row r="1163">
      <c r="A1163" s="1" t="s">
        <v>4234</v>
      </c>
      <c r="B1163" s="1" t="s">
        <v>142</v>
      </c>
      <c r="C1163" s="1" t="s">
        <v>142</v>
      </c>
      <c r="D1163" s="1" t="s">
        <v>4235</v>
      </c>
      <c r="E1163" s="1" t="s">
        <v>144</v>
      </c>
      <c r="F1163" s="1" t="s">
        <v>142</v>
      </c>
      <c r="G1163" s="1"/>
    </row>
    <row r="1164">
      <c r="A1164" s="1" t="s">
        <v>33</v>
      </c>
      <c r="B1164" s="1" t="s">
        <v>142</v>
      </c>
      <c r="C1164" s="1" t="s">
        <v>142</v>
      </c>
      <c r="D1164" s="1" t="s">
        <v>4236</v>
      </c>
      <c r="E1164" s="1" t="s">
        <v>144</v>
      </c>
      <c r="F1164" s="1" t="s">
        <v>142</v>
      </c>
      <c r="G1164" s="1"/>
    </row>
    <row r="1165">
      <c r="A1165" s="1" t="s">
        <v>4237</v>
      </c>
      <c r="B1165" s="1" t="s">
        <v>142</v>
      </c>
      <c r="C1165" s="1" t="s">
        <v>142</v>
      </c>
      <c r="D1165" s="1" t="s">
        <v>4238</v>
      </c>
      <c r="E1165" s="1" t="s">
        <v>144</v>
      </c>
      <c r="F1165" s="1" t="s">
        <v>142</v>
      </c>
      <c r="G1165" s="1"/>
    </row>
    <row r="1166">
      <c r="A1166" s="1" t="s">
        <v>4239</v>
      </c>
      <c r="B1166" s="1" t="s">
        <v>142</v>
      </c>
      <c r="C1166" s="1" t="s">
        <v>142</v>
      </c>
      <c r="D1166" s="1" t="s">
        <v>4240</v>
      </c>
      <c r="E1166" s="1" t="s">
        <v>144</v>
      </c>
      <c r="F1166" s="1" t="s">
        <v>142</v>
      </c>
      <c r="G1166" s="1"/>
    </row>
    <row r="1167">
      <c r="A1167" s="1" t="s">
        <v>4241</v>
      </c>
      <c r="B1167" s="1" t="s">
        <v>142</v>
      </c>
      <c r="C1167" s="1" t="s">
        <v>142</v>
      </c>
      <c r="D1167" s="1" t="s">
        <v>4242</v>
      </c>
      <c r="E1167" s="1" t="s">
        <v>144</v>
      </c>
      <c r="F1167" s="1" t="s">
        <v>142</v>
      </c>
      <c r="G1167" s="1"/>
    </row>
    <row r="1168">
      <c r="A1168" s="1" t="s">
        <v>4243</v>
      </c>
      <c r="B1168" s="1" t="s">
        <v>142</v>
      </c>
      <c r="C1168" s="1" t="s">
        <v>142</v>
      </c>
      <c r="D1168" s="1" t="s">
        <v>4244</v>
      </c>
      <c r="E1168" s="1" t="s">
        <v>144</v>
      </c>
      <c r="F1168" s="1" t="s">
        <v>142</v>
      </c>
      <c r="G1168" s="1"/>
    </row>
    <row r="1169">
      <c r="A1169" s="1" t="s">
        <v>4245</v>
      </c>
      <c r="B1169" s="1" t="s">
        <v>4246</v>
      </c>
      <c r="C1169" s="1" t="s">
        <v>4247</v>
      </c>
      <c r="D1169" s="1" t="s">
        <v>4248</v>
      </c>
      <c r="E1169" s="1" t="s">
        <v>144</v>
      </c>
      <c r="F1169" s="1" t="s">
        <v>142</v>
      </c>
      <c r="G1169" s="1"/>
    </row>
    <row r="1170">
      <c r="A1170" s="1" t="s">
        <v>4249</v>
      </c>
      <c r="B1170" s="1" t="s">
        <v>142</v>
      </c>
      <c r="C1170" s="1" t="s">
        <v>142</v>
      </c>
      <c r="D1170" s="1" t="s">
        <v>4250</v>
      </c>
      <c r="E1170" s="1" t="s">
        <v>144</v>
      </c>
      <c r="F1170" s="1" t="s">
        <v>142</v>
      </c>
      <c r="G1170" s="1"/>
    </row>
    <row r="1171">
      <c r="A1171" s="1" t="s">
        <v>2167</v>
      </c>
      <c r="B1171" s="1" t="s">
        <v>142</v>
      </c>
      <c r="C1171" s="1" t="s">
        <v>142</v>
      </c>
      <c r="D1171" s="1" t="s">
        <v>4251</v>
      </c>
      <c r="E1171" s="1" t="s">
        <v>144</v>
      </c>
      <c r="F1171" s="1" t="s">
        <v>142</v>
      </c>
      <c r="G1171" s="1"/>
    </row>
    <row r="1172">
      <c r="A1172" s="1" t="s">
        <v>4252</v>
      </c>
      <c r="B1172" s="1" t="s">
        <v>142</v>
      </c>
      <c r="C1172" s="1" t="s">
        <v>142</v>
      </c>
      <c r="D1172" s="1" t="s">
        <v>4253</v>
      </c>
      <c r="E1172" s="1" t="s">
        <v>144</v>
      </c>
      <c r="F1172" s="1" t="s">
        <v>142</v>
      </c>
      <c r="G1172" s="1"/>
    </row>
    <row r="1173">
      <c r="A1173" s="1" t="s">
        <v>4254</v>
      </c>
      <c r="B1173" s="1" t="s">
        <v>142</v>
      </c>
      <c r="C1173" s="1" t="s">
        <v>142</v>
      </c>
      <c r="D1173" s="1" t="s">
        <v>4255</v>
      </c>
      <c r="E1173" s="1" t="s">
        <v>144</v>
      </c>
      <c r="F1173" s="1" t="s">
        <v>142</v>
      </c>
      <c r="G1173" s="1"/>
    </row>
    <row r="1174">
      <c r="A1174" s="1" t="s">
        <v>4256</v>
      </c>
      <c r="B1174" s="1" t="s">
        <v>142</v>
      </c>
      <c r="C1174" s="1" t="s">
        <v>142</v>
      </c>
      <c r="D1174" s="1" t="s">
        <v>4257</v>
      </c>
      <c r="E1174" s="1" t="s">
        <v>144</v>
      </c>
      <c r="F1174" s="1" t="s">
        <v>142</v>
      </c>
      <c r="G1174" s="1"/>
    </row>
    <row r="1175">
      <c r="A1175" s="1" t="s">
        <v>4258</v>
      </c>
      <c r="B1175" s="1" t="s">
        <v>142</v>
      </c>
      <c r="C1175" s="1" t="s">
        <v>142</v>
      </c>
      <c r="D1175" s="1" t="s">
        <v>4259</v>
      </c>
      <c r="E1175" s="1" t="s">
        <v>144</v>
      </c>
      <c r="F1175" s="1" t="s">
        <v>142</v>
      </c>
      <c r="G1175" s="1"/>
    </row>
    <row r="1176">
      <c r="A1176" s="1" t="s">
        <v>4260</v>
      </c>
      <c r="B1176" s="1" t="s">
        <v>142</v>
      </c>
      <c r="C1176" s="1" t="s">
        <v>142</v>
      </c>
      <c r="D1176" s="1" t="s">
        <v>4261</v>
      </c>
      <c r="E1176" s="1" t="s">
        <v>144</v>
      </c>
      <c r="F1176" s="1" t="s">
        <v>142</v>
      </c>
      <c r="G1176" s="1"/>
    </row>
    <row r="1177">
      <c r="A1177" s="1" t="s">
        <v>4262</v>
      </c>
      <c r="B1177" s="1" t="s">
        <v>142</v>
      </c>
      <c r="C1177" s="1" t="s">
        <v>142</v>
      </c>
      <c r="D1177" s="1" t="s">
        <v>4263</v>
      </c>
      <c r="E1177" s="1" t="s">
        <v>144</v>
      </c>
      <c r="F1177" s="1" t="s">
        <v>142</v>
      </c>
      <c r="G1177" s="1"/>
    </row>
    <row r="1178">
      <c r="A1178" s="1" t="s">
        <v>4264</v>
      </c>
      <c r="B1178" s="1" t="s">
        <v>142</v>
      </c>
      <c r="C1178" s="1" t="s">
        <v>142</v>
      </c>
      <c r="D1178" s="1" t="s">
        <v>4265</v>
      </c>
      <c r="E1178" s="1" t="s">
        <v>144</v>
      </c>
      <c r="F1178" s="1" t="s">
        <v>142</v>
      </c>
      <c r="G1178" s="1"/>
    </row>
    <row r="1179">
      <c r="A1179" s="1" t="s">
        <v>4266</v>
      </c>
      <c r="B1179" s="1" t="s">
        <v>142</v>
      </c>
      <c r="C1179" s="1" t="s">
        <v>142</v>
      </c>
      <c r="D1179" s="1" t="s">
        <v>4267</v>
      </c>
      <c r="E1179" s="1" t="s">
        <v>144</v>
      </c>
      <c r="F1179" s="1" t="s">
        <v>142</v>
      </c>
      <c r="G1179" s="1"/>
    </row>
    <row r="1180">
      <c r="A1180" s="1" t="s">
        <v>4268</v>
      </c>
      <c r="B1180" s="1" t="s">
        <v>142</v>
      </c>
      <c r="C1180" s="1" t="s">
        <v>142</v>
      </c>
      <c r="D1180" s="1" t="s">
        <v>4269</v>
      </c>
      <c r="E1180" s="1" t="s">
        <v>144</v>
      </c>
      <c r="F1180" s="1" t="s">
        <v>142</v>
      </c>
      <c r="G1180" s="1"/>
    </row>
    <row r="1181">
      <c r="A1181" s="1" t="s">
        <v>4270</v>
      </c>
      <c r="B1181" s="1" t="s">
        <v>142</v>
      </c>
      <c r="C1181" s="1" t="s">
        <v>142</v>
      </c>
      <c r="D1181" s="1" t="s">
        <v>4271</v>
      </c>
      <c r="E1181" s="1" t="s">
        <v>144</v>
      </c>
      <c r="F1181" s="1" t="s">
        <v>142</v>
      </c>
      <c r="G1181" s="1"/>
    </row>
    <row r="1182">
      <c r="A1182" s="1" t="s">
        <v>4272</v>
      </c>
      <c r="B1182" s="1" t="s">
        <v>142</v>
      </c>
      <c r="C1182" s="1" t="s">
        <v>142</v>
      </c>
      <c r="D1182" s="1" t="s">
        <v>4273</v>
      </c>
      <c r="E1182" s="1" t="s">
        <v>144</v>
      </c>
      <c r="F1182" s="1" t="s">
        <v>142</v>
      </c>
      <c r="G1182" s="1"/>
    </row>
    <row r="1183">
      <c r="A1183" s="1" t="s">
        <v>4274</v>
      </c>
      <c r="B1183" s="1" t="s">
        <v>142</v>
      </c>
      <c r="C1183" s="1" t="s">
        <v>142</v>
      </c>
      <c r="D1183" s="1" t="s">
        <v>4275</v>
      </c>
      <c r="E1183" s="1" t="s">
        <v>144</v>
      </c>
      <c r="F1183" s="1" t="s">
        <v>142</v>
      </c>
      <c r="G1183" s="1"/>
    </row>
    <row r="1184">
      <c r="A1184" s="1" t="s">
        <v>4276</v>
      </c>
      <c r="B1184" s="1" t="s">
        <v>142</v>
      </c>
      <c r="C1184" s="1" t="s">
        <v>142</v>
      </c>
      <c r="D1184" s="1" t="s">
        <v>4277</v>
      </c>
      <c r="E1184" s="1" t="s">
        <v>144</v>
      </c>
      <c r="F1184" s="1" t="s">
        <v>142</v>
      </c>
      <c r="G1184" s="1"/>
    </row>
    <row r="1185">
      <c r="A1185" s="1" t="s">
        <v>4278</v>
      </c>
      <c r="B1185" s="1" t="s">
        <v>142</v>
      </c>
      <c r="C1185" s="1" t="s">
        <v>142</v>
      </c>
      <c r="D1185" s="1" t="s">
        <v>4279</v>
      </c>
      <c r="E1185" s="1" t="s">
        <v>144</v>
      </c>
      <c r="F1185" s="1" t="s">
        <v>142</v>
      </c>
      <c r="G1185" s="1"/>
    </row>
    <row r="1186">
      <c r="A1186" s="1" t="s">
        <v>4280</v>
      </c>
      <c r="B1186" s="1" t="s">
        <v>142</v>
      </c>
      <c r="C1186" s="1" t="s">
        <v>142</v>
      </c>
      <c r="D1186" s="1" t="s">
        <v>4281</v>
      </c>
      <c r="E1186" s="1" t="s">
        <v>144</v>
      </c>
      <c r="F1186" s="1" t="s">
        <v>142</v>
      </c>
      <c r="G1186" s="1"/>
    </row>
    <row r="1187">
      <c r="A1187" s="1" t="s">
        <v>4282</v>
      </c>
      <c r="B1187" s="1" t="s">
        <v>142</v>
      </c>
      <c r="C1187" s="1" t="s">
        <v>142</v>
      </c>
      <c r="D1187" s="1" t="s">
        <v>4283</v>
      </c>
      <c r="E1187" s="1" t="s">
        <v>144</v>
      </c>
      <c r="F1187" s="1" t="s">
        <v>142</v>
      </c>
      <c r="G1187" s="1"/>
    </row>
    <row r="1188">
      <c r="A1188" s="1" t="s">
        <v>4284</v>
      </c>
      <c r="B1188" s="1" t="s">
        <v>142</v>
      </c>
      <c r="C1188" s="1" t="s">
        <v>142</v>
      </c>
      <c r="D1188" s="1" t="s">
        <v>4285</v>
      </c>
      <c r="E1188" s="1" t="s">
        <v>144</v>
      </c>
      <c r="F1188" s="1" t="s">
        <v>142</v>
      </c>
      <c r="G1188" s="1"/>
    </row>
    <row r="1189">
      <c r="A1189" s="1" t="s">
        <v>4286</v>
      </c>
      <c r="B1189" s="1" t="s">
        <v>142</v>
      </c>
      <c r="C1189" s="1" t="s">
        <v>142</v>
      </c>
      <c r="D1189" s="1" t="s">
        <v>4287</v>
      </c>
      <c r="E1189" s="1" t="s">
        <v>144</v>
      </c>
      <c r="F1189" s="1" t="s">
        <v>142</v>
      </c>
      <c r="G1189" s="1"/>
    </row>
    <row r="1190">
      <c r="A1190" s="1" t="s">
        <v>4288</v>
      </c>
      <c r="B1190" s="1" t="s">
        <v>142</v>
      </c>
      <c r="C1190" s="1" t="s">
        <v>142</v>
      </c>
      <c r="D1190" s="1" t="s">
        <v>4289</v>
      </c>
      <c r="E1190" s="1" t="s">
        <v>144</v>
      </c>
      <c r="F1190" s="1" t="s">
        <v>142</v>
      </c>
      <c r="G1190" s="1"/>
    </row>
    <row r="1191">
      <c r="A1191" s="1" t="s">
        <v>4290</v>
      </c>
      <c r="B1191" s="1" t="s">
        <v>142</v>
      </c>
      <c r="C1191" s="1" t="s">
        <v>142</v>
      </c>
      <c r="D1191" s="1" t="s">
        <v>4291</v>
      </c>
      <c r="E1191" s="1" t="s">
        <v>144</v>
      </c>
      <c r="F1191" s="1" t="s">
        <v>142</v>
      </c>
      <c r="G1191" s="1"/>
    </row>
    <row r="1192">
      <c r="A1192" s="1" t="s">
        <v>4292</v>
      </c>
      <c r="B1192" s="1" t="s">
        <v>142</v>
      </c>
      <c r="C1192" s="1" t="s">
        <v>142</v>
      </c>
      <c r="D1192" s="1" t="s">
        <v>4293</v>
      </c>
      <c r="E1192" s="1" t="s">
        <v>144</v>
      </c>
      <c r="F1192" s="1" t="s">
        <v>142</v>
      </c>
      <c r="G1192" s="1"/>
    </row>
    <row r="1193">
      <c r="A1193" s="1" t="s">
        <v>4294</v>
      </c>
      <c r="B1193" s="1" t="s">
        <v>142</v>
      </c>
      <c r="C1193" s="1" t="s">
        <v>142</v>
      </c>
      <c r="D1193" s="1" t="s">
        <v>4295</v>
      </c>
      <c r="E1193" s="1" t="s">
        <v>144</v>
      </c>
      <c r="F1193" s="1" t="s">
        <v>142</v>
      </c>
      <c r="G1193" s="1"/>
    </row>
    <row r="1194">
      <c r="A1194" s="1" t="s">
        <v>4296</v>
      </c>
      <c r="B1194" s="1" t="s">
        <v>142</v>
      </c>
      <c r="C1194" s="1" t="s">
        <v>142</v>
      </c>
      <c r="D1194" s="1" t="s">
        <v>4297</v>
      </c>
      <c r="E1194" s="1" t="s">
        <v>144</v>
      </c>
      <c r="F1194" s="1" t="s">
        <v>142</v>
      </c>
      <c r="G1194" s="1"/>
    </row>
    <row r="1195">
      <c r="A1195" s="1" t="s">
        <v>4298</v>
      </c>
      <c r="B1195" s="1" t="s">
        <v>142</v>
      </c>
      <c r="C1195" s="1" t="s">
        <v>142</v>
      </c>
      <c r="D1195" s="1" t="s">
        <v>4299</v>
      </c>
      <c r="E1195" s="1" t="s">
        <v>144</v>
      </c>
      <c r="F1195" s="1" t="s">
        <v>142</v>
      </c>
      <c r="G1195" s="1"/>
    </row>
    <row r="1196">
      <c r="A1196" s="1" t="s">
        <v>4300</v>
      </c>
      <c r="B1196" s="1" t="s">
        <v>142</v>
      </c>
      <c r="C1196" s="1" t="s">
        <v>142</v>
      </c>
      <c r="D1196" s="1" t="s">
        <v>4301</v>
      </c>
      <c r="E1196" s="1" t="s">
        <v>144</v>
      </c>
      <c r="F1196" s="1" t="s">
        <v>142</v>
      </c>
      <c r="G1196" s="1"/>
    </row>
    <row r="1197">
      <c r="A1197" s="1" t="s">
        <v>472</v>
      </c>
      <c r="B1197" s="1" t="s">
        <v>142</v>
      </c>
      <c r="C1197" s="1" t="s">
        <v>142</v>
      </c>
      <c r="D1197" s="1" t="s">
        <v>4302</v>
      </c>
      <c r="E1197" s="1" t="s">
        <v>144</v>
      </c>
      <c r="F1197" s="1" t="s">
        <v>142</v>
      </c>
      <c r="G1197" s="1"/>
    </row>
    <row r="1198">
      <c r="A1198" s="1" t="s">
        <v>4303</v>
      </c>
      <c r="B1198" s="1" t="s">
        <v>142</v>
      </c>
      <c r="C1198" s="1" t="s">
        <v>142</v>
      </c>
      <c r="D1198" s="1" t="s">
        <v>4304</v>
      </c>
      <c r="E1198" s="1" t="s">
        <v>144</v>
      </c>
      <c r="F1198" s="1" t="s">
        <v>142</v>
      </c>
      <c r="G1198" s="1"/>
    </row>
    <row r="1199">
      <c r="A1199" s="1" t="s">
        <v>4305</v>
      </c>
      <c r="B1199" s="1" t="s">
        <v>142</v>
      </c>
      <c r="C1199" s="1" t="s">
        <v>142</v>
      </c>
      <c r="D1199" s="1" t="s">
        <v>4306</v>
      </c>
      <c r="E1199" s="1" t="s">
        <v>144</v>
      </c>
      <c r="F1199" s="1" t="s">
        <v>142</v>
      </c>
      <c r="G1199" s="1"/>
    </row>
    <row r="1200">
      <c r="A1200" s="1" t="s">
        <v>4307</v>
      </c>
      <c r="B1200" s="1" t="s">
        <v>4308</v>
      </c>
      <c r="C1200" s="1" t="s">
        <v>4309</v>
      </c>
      <c r="D1200" s="1" t="s">
        <v>4310</v>
      </c>
      <c r="E1200" s="1" t="s">
        <v>144</v>
      </c>
      <c r="F1200" s="1" t="s">
        <v>142</v>
      </c>
      <c r="G1200" s="1"/>
    </row>
    <row r="1201">
      <c r="A1201" s="1" t="s">
        <v>4311</v>
      </c>
      <c r="B1201" s="1" t="s">
        <v>142</v>
      </c>
      <c r="C1201" s="1" t="s">
        <v>142</v>
      </c>
      <c r="D1201" s="1" t="s">
        <v>4312</v>
      </c>
      <c r="E1201" s="1" t="s">
        <v>144</v>
      </c>
      <c r="F1201" s="1" t="s">
        <v>142</v>
      </c>
      <c r="G1201" s="1"/>
    </row>
    <row r="1202">
      <c r="A1202" s="1" t="s">
        <v>4313</v>
      </c>
      <c r="B1202" s="1" t="s">
        <v>142</v>
      </c>
      <c r="C1202" s="1" t="s">
        <v>142</v>
      </c>
      <c r="D1202" s="1" t="s">
        <v>4314</v>
      </c>
      <c r="E1202" s="1" t="s">
        <v>144</v>
      </c>
      <c r="F1202" s="1" t="s">
        <v>142</v>
      </c>
      <c r="G1202" s="1"/>
    </row>
    <row r="1203">
      <c r="A1203" s="1" t="s">
        <v>4315</v>
      </c>
      <c r="B1203" s="1" t="s">
        <v>142</v>
      </c>
      <c r="C1203" s="1" t="s">
        <v>142</v>
      </c>
      <c r="D1203" s="1" t="s">
        <v>4316</v>
      </c>
      <c r="E1203" s="1" t="s">
        <v>144</v>
      </c>
      <c r="F1203" s="1" t="s">
        <v>142</v>
      </c>
      <c r="G1203" s="1"/>
    </row>
    <row r="1204">
      <c r="A1204" s="1" t="s">
        <v>4317</v>
      </c>
      <c r="B1204" s="1" t="s">
        <v>142</v>
      </c>
      <c r="C1204" s="1" t="s">
        <v>142</v>
      </c>
      <c r="D1204" s="1" t="s">
        <v>4318</v>
      </c>
      <c r="E1204" s="1" t="s">
        <v>144</v>
      </c>
      <c r="F1204" s="1" t="s">
        <v>142</v>
      </c>
      <c r="G1204" s="1"/>
    </row>
    <row r="1205">
      <c r="A1205" s="1" t="s">
        <v>4319</v>
      </c>
      <c r="B1205" s="1" t="s">
        <v>142</v>
      </c>
      <c r="C1205" s="1" t="s">
        <v>142</v>
      </c>
      <c r="D1205" s="1" t="s">
        <v>4320</v>
      </c>
      <c r="E1205" s="1" t="s">
        <v>144</v>
      </c>
      <c r="F1205" s="1" t="s">
        <v>142</v>
      </c>
      <c r="G1205" s="1"/>
    </row>
    <row r="1206">
      <c r="A1206" s="1" t="s">
        <v>4321</v>
      </c>
      <c r="B1206" s="1" t="s">
        <v>142</v>
      </c>
      <c r="C1206" s="1" t="s">
        <v>142</v>
      </c>
      <c r="D1206" s="1" t="s">
        <v>4322</v>
      </c>
      <c r="E1206" s="1" t="s">
        <v>144</v>
      </c>
      <c r="F1206" s="1" t="s">
        <v>142</v>
      </c>
      <c r="G1206" s="1"/>
    </row>
    <row r="1207">
      <c r="A1207" s="1" t="s">
        <v>4323</v>
      </c>
      <c r="B1207" s="1" t="s">
        <v>142</v>
      </c>
      <c r="C1207" s="1" t="s">
        <v>142</v>
      </c>
      <c r="D1207" s="1" t="s">
        <v>4324</v>
      </c>
      <c r="E1207" s="1" t="s">
        <v>144</v>
      </c>
      <c r="F1207" s="1" t="s">
        <v>142</v>
      </c>
      <c r="G1207" s="1"/>
    </row>
    <row r="1208">
      <c r="A1208" s="1" t="s">
        <v>4325</v>
      </c>
      <c r="B1208" s="1" t="s">
        <v>4326</v>
      </c>
      <c r="C1208" s="1" t="s">
        <v>4327</v>
      </c>
      <c r="D1208" s="1" t="s">
        <v>4328</v>
      </c>
      <c r="E1208" s="1" t="s">
        <v>144</v>
      </c>
      <c r="F1208" s="1" t="s">
        <v>142</v>
      </c>
      <c r="G1208" s="1"/>
    </row>
    <row r="1209">
      <c r="A1209" s="1" t="s">
        <v>4329</v>
      </c>
      <c r="B1209" s="1" t="s">
        <v>142</v>
      </c>
      <c r="C1209" s="1" t="s">
        <v>142</v>
      </c>
      <c r="D1209" s="1" t="s">
        <v>4330</v>
      </c>
      <c r="E1209" s="1" t="s">
        <v>144</v>
      </c>
      <c r="F1209" s="1" t="s">
        <v>142</v>
      </c>
      <c r="G1209" s="1"/>
    </row>
    <row r="1210">
      <c r="A1210" s="1" t="s">
        <v>4331</v>
      </c>
      <c r="B1210" s="1" t="s">
        <v>142</v>
      </c>
      <c r="C1210" s="1" t="s">
        <v>142</v>
      </c>
      <c r="D1210" s="1" t="s">
        <v>4332</v>
      </c>
      <c r="E1210" s="1" t="s">
        <v>144</v>
      </c>
      <c r="F1210" s="1" t="s">
        <v>142</v>
      </c>
      <c r="G1210" s="1"/>
    </row>
    <row r="1211">
      <c r="A1211" s="1" t="s">
        <v>4333</v>
      </c>
      <c r="B1211" s="1" t="s">
        <v>142</v>
      </c>
      <c r="C1211" s="1" t="s">
        <v>142</v>
      </c>
      <c r="D1211" s="1" t="s">
        <v>4334</v>
      </c>
      <c r="E1211" s="1" t="s">
        <v>144</v>
      </c>
      <c r="F1211" s="1" t="s">
        <v>142</v>
      </c>
      <c r="G1211" s="1"/>
    </row>
    <row r="1212">
      <c r="A1212" s="1" t="s">
        <v>4335</v>
      </c>
      <c r="B1212" s="1" t="s">
        <v>142</v>
      </c>
      <c r="C1212" s="1" t="s">
        <v>142</v>
      </c>
      <c r="D1212" s="1" t="s">
        <v>4336</v>
      </c>
      <c r="E1212" s="1" t="s">
        <v>144</v>
      </c>
      <c r="F1212" s="1" t="s">
        <v>142</v>
      </c>
      <c r="G1212" s="1"/>
    </row>
    <row r="1213">
      <c r="A1213" s="1" t="s">
        <v>4337</v>
      </c>
      <c r="B1213" s="1" t="s">
        <v>142</v>
      </c>
      <c r="C1213" s="1" t="s">
        <v>142</v>
      </c>
      <c r="D1213" s="1" t="s">
        <v>4338</v>
      </c>
      <c r="E1213" s="1" t="s">
        <v>144</v>
      </c>
      <c r="F1213" s="1" t="s">
        <v>142</v>
      </c>
      <c r="G1213" s="1"/>
    </row>
    <row r="1214">
      <c r="A1214" s="1" t="s">
        <v>4339</v>
      </c>
      <c r="B1214" s="1" t="s">
        <v>142</v>
      </c>
      <c r="C1214" s="1" t="s">
        <v>142</v>
      </c>
      <c r="D1214" s="1" t="s">
        <v>4340</v>
      </c>
      <c r="E1214" s="1" t="s">
        <v>144</v>
      </c>
      <c r="F1214" s="1" t="s">
        <v>142</v>
      </c>
      <c r="G1214" s="1"/>
    </row>
    <row r="1215">
      <c r="A1215" s="1" t="s">
        <v>4341</v>
      </c>
      <c r="B1215" s="1" t="s">
        <v>142</v>
      </c>
      <c r="C1215" s="1" t="s">
        <v>142</v>
      </c>
      <c r="D1215" s="1" t="s">
        <v>4342</v>
      </c>
      <c r="E1215" s="1" t="s">
        <v>144</v>
      </c>
      <c r="F1215" s="1" t="s">
        <v>142</v>
      </c>
      <c r="G1215" s="1"/>
    </row>
    <row r="1216">
      <c r="A1216" s="1" t="s">
        <v>4343</v>
      </c>
      <c r="B1216" s="1" t="s">
        <v>142</v>
      </c>
      <c r="C1216" s="1" t="s">
        <v>142</v>
      </c>
      <c r="D1216" s="1" t="s">
        <v>4344</v>
      </c>
      <c r="E1216" s="1" t="s">
        <v>144</v>
      </c>
      <c r="F1216" s="1" t="s">
        <v>142</v>
      </c>
      <c r="G1216" s="1"/>
    </row>
    <row r="1217">
      <c r="A1217" s="1" t="s">
        <v>4345</v>
      </c>
      <c r="B1217" s="1" t="s">
        <v>142</v>
      </c>
      <c r="C1217" s="1" t="s">
        <v>142</v>
      </c>
      <c r="D1217" s="1" t="s">
        <v>4346</v>
      </c>
      <c r="E1217" s="1" t="s">
        <v>144</v>
      </c>
      <c r="F1217" s="1" t="s">
        <v>142</v>
      </c>
      <c r="G1217" s="1"/>
    </row>
    <row r="1218">
      <c r="A1218" s="1" t="s">
        <v>4347</v>
      </c>
      <c r="B1218" s="1" t="s">
        <v>142</v>
      </c>
      <c r="C1218" s="1" t="s">
        <v>142</v>
      </c>
      <c r="D1218" s="1" t="s">
        <v>4348</v>
      </c>
      <c r="E1218" s="1" t="s">
        <v>144</v>
      </c>
      <c r="F1218" s="1" t="s">
        <v>142</v>
      </c>
      <c r="G1218" s="1"/>
    </row>
    <row r="1219">
      <c r="A1219" s="1" t="s">
        <v>4349</v>
      </c>
      <c r="B1219" s="1" t="s">
        <v>142</v>
      </c>
      <c r="C1219" s="1" t="s">
        <v>142</v>
      </c>
      <c r="D1219" s="1" t="s">
        <v>4350</v>
      </c>
      <c r="E1219" s="1" t="s">
        <v>144</v>
      </c>
      <c r="F1219" s="1" t="s">
        <v>142</v>
      </c>
      <c r="G1219" s="1"/>
    </row>
    <row r="1220">
      <c r="A1220" s="1" t="s">
        <v>4351</v>
      </c>
      <c r="B1220" s="1" t="s">
        <v>142</v>
      </c>
      <c r="C1220" s="1" t="s">
        <v>142</v>
      </c>
      <c r="D1220" s="1" t="s">
        <v>4352</v>
      </c>
      <c r="E1220" s="1" t="s">
        <v>144</v>
      </c>
      <c r="F1220" s="1" t="s">
        <v>142</v>
      </c>
      <c r="G1220" s="1"/>
    </row>
    <row r="1221">
      <c r="A1221" s="1" t="s">
        <v>4353</v>
      </c>
      <c r="B1221" s="1" t="s">
        <v>142</v>
      </c>
      <c r="C1221" s="1" t="s">
        <v>142</v>
      </c>
      <c r="D1221" s="1" t="s">
        <v>4354</v>
      </c>
      <c r="E1221" s="1" t="s">
        <v>144</v>
      </c>
      <c r="F1221" s="1" t="s">
        <v>142</v>
      </c>
      <c r="G1221" s="1"/>
    </row>
    <row r="1222">
      <c r="A1222" s="1" t="s">
        <v>4355</v>
      </c>
      <c r="B1222" s="1" t="s">
        <v>142</v>
      </c>
      <c r="C1222" s="1" t="s">
        <v>142</v>
      </c>
      <c r="D1222" s="1" t="s">
        <v>4358</v>
      </c>
      <c r="E1222" s="1" t="s">
        <v>144</v>
      </c>
      <c r="F1222" s="1" t="s">
        <v>142</v>
      </c>
      <c r="G1222" s="1"/>
    </row>
    <row r="1223">
      <c r="A1223" s="1" t="s">
        <v>4359</v>
      </c>
      <c r="B1223" s="1" t="s">
        <v>142</v>
      </c>
      <c r="C1223" s="1" t="s">
        <v>142</v>
      </c>
      <c r="D1223" s="1" t="s">
        <v>4360</v>
      </c>
      <c r="E1223" s="1" t="s">
        <v>144</v>
      </c>
      <c r="F1223" s="1" t="s">
        <v>142</v>
      </c>
      <c r="G1223" s="1"/>
    </row>
    <row r="1224">
      <c r="A1224" s="1" t="s">
        <v>4361</v>
      </c>
      <c r="B1224" s="1" t="s">
        <v>142</v>
      </c>
      <c r="C1224" s="1" t="s">
        <v>142</v>
      </c>
      <c r="D1224" s="1" t="s">
        <v>4363</v>
      </c>
      <c r="E1224" s="1" t="s">
        <v>144</v>
      </c>
      <c r="F1224" s="1" t="s">
        <v>142</v>
      </c>
      <c r="G1224" s="1"/>
    </row>
    <row r="1225">
      <c r="A1225" s="1" t="s">
        <v>4364</v>
      </c>
      <c r="B1225" s="1" t="s">
        <v>142</v>
      </c>
      <c r="C1225" s="1" t="s">
        <v>142</v>
      </c>
      <c r="D1225" s="1" t="s">
        <v>4365</v>
      </c>
      <c r="E1225" s="1" t="s">
        <v>144</v>
      </c>
      <c r="F1225" s="1" t="s">
        <v>142</v>
      </c>
      <c r="G1225" s="1"/>
    </row>
    <row r="1226">
      <c r="A1226" s="1" t="s">
        <v>4367</v>
      </c>
      <c r="B1226" s="1" t="s">
        <v>142</v>
      </c>
      <c r="C1226" s="1" t="s">
        <v>142</v>
      </c>
      <c r="D1226" s="1" t="s">
        <v>4369</v>
      </c>
      <c r="E1226" s="1" t="s">
        <v>144</v>
      </c>
      <c r="F1226" s="1" t="s">
        <v>142</v>
      </c>
      <c r="G1226" s="1"/>
    </row>
    <row r="1227">
      <c r="A1227" s="1" t="s">
        <v>4370</v>
      </c>
      <c r="B1227" s="1" t="s">
        <v>142</v>
      </c>
      <c r="C1227" s="1" t="s">
        <v>142</v>
      </c>
      <c r="D1227" s="1" t="s">
        <v>4371</v>
      </c>
      <c r="E1227" s="1" t="s">
        <v>144</v>
      </c>
      <c r="F1227" s="1" t="s">
        <v>142</v>
      </c>
      <c r="G1227" s="1"/>
    </row>
    <row r="1228">
      <c r="A1228" s="1" t="s">
        <v>4372</v>
      </c>
      <c r="B1228" s="1" t="s">
        <v>142</v>
      </c>
      <c r="C1228" s="1" t="s">
        <v>142</v>
      </c>
      <c r="D1228" s="1" t="s">
        <v>4373</v>
      </c>
      <c r="E1228" s="1" t="s">
        <v>144</v>
      </c>
      <c r="F1228" s="1" t="s">
        <v>142</v>
      </c>
      <c r="G1228" s="1"/>
    </row>
    <row r="1229">
      <c r="A1229" s="1" t="s">
        <v>4375</v>
      </c>
      <c r="B1229" s="1" t="s">
        <v>142</v>
      </c>
      <c r="C1229" s="1" t="s">
        <v>142</v>
      </c>
      <c r="D1229" s="1" t="s">
        <v>4376</v>
      </c>
      <c r="E1229" s="1" t="s">
        <v>144</v>
      </c>
      <c r="F1229" s="1" t="s">
        <v>142</v>
      </c>
      <c r="G1229" s="1"/>
    </row>
    <row r="1230">
      <c r="A1230" s="1" t="s">
        <v>4377</v>
      </c>
      <c r="B1230" s="1" t="s">
        <v>142</v>
      </c>
      <c r="C1230" s="1" t="s">
        <v>142</v>
      </c>
      <c r="D1230" s="1" t="s">
        <v>4378</v>
      </c>
      <c r="E1230" s="1" t="s">
        <v>144</v>
      </c>
      <c r="F1230" s="1" t="s">
        <v>142</v>
      </c>
      <c r="G1230" s="1"/>
    </row>
    <row r="1231">
      <c r="A1231" s="1" t="s">
        <v>4380</v>
      </c>
      <c r="B1231" s="1" t="s">
        <v>142</v>
      </c>
      <c r="C1231" s="1" t="s">
        <v>142</v>
      </c>
      <c r="D1231" s="1" t="s">
        <v>4381</v>
      </c>
      <c r="E1231" s="1" t="s">
        <v>144</v>
      </c>
      <c r="F1231" s="1" t="s">
        <v>142</v>
      </c>
      <c r="G1231" s="1"/>
    </row>
    <row r="1232">
      <c r="A1232" s="1" t="s">
        <v>4382</v>
      </c>
      <c r="B1232" s="1" t="s">
        <v>142</v>
      </c>
      <c r="C1232" s="1" t="s">
        <v>142</v>
      </c>
      <c r="D1232" s="1" t="s">
        <v>4384</v>
      </c>
      <c r="E1232" s="1" t="s">
        <v>144</v>
      </c>
      <c r="F1232" s="1" t="s">
        <v>142</v>
      </c>
      <c r="G1232" s="1"/>
    </row>
    <row r="1233">
      <c r="A1233" s="1" t="s">
        <v>4385</v>
      </c>
      <c r="B1233" s="1" t="s">
        <v>142</v>
      </c>
      <c r="C1233" s="1" t="s">
        <v>142</v>
      </c>
      <c r="D1233" s="1" t="s">
        <v>4386</v>
      </c>
      <c r="E1233" s="1" t="s">
        <v>144</v>
      </c>
      <c r="F1233" s="1" t="s">
        <v>142</v>
      </c>
      <c r="G1233" s="1"/>
    </row>
    <row r="1234">
      <c r="A1234" s="1" t="s">
        <v>4387</v>
      </c>
      <c r="B1234" s="1" t="s">
        <v>142</v>
      </c>
      <c r="C1234" s="1" t="s">
        <v>142</v>
      </c>
      <c r="D1234" s="1" t="s">
        <v>4389</v>
      </c>
      <c r="E1234" s="1" t="s">
        <v>144</v>
      </c>
      <c r="F1234" s="1" t="s">
        <v>142</v>
      </c>
      <c r="G1234" s="1"/>
    </row>
    <row r="1235">
      <c r="A1235" s="1" t="s">
        <v>4390</v>
      </c>
      <c r="B1235" s="1" t="s">
        <v>142</v>
      </c>
      <c r="C1235" s="1" t="s">
        <v>142</v>
      </c>
      <c r="D1235" s="1" t="s">
        <v>4391</v>
      </c>
      <c r="E1235" s="1" t="s">
        <v>144</v>
      </c>
      <c r="F1235" s="1" t="s">
        <v>142</v>
      </c>
      <c r="G1235" s="1"/>
    </row>
    <row r="1236">
      <c r="A1236" s="1" t="s">
        <v>4392</v>
      </c>
      <c r="B1236" s="1" t="s">
        <v>142</v>
      </c>
      <c r="C1236" s="1" t="s">
        <v>142</v>
      </c>
      <c r="D1236" s="1" t="s">
        <v>4393</v>
      </c>
      <c r="E1236" s="1" t="s">
        <v>144</v>
      </c>
      <c r="F1236" s="1" t="s">
        <v>142</v>
      </c>
      <c r="G1236" s="1"/>
    </row>
    <row r="1237">
      <c r="A1237" s="1" t="s">
        <v>4394</v>
      </c>
      <c r="B1237" s="1" t="s">
        <v>142</v>
      </c>
      <c r="C1237" s="1" t="s">
        <v>142</v>
      </c>
      <c r="D1237" s="1" t="s">
        <v>4395</v>
      </c>
      <c r="E1237" s="1" t="s">
        <v>144</v>
      </c>
      <c r="F1237" s="1" t="s">
        <v>142</v>
      </c>
      <c r="G1237" s="1"/>
    </row>
    <row r="1238">
      <c r="A1238" s="1" t="s">
        <v>4396</v>
      </c>
      <c r="B1238" s="1" t="s">
        <v>142</v>
      </c>
      <c r="C1238" s="1" t="s">
        <v>142</v>
      </c>
      <c r="D1238" s="1" t="s">
        <v>4397</v>
      </c>
      <c r="E1238" s="1" t="s">
        <v>144</v>
      </c>
      <c r="F1238" s="1" t="s">
        <v>142</v>
      </c>
      <c r="G1238" s="1"/>
    </row>
    <row r="1239">
      <c r="A1239" s="1" t="s">
        <v>4399</v>
      </c>
      <c r="B1239" s="1" t="s">
        <v>142</v>
      </c>
      <c r="C1239" s="1" t="s">
        <v>142</v>
      </c>
      <c r="D1239" s="1" t="s">
        <v>4400</v>
      </c>
      <c r="E1239" s="1" t="s">
        <v>144</v>
      </c>
      <c r="F1239" s="1" t="s">
        <v>142</v>
      </c>
      <c r="G1239" s="1"/>
    </row>
    <row r="1240">
      <c r="A1240" s="1" t="s">
        <v>4402</v>
      </c>
      <c r="B1240" s="1" t="s">
        <v>142</v>
      </c>
      <c r="C1240" s="1" t="s">
        <v>142</v>
      </c>
      <c r="D1240" s="1" t="s">
        <v>4403</v>
      </c>
      <c r="E1240" s="1" t="s">
        <v>144</v>
      </c>
      <c r="F1240" s="1" t="s">
        <v>142</v>
      </c>
      <c r="G1240" s="1"/>
    </row>
    <row r="1241">
      <c r="A1241" s="1" t="s">
        <v>4405</v>
      </c>
      <c r="B1241" s="1" t="s">
        <v>142</v>
      </c>
      <c r="C1241" s="1" t="s">
        <v>142</v>
      </c>
      <c r="D1241" s="1" t="s">
        <v>4427</v>
      </c>
      <c r="E1241" s="1" t="s">
        <v>144</v>
      </c>
      <c r="F1241" s="1" t="s">
        <v>142</v>
      </c>
      <c r="G1241" s="1"/>
    </row>
    <row r="1242">
      <c r="A1242" s="1" t="s">
        <v>4428</v>
      </c>
      <c r="B1242" s="1" t="s">
        <v>142</v>
      </c>
      <c r="C1242" s="1" t="s">
        <v>142</v>
      </c>
      <c r="D1242" s="1" t="s">
        <v>4429</v>
      </c>
      <c r="E1242" s="1" t="s">
        <v>144</v>
      </c>
      <c r="F1242" s="1" t="s">
        <v>142</v>
      </c>
      <c r="G1242" s="1"/>
    </row>
    <row r="1243">
      <c r="A1243" s="1" t="s">
        <v>4430</v>
      </c>
      <c r="B1243" s="1" t="s">
        <v>142</v>
      </c>
      <c r="C1243" s="1" t="s">
        <v>142</v>
      </c>
      <c r="D1243" s="1" t="s">
        <v>4431</v>
      </c>
      <c r="E1243" s="1" t="s">
        <v>144</v>
      </c>
      <c r="F1243" s="1" t="s">
        <v>142</v>
      </c>
      <c r="G1243" s="1"/>
    </row>
    <row r="1244">
      <c r="A1244" s="1" t="s">
        <v>4432</v>
      </c>
      <c r="B1244" s="1" t="s">
        <v>142</v>
      </c>
      <c r="C1244" s="1" t="s">
        <v>142</v>
      </c>
      <c r="D1244" s="1" t="s">
        <v>4433</v>
      </c>
      <c r="E1244" s="1" t="s">
        <v>144</v>
      </c>
      <c r="F1244" s="1" t="s">
        <v>142</v>
      </c>
      <c r="G1244" s="1"/>
    </row>
    <row r="1245">
      <c r="A1245" s="1" t="s">
        <v>4435</v>
      </c>
      <c r="B1245" s="1" t="s">
        <v>142</v>
      </c>
      <c r="C1245" s="1" t="s">
        <v>142</v>
      </c>
      <c r="D1245" s="1" t="s">
        <v>4436</v>
      </c>
      <c r="E1245" s="1" t="s">
        <v>144</v>
      </c>
      <c r="F1245" s="1" t="s">
        <v>142</v>
      </c>
      <c r="G1245" s="1"/>
    </row>
    <row r="1246">
      <c r="A1246" s="1" t="s">
        <v>4482</v>
      </c>
      <c r="B1246" s="1" t="s">
        <v>142</v>
      </c>
      <c r="C1246" s="1" t="s">
        <v>142</v>
      </c>
      <c r="D1246" s="1" t="s">
        <v>4483</v>
      </c>
      <c r="E1246" s="1" t="s">
        <v>144</v>
      </c>
      <c r="F1246" s="1" t="s">
        <v>142</v>
      </c>
      <c r="G1246" s="1"/>
    </row>
    <row r="1247">
      <c r="A1247" s="1" t="s">
        <v>4484</v>
      </c>
      <c r="B1247" s="1" t="s">
        <v>142</v>
      </c>
      <c r="C1247" s="1" t="s">
        <v>142</v>
      </c>
      <c r="D1247" s="1" t="s">
        <v>4485</v>
      </c>
      <c r="E1247" s="1" t="s">
        <v>144</v>
      </c>
      <c r="F1247" s="1" t="s">
        <v>142</v>
      </c>
      <c r="G1247" s="1"/>
    </row>
    <row r="1248">
      <c r="A1248" s="1" t="s">
        <v>4486</v>
      </c>
      <c r="B1248" s="1" t="s">
        <v>142</v>
      </c>
      <c r="C1248" s="1" t="s">
        <v>142</v>
      </c>
      <c r="D1248" s="1" t="s">
        <v>4487</v>
      </c>
      <c r="E1248" s="1" t="s">
        <v>144</v>
      </c>
      <c r="F1248" s="1" t="s">
        <v>142</v>
      </c>
      <c r="G1248" s="1"/>
    </row>
    <row r="1249">
      <c r="A1249" s="1" t="s">
        <v>4488</v>
      </c>
      <c r="B1249" s="1" t="s">
        <v>142</v>
      </c>
      <c r="C1249" s="1" t="s">
        <v>142</v>
      </c>
      <c r="D1249" s="1" t="s">
        <v>4489</v>
      </c>
      <c r="E1249" s="1" t="s">
        <v>144</v>
      </c>
      <c r="F1249" s="1" t="s">
        <v>142</v>
      </c>
      <c r="G1249" s="1"/>
    </row>
    <row r="1250">
      <c r="A1250" s="1" t="s">
        <v>4490</v>
      </c>
      <c r="B1250" s="1" t="s">
        <v>142</v>
      </c>
      <c r="C1250" s="1" t="s">
        <v>142</v>
      </c>
      <c r="D1250" s="1" t="s">
        <v>4491</v>
      </c>
      <c r="E1250" s="1" t="s">
        <v>144</v>
      </c>
      <c r="F1250" s="1" t="s">
        <v>142</v>
      </c>
      <c r="G1250" s="1"/>
    </row>
    <row r="1251">
      <c r="A1251" s="1" t="s">
        <v>4492</v>
      </c>
      <c r="B1251" s="1" t="s">
        <v>142</v>
      </c>
      <c r="C1251" s="1" t="s">
        <v>142</v>
      </c>
      <c r="D1251" s="1" t="s">
        <v>4493</v>
      </c>
      <c r="E1251" s="1" t="s">
        <v>144</v>
      </c>
      <c r="F1251" s="1" t="s">
        <v>142</v>
      </c>
      <c r="G1251" s="1"/>
    </row>
    <row r="1252">
      <c r="A1252" s="1" t="s">
        <v>4494</v>
      </c>
      <c r="B1252" s="1" t="s">
        <v>142</v>
      </c>
      <c r="C1252" s="1" t="s">
        <v>142</v>
      </c>
      <c r="D1252" s="1" t="s">
        <v>4495</v>
      </c>
      <c r="E1252" s="1" t="s">
        <v>144</v>
      </c>
      <c r="F1252" s="1" t="s">
        <v>142</v>
      </c>
      <c r="G1252" s="1"/>
    </row>
    <row r="1253">
      <c r="A1253" s="1" t="s">
        <v>4496</v>
      </c>
      <c r="B1253" s="1" t="s">
        <v>142</v>
      </c>
      <c r="C1253" s="1" t="s">
        <v>142</v>
      </c>
      <c r="D1253" s="1" t="s">
        <v>4497</v>
      </c>
      <c r="E1253" s="1" t="s">
        <v>144</v>
      </c>
      <c r="F1253" s="1" t="s">
        <v>142</v>
      </c>
      <c r="G1253" s="1"/>
    </row>
    <row r="1254">
      <c r="A1254" s="1" t="s">
        <v>4498</v>
      </c>
      <c r="B1254" s="1" t="s">
        <v>142</v>
      </c>
      <c r="C1254" s="1" t="s">
        <v>142</v>
      </c>
      <c r="D1254" s="1" t="s">
        <v>4499</v>
      </c>
      <c r="E1254" s="1" t="s">
        <v>144</v>
      </c>
      <c r="F1254" s="1" t="s">
        <v>142</v>
      </c>
      <c r="G1254" s="1"/>
    </row>
    <row r="1255">
      <c r="A1255" s="1" t="s">
        <v>4500</v>
      </c>
      <c r="B1255" s="1" t="s">
        <v>142</v>
      </c>
      <c r="C1255" s="1" t="s">
        <v>142</v>
      </c>
      <c r="D1255" s="1" t="s">
        <v>4501</v>
      </c>
      <c r="E1255" s="1" t="s">
        <v>144</v>
      </c>
      <c r="F1255" s="1" t="s">
        <v>142</v>
      </c>
      <c r="G1255" s="1"/>
    </row>
    <row r="1256">
      <c r="A1256" s="1" t="s">
        <v>4502</v>
      </c>
      <c r="B1256" s="1" t="s">
        <v>142</v>
      </c>
      <c r="C1256" s="1" t="s">
        <v>142</v>
      </c>
      <c r="D1256" s="1" t="s">
        <v>4503</v>
      </c>
      <c r="E1256" s="1" t="s">
        <v>144</v>
      </c>
      <c r="F1256" s="1" t="s">
        <v>142</v>
      </c>
      <c r="G1256" s="1"/>
    </row>
    <row r="1257">
      <c r="A1257" s="1" t="s">
        <v>4504</v>
      </c>
      <c r="B1257" s="1" t="s">
        <v>142</v>
      </c>
      <c r="C1257" s="1" t="s">
        <v>142</v>
      </c>
      <c r="D1257" s="1" t="s">
        <v>4505</v>
      </c>
      <c r="E1257" s="1" t="s">
        <v>144</v>
      </c>
      <c r="F1257" s="1" t="s">
        <v>142</v>
      </c>
      <c r="G1257" s="1"/>
    </row>
    <row r="1258">
      <c r="A1258" s="1" t="s">
        <v>4506</v>
      </c>
      <c r="B1258" s="1" t="s">
        <v>142</v>
      </c>
      <c r="C1258" s="1" t="s">
        <v>142</v>
      </c>
      <c r="D1258" s="1" t="s">
        <v>4507</v>
      </c>
      <c r="E1258" s="1" t="s">
        <v>144</v>
      </c>
      <c r="F1258" s="1" t="s">
        <v>142</v>
      </c>
      <c r="G1258" s="1"/>
    </row>
    <row r="1259">
      <c r="A1259" s="1" t="s">
        <v>4516</v>
      </c>
      <c r="B1259" s="1" t="s">
        <v>142</v>
      </c>
      <c r="C1259" s="1" t="s">
        <v>142</v>
      </c>
      <c r="D1259" s="1" t="s">
        <v>4517</v>
      </c>
      <c r="E1259" s="1" t="s">
        <v>144</v>
      </c>
      <c r="F1259" s="1" t="s">
        <v>142</v>
      </c>
      <c r="G1259" s="1"/>
    </row>
    <row r="1260">
      <c r="A1260" s="1" t="s">
        <v>4518</v>
      </c>
      <c r="B1260" s="1" t="s">
        <v>142</v>
      </c>
      <c r="C1260" s="1" t="s">
        <v>142</v>
      </c>
      <c r="D1260" s="1" t="s">
        <v>4519</v>
      </c>
      <c r="E1260" s="1" t="s">
        <v>144</v>
      </c>
      <c r="F1260" s="1" t="s">
        <v>142</v>
      </c>
      <c r="G1260" s="1"/>
    </row>
    <row r="1261">
      <c r="A1261" s="1" t="s">
        <v>4520</v>
      </c>
      <c r="B1261" s="1" t="s">
        <v>142</v>
      </c>
      <c r="C1261" s="1" t="s">
        <v>142</v>
      </c>
      <c r="D1261" s="1" t="s">
        <v>4521</v>
      </c>
      <c r="E1261" s="1" t="s">
        <v>144</v>
      </c>
      <c r="F1261" s="1" t="s">
        <v>142</v>
      </c>
      <c r="G1261" s="1"/>
    </row>
    <row r="1262">
      <c r="A1262" s="1" t="s">
        <v>4522</v>
      </c>
      <c r="B1262" s="1" t="s">
        <v>142</v>
      </c>
      <c r="C1262" s="1" t="s">
        <v>142</v>
      </c>
      <c r="D1262" s="1" t="s">
        <v>4523</v>
      </c>
      <c r="E1262" s="1" t="s">
        <v>144</v>
      </c>
      <c r="F1262" s="1" t="s">
        <v>142</v>
      </c>
      <c r="G1262" s="1"/>
    </row>
    <row r="1263">
      <c r="A1263" s="1" t="s">
        <v>4524</v>
      </c>
      <c r="B1263" s="1" t="s">
        <v>142</v>
      </c>
      <c r="C1263" s="1" t="s">
        <v>142</v>
      </c>
      <c r="D1263" s="1" t="s">
        <v>4525</v>
      </c>
      <c r="E1263" s="1" t="s">
        <v>144</v>
      </c>
      <c r="F1263" s="1" t="s">
        <v>142</v>
      </c>
      <c r="G1263" s="1"/>
    </row>
    <row r="1264">
      <c r="A1264" s="1" t="s">
        <v>4526</v>
      </c>
      <c r="B1264" s="1" t="s">
        <v>142</v>
      </c>
      <c r="C1264" s="1" t="s">
        <v>142</v>
      </c>
      <c r="D1264" s="1" t="s">
        <v>4527</v>
      </c>
      <c r="E1264" s="1" t="s">
        <v>144</v>
      </c>
      <c r="F1264" s="1" t="s">
        <v>142</v>
      </c>
      <c r="G1264" s="1"/>
    </row>
    <row r="1265">
      <c r="A1265" s="1" t="s">
        <v>4528</v>
      </c>
      <c r="B1265" s="1" t="s">
        <v>142</v>
      </c>
      <c r="C1265" s="1" t="s">
        <v>142</v>
      </c>
      <c r="D1265" s="1" t="s">
        <v>4529</v>
      </c>
      <c r="E1265" s="1" t="s">
        <v>144</v>
      </c>
      <c r="F1265" s="1" t="s">
        <v>142</v>
      </c>
      <c r="G1265" s="1"/>
    </row>
    <row r="1266">
      <c r="A1266" s="1" t="s">
        <v>4530</v>
      </c>
      <c r="B1266" s="1" t="s">
        <v>142</v>
      </c>
      <c r="C1266" s="1" t="s">
        <v>142</v>
      </c>
      <c r="D1266" s="1" t="s">
        <v>4531</v>
      </c>
      <c r="E1266" s="1" t="s">
        <v>144</v>
      </c>
      <c r="F1266" s="1" t="s">
        <v>142</v>
      </c>
      <c r="G1266" s="1"/>
    </row>
    <row r="1267">
      <c r="A1267" s="1" t="s">
        <v>4532</v>
      </c>
      <c r="B1267" s="1" t="s">
        <v>142</v>
      </c>
      <c r="C1267" s="1" t="s">
        <v>142</v>
      </c>
      <c r="D1267" s="1" t="s">
        <v>4533</v>
      </c>
      <c r="E1267" s="1" t="s">
        <v>144</v>
      </c>
      <c r="F1267" s="1" t="s">
        <v>142</v>
      </c>
      <c r="G1267" s="1"/>
    </row>
    <row r="1268">
      <c r="A1268" s="1" t="s">
        <v>4534</v>
      </c>
      <c r="B1268" s="1" t="s">
        <v>142</v>
      </c>
      <c r="C1268" s="1" t="s">
        <v>142</v>
      </c>
      <c r="D1268" s="1" t="s">
        <v>4535</v>
      </c>
      <c r="E1268" s="1" t="s">
        <v>144</v>
      </c>
      <c r="F1268" s="1" t="s">
        <v>142</v>
      </c>
      <c r="G1268" s="1"/>
    </row>
    <row r="1269">
      <c r="A1269" s="1" t="s">
        <v>4536</v>
      </c>
      <c r="B1269" s="1" t="s">
        <v>142</v>
      </c>
      <c r="C1269" s="1" t="s">
        <v>142</v>
      </c>
      <c r="D1269" s="1" t="s">
        <v>4537</v>
      </c>
      <c r="E1269" s="1" t="s">
        <v>144</v>
      </c>
      <c r="F1269" s="1" t="s">
        <v>142</v>
      </c>
      <c r="G1269" s="1"/>
    </row>
    <row r="1270">
      <c r="A1270" s="1" t="s">
        <v>4538</v>
      </c>
      <c r="B1270" s="1" t="s">
        <v>142</v>
      </c>
      <c r="C1270" s="1" t="s">
        <v>142</v>
      </c>
      <c r="D1270" s="1" t="s">
        <v>4539</v>
      </c>
      <c r="E1270" s="1" t="s">
        <v>144</v>
      </c>
      <c r="F1270" s="1" t="s">
        <v>142</v>
      </c>
      <c r="G1270" s="1"/>
    </row>
    <row r="1271">
      <c r="A1271" s="1" t="s">
        <v>4540</v>
      </c>
      <c r="B1271" s="1" t="s">
        <v>142</v>
      </c>
      <c r="C1271" s="1" t="s">
        <v>142</v>
      </c>
      <c r="D1271" s="1" t="s">
        <v>4541</v>
      </c>
      <c r="E1271" s="1" t="s">
        <v>144</v>
      </c>
      <c r="F1271" s="1" t="s">
        <v>142</v>
      </c>
      <c r="G1271" s="1"/>
    </row>
    <row r="1272">
      <c r="A1272" s="1" t="s">
        <v>4542</v>
      </c>
      <c r="B1272" s="1" t="s">
        <v>142</v>
      </c>
      <c r="C1272" s="1" t="s">
        <v>142</v>
      </c>
      <c r="D1272" s="1" t="s">
        <v>4543</v>
      </c>
      <c r="E1272" s="1" t="s">
        <v>144</v>
      </c>
      <c r="F1272" s="1" t="s">
        <v>142</v>
      </c>
      <c r="G1272" s="1"/>
    </row>
    <row r="1273">
      <c r="A1273" s="1" t="s">
        <v>4544</v>
      </c>
      <c r="B1273" s="1" t="s">
        <v>142</v>
      </c>
      <c r="C1273" s="1" t="s">
        <v>142</v>
      </c>
      <c r="D1273" s="1" t="s">
        <v>4545</v>
      </c>
      <c r="E1273" s="1" t="s">
        <v>144</v>
      </c>
      <c r="F1273" s="1" t="s">
        <v>142</v>
      </c>
      <c r="G1273" s="1"/>
    </row>
    <row r="1274">
      <c r="A1274" s="1" t="s">
        <v>4546</v>
      </c>
      <c r="B1274" s="1" t="s">
        <v>142</v>
      </c>
      <c r="C1274" s="1" t="s">
        <v>142</v>
      </c>
      <c r="D1274" s="1" t="s">
        <v>4547</v>
      </c>
      <c r="E1274" s="1" t="s">
        <v>144</v>
      </c>
      <c r="F1274" s="1" t="s">
        <v>142</v>
      </c>
      <c r="G1274" s="1"/>
    </row>
    <row r="1275">
      <c r="A1275" s="1" t="s">
        <v>4548</v>
      </c>
      <c r="B1275" s="1" t="s">
        <v>142</v>
      </c>
      <c r="C1275" s="1" t="s">
        <v>142</v>
      </c>
      <c r="D1275" s="1" t="s">
        <v>4549</v>
      </c>
      <c r="E1275" s="1" t="s">
        <v>144</v>
      </c>
      <c r="F1275" s="1" t="s">
        <v>142</v>
      </c>
      <c r="G1275" s="1"/>
    </row>
    <row r="1276">
      <c r="A1276" s="1" t="s">
        <v>4550</v>
      </c>
      <c r="B1276" s="1" t="s">
        <v>4551</v>
      </c>
      <c r="C1276" s="1" t="s">
        <v>4552</v>
      </c>
      <c r="D1276" s="1" t="s">
        <v>4553</v>
      </c>
      <c r="E1276" s="1" t="s">
        <v>144</v>
      </c>
      <c r="F1276" s="1" t="s">
        <v>142</v>
      </c>
      <c r="G1276" s="1"/>
    </row>
    <row r="1277">
      <c r="A1277" s="1" t="s">
        <v>4554</v>
      </c>
      <c r="B1277" s="1" t="s">
        <v>142</v>
      </c>
      <c r="C1277" s="1" t="s">
        <v>142</v>
      </c>
      <c r="D1277" s="1" t="s">
        <v>4555</v>
      </c>
      <c r="E1277" s="1" t="s">
        <v>144</v>
      </c>
      <c r="F1277" s="1" t="s">
        <v>142</v>
      </c>
      <c r="G1277" s="1"/>
    </row>
    <row r="1278">
      <c r="A1278" s="1" t="s">
        <v>4556</v>
      </c>
      <c r="B1278" s="1" t="s">
        <v>142</v>
      </c>
      <c r="C1278" s="1" t="s">
        <v>142</v>
      </c>
      <c r="D1278" s="1" t="s">
        <v>4557</v>
      </c>
      <c r="E1278" s="1" t="s">
        <v>144</v>
      </c>
      <c r="F1278" s="1" t="s">
        <v>142</v>
      </c>
      <c r="G1278" s="1"/>
    </row>
    <row r="1279">
      <c r="A1279" s="1" t="s">
        <v>4558</v>
      </c>
      <c r="B1279" s="1" t="s">
        <v>142</v>
      </c>
      <c r="C1279" s="1" t="s">
        <v>142</v>
      </c>
      <c r="D1279" s="1" t="s">
        <v>4559</v>
      </c>
      <c r="E1279" s="1" t="s">
        <v>144</v>
      </c>
      <c r="F1279" s="1" t="s">
        <v>142</v>
      </c>
      <c r="G1279" s="1"/>
    </row>
    <row r="1280">
      <c r="A1280" s="1" t="s">
        <v>4560</v>
      </c>
      <c r="B1280" s="1" t="s">
        <v>142</v>
      </c>
      <c r="C1280" s="1" t="s">
        <v>142</v>
      </c>
      <c r="D1280" s="1" t="s">
        <v>4561</v>
      </c>
      <c r="E1280" s="1" t="s">
        <v>144</v>
      </c>
      <c r="F1280" s="1" t="s">
        <v>142</v>
      </c>
      <c r="G1280" s="1"/>
    </row>
    <row r="1281">
      <c r="A1281" s="1" t="s">
        <v>4562</v>
      </c>
      <c r="B1281" s="1" t="s">
        <v>142</v>
      </c>
      <c r="C1281" s="1" t="s">
        <v>142</v>
      </c>
      <c r="D1281" s="1" t="s">
        <v>4563</v>
      </c>
      <c r="E1281" s="1" t="s">
        <v>144</v>
      </c>
      <c r="F1281" s="1" t="s">
        <v>142</v>
      </c>
      <c r="G1281" s="1"/>
    </row>
    <row r="1282">
      <c r="A1282" s="1" t="s">
        <v>4564</v>
      </c>
      <c r="B1282" s="1" t="s">
        <v>142</v>
      </c>
      <c r="C1282" s="1" t="s">
        <v>142</v>
      </c>
      <c r="D1282" s="1" t="s">
        <v>4565</v>
      </c>
      <c r="E1282" s="1" t="s">
        <v>144</v>
      </c>
      <c r="F1282" s="1" t="s">
        <v>142</v>
      </c>
      <c r="G1282" s="1"/>
    </row>
    <row r="1283">
      <c r="A1283" s="1" t="s">
        <v>4566</v>
      </c>
      <c r="B1283" s="1" t="s">
        <v>142</v>
      </c>
      <c r="C1283" s="1" t="s">
        <v>142</v>
      </c>
      <c r="D1283" s="1" t="s">
        <v>4567</v>
      </c>
      <c r="E1283" s="1" t="s">
        <v>144</v>
      </c>
      <c r="F1283" s="1" t="s">
        <v>142</v>
      </c>
      <c r="G1283" s="1"/>
    </row>
    <row r="1284">
      <c r="A1284" s="1" t="s">
        <v>4568</v>
      </c>
      <c r="B1284" s="1" t="s">
        <v>142</v>
      </c>
      <c r="C1284" s="1" t="s">
        <v>142</v>
      </c>
      <c r="D1284" s="1" t="s">
        <v>4569</v>
      </c>
      <c r="E1284" s="1" t="s">
        <v>144</v>
      </c>
      <c r="F1284" s="1" t="s">
        <v>142</v>
      </c>
      <c r="G1284" s="1"/>
    </row>
    <row r="1285">
      <c r="A1285" s="1" t="s">
        <v>4570</v>
      </c>
      <c r="B1285" s="1" t="s">
        <v>142</v>
      </c>
      <c r="C1285" s="1" t="s">
        <v>142</v>
      </c>
      <c r="D1285" s="1" t="s">
        <v>4571</v>
      </c>
      <c r="E1285" s="1" t="s">
        <v>144</v>
      </c>
      <c r="F1285" s="1" t="s">
        <v>142</v>
      </c>
      <c r="G1285" s="1"/>
    </row>
    <row r="1286">
      <c r="A1286" s="1" t="s">
        <v>4572</v>
      </c>
      <c r="B1286" s="1" t="s">
        <v>142</v>
      </c>
      <c r="C1286" s="1" t="s">
        <v>142</v>
      </c>
      <c r="D1286" s="1" t="s">
        <v>4573</v>
      </c>
      <c r="E1286" s="1" t="s">
        <v>144</v>
      </c>
      <c r="F1286" s="1" t="s">
        <v>142</v>
      </c>
      <c r="G1286" s="1"/>
    </row>
    <row r="1287">
      <c r="A1287" s="1" t="s">
        <v>4574</v>
      </c>
      <c r="B1287" s="1" t="s">
        <v>142</v>
      </c>
      <c r="C1287" s="1" t="s">
        <v>142</v>
      </c>
      <c r="D1287" s="1" t="s">
        <v>4575</v>
      </c>
      <c r="E1287" s="1" t="s">
        <v>144</v>
      </c>
      <c r="F1287" s="1" t="s">
        <v>142</v>
      </c>
      <c r="G1287" s="1"/>
    </row>
    <row r="1288">
      <c r="A1288" s="1" t="s">
        <v>4576</v>
      </c>
      <c r="B1288" s="1" t="s">
        <v>142</v>
      </c>
      <c r="C1288" s="1" t="s">
        <v>142</v>
      </c>
      <c r="D1288" s="1" t="s">
        <v>4577</v>
      </c>
      <c r="E1288" s="1" t="s">
        <v>144</v>
      </c>
      <c r="F1288" s="1" t="s">
        <v>142</v>
      </c>
      <c r="G1288" s="1"/>
    </row>
    <row r="1289">
      <c r="A1289" s="1" t="s">
        <v>4578</v>
      </c>
      <c r="B1289" s="1" t="s">
        <v>142</v>
      </c>
      <c r="C1289" s="1" t="s">
        <v>142</v>
      </c>
      <c r="D1289" s="1" t="s">
        <v>4579</v>
      </c>
      <c r="E1289" s="1" t="s">
        <v>144</v>
      </c>
      <c r="F1289" s="1" t="s">
        <v>142</v>
      </c>
      <c r="G1289" s="1"/>
    </row>
    <row r="1290">
      <c r="A1290" s="1" t="s">
        <v>4580</v>
      </c>
      <c r="B1290" s="1" t="s">
        <v>142</v>
      </c>
      <c r="C1290" s="1" t="s">
        <v>142</v>
      </c>
      <c r="D1290" s="1" t="s">
        <v>4581</v>
      </c>
      <c r="E1290" s="1" t="s">
        <v>144</v>
      </c>
      <c r="F1290" s="1" t="s">
        <v>142</v>
      </c>
      <c r="G1290" s="1"/>
    </row>
    <row r="1291">
      <c r="A1291" s="1" t="s">
        <v>4582</v>
      </c>
      <c r="B1291" s="1" t="s">
        <v>142</v>
      </c>
      <c r="C1291" s="1" t="s">
        <v>142</v>
      </c>
      <c r="D1291" s="1" t="s">
        <v>4583</v>
      </c>
      <c r="E1291" s="1" t="s">
        <v>144</v>
      </c>
      <c r="F1291" s="1" t="s">
        <v>142</v>
      </c>
      <c r="G1291" s="1"/>
    </row>
    <row r="1292">
      <c r="A1292" s="1" t="s">
        <v>4584</v>
      </c>
      <c r="B1292" s="1" t="s">
        <v>142</v>
      </c>
      <c r="C1292" s="1" t="s">
        <v>142</v>
      </c>
      <c r="D1292" s="1" t="s">
        <v>4585</v>
      </c>
      <c r="E1292" s="1" t="s">
        <v>144</v>
      </c>
      <c r="F1292" s="1" t="s">
        <v>142</v>
      </c>
      <c r="G1292" s="1"/>
    </row>
    <row r="1293">
      <c r="A1293" s="1" t="s">
        <v>4586</v>
      </c>
      <c r="B1293" s="1" t="s">
        <v>142</v>
      </c>
      <c r="C1293" s="1" t="s">
        <v>142</v>
      </c>
      <c r="D1293" s="1" t="s">
        <v>4587</v>
      </c>
      <c r="E1293" s="1" t="s">
        <v>144</v>
      </c>
      <c r="F1293" s="1" t="s">
        <v>142</v>
      </c>
      <c r="G1293" s="1"/>
    </row>
    <row r="1294">
      <c r="A1294" s="1" t="s">
        <v>4588</v>
      </c>
      <c r="B1294" s="1" t="s">
        <v>142</v>
      </c>
      <c r="C1294" s="1" t="s">
        <v>142</v>
      </c>
      <c r="D1294" s="1" t="s">
        <v>4589</v>
      </c>
      <c r="E1294" s="1" t="s">
        <v>144</v>
      </c>
      <c r="F1294" s="1" t="s">
        <v>142</v>
      </c>
      <c r="G1294" s="1"/>
    </row>
    <row r="1295">
      <c r="A1295" s="1" t="s">
        <v>4590</v>
      </c>
      <c r="B1295" s="1" t="s">
        <v>142</v>
      </c>
      <c r="C1295" s="1" t="s">
        <v>142</v>
      </c>
      <c r="D1295" s="1" t="s">
        <v>4591</v>
      </c>
      <c r="E1295" s="1" t="s">
        <v>144</v>
      </c>
      <c r="F1295" s="1" t="s">
        <v>142</v>
      </c>
      <c r="G1295" s="1"/>
    </row>
    <row r="1296">
      <c r="A1296" s="1" t="s">
        <v>4592</v>
      </c>
      <c r="B1296" s="1" t="s">
        <v>142</v>
      </c>
      <c r="C1296" s="1" t="s">
        <v>142</v>
      </c>
      <c r="D1296" s="1" t="s">
        <v>4593</v>
      </c>
      <c r="E1296" s="1" t="s">
        <v>144</v>
      </c>
      <c r="F1296" s="1" t="s">
        <v>142</v>
      </c>
      <c r="G1296" s="1"/>
    </row>
    <row r="1297">
      <c r="A1297" s="1" t="s">
        <v>4594</v>
      </c>
      <c r="B1297" s="1" t="s">
        <v>142</v>
      </c>
      <c r="C1297" s="1" t="s">
        <v>142</v>
      </c>
      <c r="D1297" s="1" t="s">
        <v>4595</v>
      </c>
      <c r="E1297" s="1" t="s">
        <v>144</v>
      </c>
      <c r="F1297" s="1" t="s">
        <v>142</v>
      </c>
      <c r="G1297" s="1"/>
    </row>
    <row r="1298">
      <c r="A1298" s="1" t="s">
        <v>4596</v>
      </c>
      <c r="B1298" s="1" t="s">
        <v>142</v>
      </c>
      <c r="C1298" s="1" t="s">
        <v>142</v>
      </c>
      <c r="D1298" s="1" t="s">
        <v>4597</v>
      </c>
      <c r="E1298" s="1" t="s">
        <v>144</v>
      </c>
      <c r="F1298" s="1" t="s">
        <v>142</v>
      </c>
      <c r="G1298" s="1"/>
    </row>
    <row r="1299">
      <c r="A1299" s="1" t="s">
        <v>4598</v>
      </c>
      <c r="B1299" s="1" t="s">
        <v>142</v>
      </c>
      <c r="C1299" s="1" t="s">
        <v>142</v>
      </c>
      <c r="D1299" s="1" t="s">
        <v>4599</v>
      </c>
      <c r="E1299" s="1" t="s">
        <v>144</v>
      </c>
      <c r="F1299" s="1" t="s">
        <v>142</v>
      </c>
      <c r="G1299" s="1"/>
    </row>
    <row r="1300">
      <c r="A1300" s="1" t="s">
        <v>4600</v>
      </c>
      <c r="B1300" s="1" t="s">
        <v>142</v>
      </c>
      <c r="C1300" s="1" t="s">
        <v>142</v>
      </c>
      <c r="D1300" s="1" t="s">
        <v>4601</v>
      </c>
      <c r="E1300" s="1" t="s">
        <v>144</v>
      </c>
      <c r="F1300" s="1" t="s">
        <v>142</v>
      </c>
      <c r="G1300" s="1"/>
    </row>
    <row r="1301">
      <c r="A1301" s="1" t="s">
        <v>4602</v>
      </c>
      <c r="B1301" s="1" t="s">
        <v>142</v>
      </c>
      <c r="C1301" s="1" t="s">
        <v>142</v>
      </c>
      <c r="D1301" s="1" t="s">
        <v>4603</v>
      </c>
      <c r="E1301" s="1" t="s">
        <v>144</v>
      </c>
      <c r="F1301" s="1" t="s">
        <v>142</v>
      </c>
      <c r="G1301" s="1"/>
    </row>
    <row r="1302">
      <c r="A1302" s="1" t="s">
        <v>4604</v>
      </c>
      <c r="B1302" s="1" t="s">
        <v>142</v>
      </c>
      <c r="C1302" s="1" t="s">
        <v>142</v>
      </c>
      <c r="D1302" s="1" t="s">
        <v>4605</v>
      </c>
      <c r="E1302" s="1" t="s">
        <v>144</v>
      </c>
      <c r="F1302" s="1" t="s">
        <v>142</v>
      </c>
      <c r="G1302" s="1"/>
    </row>
    <row r="1303">
      <c r="A1303" s="1" t="s">
        <v>2739</v>
      </c>
      <c r="B1303" s="1" t="s">
        <v>142</v>
      </c>
      <c r="C1303" s="1" t="s">
        <v>142</v>
      </c>
      <c r="D1303" s="1" t="s">
        <v>4606</v>
      </c>
      <c r="E1303" s="1" t="s">
        <v>144</v>
      </c>
      <c r="F1303" s="1" t="s">
        <v>142</v>
      </c>
      <c r="G1303" s="1"/>
    </row>
    <row r="1304">
      <c r="A1304" s="1" t="s">
        <v>4607</v>
      </c>
      <c r="B1304" s="1" t="s">
        <v>142</v>
      </c>
      <c r="C1304" s="1" t="s">
        <v>142</v>
      </c>
      <c r="D1304" s="1" t="s">
        <v>4608</v>
      </c>
      <c r="E1304" s="1" t="s">
        <v>144</v>
      </c>
      <c r="F1304" s="1" t="s">
        <v>142</v>
      </c>
      <c r="G1304" s="1"/>
    </row>
    <row r="1305">
      <c r="A1305" s="1" t="s">
        <v>4609</v>
      </c>
      <c r="B1305" s="1" t="s">
        <v>142</v>
      </c>
      <c r="C1305" s="1" t="s">
        <v>142</v>
      </c>
      <c r="D1305" s="1" t="s">
        <v>4610</v>
      </c>
      <c r="E1305" s="1" t="s">
        <v>144</v>
      </c>
      <c r="F1305" s="1" t="s">
        <v>142</v>
      </c>
      <c r="G1305" s="1"/>
    </row>
    <row r="1306">
      <c r="A1306" s="1" t="s">
        <v>4611</v>
      </c>
      <c r="B1306" s="1" t="s">
        <v>142</v>
      </c>
      <c r="C1306" s="1" t="s">
        <v>142</v>
      </c>
      <c r="D1306" s="1" t="s">
        <v>4612</v>
      </c>
      <c r="E1306" s="1" t="s">
        <v>144</v>
      </c>
      <c r="F1306" s="1" t="s">
        <v>142</v>
      </c>
      <c r="G1306" s="1"/>
    </row>
    <row r="1307">
      <c r="A1307" s="1" t="s">
        <v>4613</v>
      </c>
      <c r="B1307" s="1" t="s">
        <v>142</v>
      </c>
      <c r="C1307" s="1" t="s">
        <v>142</v>
      </c>
      <c r="D1307" s="1" t="s">
        <v>4614</v>
      </c>
      <c r="E1307" s="1" t="s">
        <v>144</v>
      </c>
      <c r="F1307" s="1" t="s">
        <v>142</v>
      </c>
      <c r="G1307" s="1"/>
    </row>
    <row r="1308">
      <c r="A1308" s="1" t="s">
        <v>4615</v>
      </c>
      <c r="B1308" s="1" t="s">
        <v>4616</v>
      </c>
      <c r="C1308" s="1" t="s">
        <v>4617</v>
      </c>
      <c r="D1308" s="1" t="s">
        <v>4618</v>
      </c>
      <c r="E1308" s="1" t="s">
        <v>144</v>
      </c>
      <c r="F1308" s="1" t="s">
        <v>142</v>
      </c>
      <c r="G1308" s="1"/>
    </row>
    <row r="1309">
      <c r="A1309" s="1" t="s">
        <v>4619</v>
      </c>
      <c r="B1309" s="1" t="s">
        <v>142</v>
      </c>
      <c r="C1309" s="1" t="s">
        <v>142</v>
      </c>
      <c r="D1309" s="1" t="s">
        <v>4620</v>
      </c>
      <c r="E1309" s="1" t="s">
        <v>144</v>
      </c>
      <c r="F1309" s="1" t="s">
        <v>142</v>
      </c>
      <c r="G1309" s="1"/>
    </row>
    <row r="1310">
      <c r="A1310" s="1" t="s">
        <v>4621</v>
      </c>
      <c r="B1310" s="1" t="s">
        <v>142</v>
      </c>
      <c r="C1310" s="1" t="s">
        <v>142</v>
      </c>
      <c r="D1310" s="1" t="s">
        <v>4622</v>
      </c>
      <c r="E1310" s="1" t="s">
        <v>144</v>
      </c>
      <c r="F1310" s="1" t="s">
        <v>142</v>
      </c>
      <c r="G1310" s="1"/>
    </row>
    <row r="1311">
      <c r="A1311" s="1" t="s">
        <v>4623</v>
      </c>
      <c r="B1311" s="1" t="s">
        <v>142</v>
      </c>
      <c r="C1311" s="1" t="s">
        <v>142</v>
      </c>
      <c r="D1311" s="1" t="s">
        <v>4624</v>
      </c>
      <c r="E1311" s="1" t="s">
        <v>144</v>
      </c>
      <c r="F1311" s="1" t="s">
        <v>142</v>
      </c>
      <c r="G1311" s="1"/>
    </row>
    <row r="1312">
      <c r="A1312" s="1" t="s">
        <v>4625</v>
      </c>
      <c r="B1312" s="1" t="s">
        <v>142</v>
      </c>
      <c r="C1312" s="1" t="s">
        <v>142</v>
      </c>
      <c r="D1312" s="1" t="s">
        <v>4626</v>
      </c>
      <c r="E1312" s="1" t="s">
        <v>144</v>
      </c>
      <c r="F1312" s="1" t="s">
        <v>142</v>
      </c>
      <c r="G1312" s="1"/>
    </row>
    <row r="1313">
      <c r="A1313" s="1" t="s">
        <v>4627</v>
      </c>
      <c r="B1313" s="1" t="s">
        <v>142</v>
      </c>
      <c r="C1313" s="1" t="s">
        <v>142</v>
      </c>
      <c r="D1313" s="1" t="s">
        <v>4628</v>
      </c>
      <c r="E1313" s="1" t="s">
        <v>144</v>
      </c>
      <c r="F1313" s="1" t="s">
        <v>142</v>
      </c>
      <c r="G1313" s="1"/>
    </row>
    <row r="1314">
      <c r="A1314" s="1" t="s">
        <v>4629</v>
      </c>
      <c r="B1314" s="1" t="s">
        <v>142</v>
      </c>
      <c r="C1314" s="1" t="s">
        <v>142</v>
      </c>
      <c r="D1314" s="1" t="s">
        <v>4630</v>
      </c>
      <c r="E1314" s="1" t="s">
        <v>144</v>
      </c>
      <c r="F1314" s="1" t="s">
        <v>142</v>
      </c>
      <c r="G1314" s="1"/>
    </row>
    <row r="1315">
      <c r="A1315" s="1" t="s">
        <v>4631</v>
      </c>
      <c r="B1315" s="1" t="s">
        <v>142</v>
      </c>
      <c r="C1315" s="1" t="s">
        <v>142</v>
      </c>
      <c r="D1315" s="1" t="s">
        <v>4632</v>
      </c>
      <c r="E1315" s="1" t="s">
        <v>144</v>
      </c>
      <c r="F1315" s="1" t="s">
        <v>142</v>
      </c>
      <c r="G1315" s="1"/>
    </row>
    <row r="1316">
      <c r="A1316" s="1" t="s">
        <v>4633</v>
      </c>
      <c r="B1316" s="1" t="s">
        <v>142</v>
      </c>
      <c r="C1316" s="1" t="s">
        <v>142</v>
      </c>
      <c r="D1316" s="1" t="s">
        <v>4634</v>
      </c>
      <c r="E1316" s="1" t="s">
        <v>144</v>
      </c>
      <c r="F1316" s="1" t="s">
        <v>142</v>
      </c>
      <c r="G1316" s="1"/>
    </row>
    <row r="1317">
      <c r="A1317" s="1" t="s">
        <v>4635</v>
      </c>
      <c r="B1317" s="1" t="s">
        <v>142</v>
      </c>
      <c r="C1317" s="1" t="s">
        <v>142</v>
      </c>
      <c r="D1317" s="1" t="s">
        <v>4636</v>
      </c>
      <c r="E1317" s="1" t="s">
        <v>144</v>
      </c>
      <c r="F1317" s="1" t="s">
        <v>142</v>
      </c>
      <c r="G1317" s="1"/>
    </row>
    <row r="1318">
      <c r="A1318" s="1" t="s">
        <v>4637</v>
      </c>
      <c r="B1318" s="1" t="s">
        <v>142</v>
      </c>
      <c r="C1318" s="1" t="s">
        <v>142</v>
      </c>
      <c r="D1318" s="1" t="s">
        <v>4638</v>
      </c>
      <c r="E1318" s="1" t="s">
        <v>144</v>
      </c>
      <c r="F1318" s="1" t="s">
        <v>142</v>
      </c>
      <c r="G1318" s="1"/>
    </row>
    <row r="1319">
      <c r="A1319" s="1" t="s">
        <v>4639</v>
      </c>
      <c r="B1319" s="1" t="s">
        <v>142</v>
      </c>
      <c r="C1319" s="1" t="s">
        <v>142</v>
      </c>
      <c r="D1319" s="1" t="s">
        <v>4640</v>
      </c>
      <c r="E1319" s="1" t="s">
        <v>144</v>
      </c>
      <c r="F1319" s="1" t="s">
        <v>142</v>
      </c>
      <c r="G1319" s="1"/>
    </row>
    <row r="1320">
      <c r="A1320" s="1" t="s">
        <v>4641</v>
      </c>
      <c r="B1320" s="1" t="s">
        <v>142</v>
      </c>
      <c r="C1320" s="1" t="s">
        <v>142</v>
      </c>
      <c r="D1320" s="1" t="s">
        <v>4642</v>
      </c>
      <c r="E1320" s="1" t="s">
        <v>144</v>
      </c>
      <c r="F1320" s="1" t="s">
        <v>142</v>
      </c>
      <c r="G1320" s="1"/>
    </row>
    <row r="1321">
      <c r="A1321" s="1" t="s">
        <v>4643</v>
      </c>
      <c r="B1321" s="1" t="s">
        <v>142</v>
      </c>
      <c r="C1321" s="1" t="s">
        <v>142</v>
      </c>
      <c r="D1321" s="1" t="s">
        <v>4644</v>
      </c>
      <c r="E1321" s="1" t="s">
        <v>144</v>
      </c>
      <c r="F1321" s="1" t="s">
        <v>142</v>
      </c>
      <c r="G1321" s="1"/>
    </row>
    <row r="1322">
      <c r="A1322" s="1" t="s">
        <v>4645</v>
      </c>
      <c r="B1322" s="1" t="s">
        <v>142</v>
      </c>
      <c r="C1322" s="1" t="s">
        <v>142</v>
      </c>
      <c r="D1322" s="1" t="s">
        <v>4646</v>
      </c>
      <c r="E1322" s="1" t="s">
        <v>144</v>
      </c>
      <c r="F1322" s="1" t="s">
        <v>142</v>
      </c>
      <c r="G1322" s="1"/>
    </row>
    <row r="1323">
      <c r="A1323" s="1" t="s">
        <v>4647</v>
      </c>
      <c r="B1323" s="1" t="s">
        <v>142</v>
      </c>
      <c r="C1323" s="1" t="s">
        <v>142</v>
      </c>
      <c r="D1323" s="1" t="s">
        <v>4648</v>
      </c>
      <c r="E1323" s="1" t="s">
        <v>144</v>
      </c>
      <c r="F1323" s="1" t="s">
        <v>142</v>
      </c>
      <c r="G1323" s="1"/>
    </row>
    <row r="1324">
      <c r="A1324" s="1" t="s">
        <v>4649</v>
      </c>
      <c r="B1324" s="1" t="s">
        <v>142</v>
      </c>
      <c r="C1324" s="1" t="s">
        <v>142</v>
      </c>
      <c r="D1324" s="1" t="s">
        <v>4650</v>
      </c>
      <c r="E1324" s="1" t="s">
        <v>144</v>
      </c>
      <c r="F1324" s="1" t="s">
        <v>142</v>
      </c>
      <c r="G1324" s="1"/>
    </row>
    <row r="1325">
      <c r="A1325" s="1" t="s">
        <v>4651</v>
      </c>
      <c r="B1325" s="1" t="s">
        <v>142</v>
      </c>
      <c r="C1325" s="1" t="s">
        <v>142</v>
      </c>
      <c r="D1325" s="1" t="s">
        <v>4652</v>
      </c>
      <c r="E1325" s="1" t="s">
        <v>144</v>
      </c>
      <c r="F1325" s="1" t="s">
        <v>142</v>
      </c>
      <c r="G1325" s="1"/>
    </row>
    <row r="1326">
      <c r="A1326" s="1" t="s">
        <v>4653</v>
      </c>
      <c r="B1326" s="1" t="s">
        <v>142</v>
      </c>
      <c r="C1326" s="1" t="s">
        <v>142</v>
      </c>
      <c r="D1326" s="1" t="s">
        <v>4654</v>
      </c>
      <c r="E1326" s="1" t="s">
        <v>144</v>
      </c>
      <c r="F1326" s="1" t="s">
        <v>142</v>
      </c>
      <c r="G1326" s="1"/>
    </row>
    <row r="1327">
      <c r="A1327" s="1" t="s">
        <v>4655</v>
      </c>
      <c r="B1327" s="1" t="s">
        <v>142</v>
      </c>
      <c r="C1327" s="1" t="s">
        <v>142</v>
      </c>
      <c r="D1327" s="1" t="s">
        <v>4656</v>
      </c>
      <c r="E1327" s="1" t="s">
        <v>144</v>
      </c>
      <c r="F1327" s="1" t="s">
        <v>142</v>
      </c>
      <c r="G1327" s="1"/>
    </row>
    <row r="1328">
      <c r="A1328" s="1" t="s">
        <v>4657</v>
      </c>
      <c r="B1328" s="1" t="s">
        <v>142</v>
      </c>
      <c r="C1328" s="1" t="s">
        <v>142</v>
      </c>
      <c r="D1328" s="1" t="s">
        <v>4658</v>
      </c>
      <c r="E1328" s="1" t="s">
        <v>144</v>
      </c>
      <c r="F1328" s="1" t="s">
        <v>142</v>
      </c>
      <c r="G1328" s="1"/>
    </row>
    <row r="1329">
      <c r="A1329" s="1" t="s">
        <v>4659</v>
      </c>
      <c r="B1329" s="1" t="s">
        <v>142</v>
      </c>
      <c r="C1329" s="1" t="s">
        <v>142</v>
      </c>
      <c r="D1329" s="1" t="s">
        <v>4660</v>
      </c>
      <c r="E1329" s="1" t="s">
        <v>144</v>
      </c>
      <c r="F1329" s="1" t="s">
        <v>142</v>
      </c>
      <c r="G1329" s="1"/>
    </row>
    <row r="1330">
      <c r="A1330" s="1" t="s">
        <v>4661</v>
      </c>
      <c r="B1330" s="1" t="s">
        <v>142</v>
      </c>
      <c r="C1330" s="1" t="s">
        <v>142</v>
      </c>
      <c r="D1330" s="1" t="s">
        <v>4662</v>
      </c>
      <c r="E1330" s="1" t="s">
        <v>144</v>
      </c>
      <c r="F1330" s="1" t="s">
        <v>142</v>
      </c>
      <c r="G1330" s="1"/>
    </row>
    <row r="1331">
      <c r="A1331" s="1" t="s">
        <v>4663</v>
      </c>
      <c r="B1331" s="1" t="s">
        <v>142</v>
      </c>
      <c r="C1331" s="1" t="s">
        <v>142</v>
      </c>
      <c r="D1331" s="1" t="s">
        <v>4664</v>
      </c>
      <c r="E1331" s="1" t="s">
        <v>144</v>
      </c>
      <c r="F1331" s="1" t="s">
        <v>142</v>
      </c>
      <c r="G1331" s="1"/>
    </row>
    <row r="1332">
      <c r="A1332" s="1" t="s">
        <v>4665</v>
      </c>
      <c r="B1332" s="1" t="s">
        <v>142</v>
      </c>
      <c r="C1332" s="1" t="s">
        <v>142</v>
      </c>
      <c r="D1332" s="1" t="s">
        <v>4666</v>
      </c>
      <c r="E1332" s="1" t="s">
        <v>144</v>
      </c>
      <c r="F1332" s="1" t="s">
        <v>142</v>
      </c>
      <c r="G1332" s="1"/>
    </row>
    <row r="1333">
      <c r="A1333" s="1" t="s">
        <v>4667</v>
      </c>
      <c r="B1333" s="1" t="s">
        <v>142</v>
      </c>
      <c r="C1333" s="1" t="s">
        <v>142</v>
      </c>
      <c r="D1333" s="1" t="s">
        <v>4668</v>
      </c>
      <c r="E1333" s="1" t="s">
        <v>144</v>
      </c>
      <c r="F1333" s="1" t="s">
        <v>142</v>
      </c>
      <c r="G1333" s="1"/>
    </row>
    <row r="1334">
      <c r="A1334" s="1" t="s">
        <v>4669</v>
      </c>
      <c r="B1334" s="1" t="s">
        <v>142</v>
      </c>
      <c r="C1334" s="1" t="s">
        <v>142</v>
      </c>
      <c r="D1334" s="1" t="s">
        <v>4670</v>
      </c>
      <c r="E1334" s="1" t="s">
        <v>144</v>
      </c>
      <c r="F1334" s="1" t="s">
        <v>142</v>
      </c>
      <c r="G1334" s="1"/>
    </row>
    <row r="1335">
      <c r="A1335" s="1" t="s">
        <v>4671</v>
      </c>
      <c r="B1335" s="1" t="s">
        <v>142</v>
      </c>
      <c r="C1335" s="1" t="s">
        <v>142</v>
      </c>
      <c r="D1335" s="1" t="s">
        <v>4672</v>
      </c>
      <c r="E1335" s="1" t="s">
        <v>144</v>
      </c>
      <c r="F1335" s="1" t="s">
        <v>142</v>
      </c>
      <c r="G1335" s="1"/>
    </row>
    <row r="1336">
      <c r="A1336" s="1" t="s">
        <v>4673</v>
      </c>
      <c r="B1336" s="1" t="s">
        <v>142</v>
      </c>
      <c r="C1336" s="1" t="s">
        <v>142</v>
      </c>
      <c r="D1336" s="1" t="s">
        <v>4674</v>
      </c>
      <c r="E1336" s="1" t="s">
        <v>144</v>
      </c>
      <c r="F1336" s="1" t="s">
        <v>142</v>
      </c>
      <c r="G1336" s="1"/>
    </row>
    <row r="1337">
      <c r="A1337" s="1" t="s">
        <v>4675</v>
      </c>
      <c r="B1337" s="1" t="s">
        <v>142</v>
      </c>
      <c r="C1337" s="1" t="s">
        <v>142</v>
      </c>
      <c r="D1337" s="1" t="s">
        <v>4676</v>
      </c>
      <c r="E1337" s="1" t="s">
        <v>144</v>
      </c>
      <c r="F1337" s="1" t="s">
        <v>142</v>
      </c>
      <c r="G1337" s="1"/>
    </row>
    <row r="1338">
      <c r="A1338" s="1" t="s">
        <v>4677</v>
      </c>
      <c r="B1338" s="1" t="s">
        <v>142</v>
      </c>
      <c r="C1338" s="1" t="s">
        <v>142</v>
      </c>
      <c r="D1338" s="1" t="s">
        <v>4678</v>
      </c>
      <c r="E1338" s="1" t="s">
        <v>144</v>
      </c>
      <c r="F1338" s="1" t="s">
        <v>142</v>
      </c>
      <c r="G1338" s="1"/>
    </row>
    <row r="1339">
      <c r="A1339" s="1" t="s">
        <v>4679</v>
      </c>
      <c r="B1339" s="1" t="s">
        <v>142</v>
      </c>
      <c r="C1339" s="1" t="s">
        <v>142</v>
      </c>
      <c r="D1339" s="1" t="s">
        <v>4680</v>
      </c>
      <c r="E1339" s="1" t="s">
        <v>144</v>
      </c>
      <c r="F1339" s="1" t="s">
        <v>142</v>
      </c>
      <c r="G1339" s="1"/>
    </row>
    <row r="1340">
      <c r="A1340" s="1" t="s">
        <v>4681</v>
      </c>
      <c r="B1340" s="1" t="s">
        <v>142</v>
      </c>
      <c r="C1340" s="1" t="s">
        <v>142</v>
      </c>
      <c r="D1340" s="1" t="s">
        <v>4682</v>
      </c>
      <c r="E1340" s="1" t="s">
        <v>144</v>
      </c>
      <c r="F1340" s="1" t="s">
        <v>142</v>
      </c>
      <c r="G1340" s="1"/>
    </row>
    <row r="1341">
      <c r="A1341" s="1" t="s">
        <v>4683</v>
      </c>
      <c r="B1341" s="1" t="s">
        <v>142</v>
      </c>
      <c r="C1341" s="1" t="s">
        <v>142</v>
      </c>
      <c r="D1341" s="1" t="s">
        <v>4684</v>
      </c>
      <c r="E1341" s="1" t="s">
        <v>144</v>
      </c>
      <c r="F1341" s="1" t="s">
        <v>142</v>
      </c>
      <c r="G1341" s="1"/>
    </row>
    <row r="1342">
      <c r="A1342" s="1" t="s">
        <v>4685</v>
      </c>
      <c r="B1342" s="1" t="s">
        <v>142</v>
      </c>
      <c r="C1342" s="1" t="s">
        <v>142</v>
      </c>
      <c r="D1342" s="1" t="s">
        <v>4697</v>
      </c>
      <c r="E1342" s="1" t="s">
        <v>144</v>
      </c>
      <c r="F1342" s="1" t="s">
        <v>142</v>
      </c>
      <c r="G1342" s="1"/>
    </row>
    <row r="1343">
      <c r="A1343" s="1" t="s">
        <v>4698</v>
      </c>
      <c r="B1343" s="1" t="s">
        <v>142</v>
      </c>
      <c r="C1343" s="1" t="s">
        <v>142</v>
      </c>
      <c r="D1343" s="1" t="s">
        <v>4699</v>
      </c>
      <c r="E1343" s="1" t="s">
        <v>144</v>
      </c>
      <c r="F1343" s="1" t="s">
        <v>142</v>
      </c>
      <c r="G1343" s="1"/>
    </row>
    <row r="1344">
      <c r="A1344" s="1" t="s">
        <v>4700</v>
      </c>
      <c r="B1344" s="1" t="s">
        <v>142</v>
      </c>
      <c r="C1344" s="1" t="s">
        <v>142</v>
      </c>
      <c r="D1344" s="1" t="s">
        <v>4701</v>
      </c>
      <c r="E1344" s="1" t="s">
        <v>144</v>
      </c>
      <c r="F1344" s="1" t="s">
        <v>142</v>
      </c>
      <c r="G1344" s="1"/>
    </row>
    <row r="1345">
      <c r="A1345" s="1" t="s">
        <v>4702</v>
      </c>
      <c r="B1345" s="1" t="s">
        <v>142</v>
      </c>
      <c r="C1345" s="1" t="s">
        <v>142</v>
      </c>
      <c r="D1345" s="1" t="s">
        <v>4703</v>
      </c>
      <c r="E1345" s="1" t="s">
        <v>144</v>
      </c>
      <c r="F1345" s="1" t="s">
        <v>142</v>
      </c>
      <c r="G1345" s="1"/>
    </row>
    <row r="1346">
      <c r="A1346" s="1" t="s">
        <v>4704</v>
      </c>
      <c r="B1346" s="1" t="s">
        <v>142</v>
      </c>
      <c r="C1346" s="1" t="s">
        <v>142</v>
      </c>
      <c r="D1346" s="1" t="s">
        <v>4705</v>
      </c>
      <c r="E1346" s="1" t="s">
        <v>144</v>
      </c>
      <c r="F1346" s="1" t="s">
        <v>142</v>
      </c>
      <c r="G1346" s="1"/>
    </row>
    <row r="1347">
      <c r="A1347" s="1" t="s">
        <v>4706</v>
      </c>
      <c r="B1347" s="1" t="s">
        <v>142</v>
      </c>
      <c r="C1347" s="1" t="s">
        <v>142</v>
      </c>
      <c r="D1347" s="1" t="s">
        <v>4707</v>
      </c>
      <c r="E1347" s="1" t="s">
        <v>144</v>
      </c>
      <c r="F1347" s="1" t="s">
        <v>142</v>
      </c>
      <c r="G1347" s="1"/>
    </row>
    <row r="1348">
      <c r="A1348" s="1" t="s">
        <v>4708</v>
      </c>
      <c r="B1348" s="1" t="s">
        <v>142</v>
      </c>
      <c r="C1348" s="1" t="s">
        <v>142</v>
      </c>
      <c r="D1348" s="1" t="s">
        <v>4709</v>
      </c>
      <c r="E1348" s="1" t="s">
        <v>144</v>
      </c>
      <c r="F1348" s="1" t="s">
        <v>142</v>
      </c>
      <c r="G1348" s="1"/>
    </row>
    <row r="1349">
      <c r="A1349" s="1" t="s">
        <v>4710</v>
      </c>
      <c r="B1349" s="1" t="s">
        <v>142</v>
      </c>
      <c r="C1349" s="1" t="s">
        <v>142</v>
      </c>
      <c r="D1349" s="1" t="s">
        <v>4711</v>
      </c>
      <c r="E1349" s="1" t="s">
        <v>144</v>
      </c>
      <c r="F1349" s="1" t="s">
        <v>142</v>
      </c>
      <c r="G1349" s="1"/>
    </row>
    <row r="1350">
      <c r="A1350" s="1" t="s">
        <v>4712</v>
      </c>
      <c r="B1350" s="1" t="s">
        <v>142</v>
      </c>
      <c r="C1350" s="1" t="s">
        <v>142</v>
      </c>
      <c r="D1350" s="1" t="s">
        <v>4713</v>
      </c>
      <c r="E1350" s="1" t="s">
        <v>144</v>
      </c>
      <c r="F1350" s="1" t="s">
        <v>142</v>
      </c>
      <c r="G1350" s="1"/>
    </row>
    <row r="1351">
      <c r="A1351" s="1" t="s">
        <v>4714</v>
      </c>
      <c r="B1351" s="1" t="s">
        <v>142</v>
      </c>
      <c r="C1351" s="1" t="s">
        <v>142</v>
      </c>
      <c r="D1351" s="1" t="s">
        <v>4715</v>
      </c>
      <c r="E1351" s="1" t="s">
        <v>144</v>
      </c>
      <c r="F1351" s="1" t="s">
        <v>142</v>
      </c>
      <c r="G1351" s="1"/>
    </row>
    <row r="1352">
      <c r="A1352" s="1" t="s">
        <v>4716</v>
      </c>
      <c r="B1352" s="1" t="s">
        <v>142</v>
      </c>
      <c r="C1352" s="1" t="s">
        <v>142</v>
      </c>
      <c r="D1352" s="1" t="s">
        <v>4717</v>
      </c>
      <c r="E1352" s="1" t="s">
        <v>144</v>
      </c>
      <c r="F1352" s="1" t="s">
        <v>142</v>
      </c>
      <c r="G1352" s="1"/>
    </row>
    <row r="1353">
      <c r="A1353" s="1" t="s">
        <v>4718</v>
      </c>
      <c r="B1353" s="1" t="s">
        <v>142</v>
      </c>
      <c r="C1353" s="1" t="s">
        <v>142</v>
      </c>
      <c r="D1353" s="1" t="s">
        <v>4719</v>
      </c>
      <c r="E1353" s="1" t="s">
        <v>144</v>
      </c>
      <c r="F1353" s="1" t="s">
        <v>142</v>
      </c>
      <c r="G1353" s="1"/>
    </row>
    <row r="1354">
      <c r="A1354" s="1" t="s">
        <v>4720</v>
      </c>
      <c r="B1354" s="1" t="s">
        <v>142</v>
      </c>
      <c r="C1354" s="1" t="s">
        <v>142</v>
      </c>
      <c r="D1354" s="1" t="s">
        <v>4721</v>
      </c>
      <c r="E1354" s="1" t="s">
        <v>144</v>
      </c>
      <c r="F1354" s="1" t="s">
        <v>142</v>
      </c>
      <c r="G1354" s="1"/>
    </row>
    <row r="1355">
      <c r="A1355" s="1" t="s">
        <v>4722</v>
      </c>
      <c r="B1355" s="1" t="s">
        <v>142</v>
      </c>
      <c r="C1355" s="1" t="s">
        <v>142</v>
      </c>
      <c r="D1355" s="1" t="s">
        <v>4723</v>
      </c>
      <c r="E1355" s="1" t="s">
        <v>144</v>
      </c>
      <c r="F1355" s="1" t="s">
        <v>142</v>
      </c>
      <c r="G1355" s="1"/>
    </row>
    <row r="1356">
      <c r="A1356" s="1" t="s">
        <v>4724</v>
      </c>
      <c r="B1356" s="1" t="s">
        <v>142</v>
      </c>
      <c r="C1356" s="1" t="s">
        <v>142</v>
      </c>
      <c r="D1356" s="1" t="s">
        <v>4725</v>
      </c>
      <c r="E1356" s="1" t="s">
        <v>144</v>
      </c>
      <c r="F1356" s="1" t="s">
        <v>142</v>
      </c>
      <c r="G1356" s="1"/>
    </row>
    <row r="1357">
      <c r="A1357" s="1" t="s">
        <v>4726</v>
      </c>
      <c r="B1357" s="1" t="s">
        <v>142</v>
      </c>
      <c r="C1357" s="1" t="s">
        <v>142</v>
      </c>
      <c r="D1357" s="1" t="s">
        <v>4727</v>
      </c>
      <c r="E1357" s="1" t="s">
        <v>144</v>
      </c>
      <c r="F1357" s="1" t="s">
        <v>142</v>
      </c>
      <c r="G1357" s="1"/>
    </row>
    <row r="1358">
      <c r="A1358" s="1" t="s">
        <v>4728</v>
      </c>
      <c r="B1358" s="1" t="s">
        <v>142</v>
      </c>
      <c r="C1358" s="1" t="s">
        <v>142</v>
      </c>
      <c r="D1358" s="1" t="s">
        <v>4729</v>
      </c>
      <c r="E1358" s="1" t="s">
        <v>144</v>
      </c>
      <c r="F1358" s="1" t="s">
        <v>142</v>
      </c>
      <c r="G1358" s="1"/>
    </row>
    <row r="1359">
      <c r="A1359" s="1" t="s">
        <v>4730</v>
      </c>
      <c r="B1359" s="1" t="s">
        <v>142</v>
      </c>
      <c r="C1359" s="1" t="s">
        <v>142</v>
      </c>
      <c r="D1359" s="1" t="s">
        <v>4731</v>
      </c>
      <c r="E1359" s="1" t="s">
        <v>144</v>
      </c>
      <c r="F1359" s="1" t="s">
        <v>142</v>
      </c>
      <c r="G1359" s="1"/>
    </row>
    <row r="1360">
      <c r="A1360" s="1" t="s">
        <v>4732</v>
      </c>
      <c r="B1360" s="1" t="s">
        <v>142</v>
      </c>
      <c r="C1360" s="1" t="s">
        <v>142</v>
      </c>
      <c r="D1360" s="1" t="s">
        <v>4733</v>
      </c>
      <c r="E1360" s="1" t="s">
        <v>144</v>
      </c>
      <c r="F1360" s="1" t="s">
        <v>142</v>
      </c>
      <c r="G1360" s="1"/>
    </row>
    <row r="1361">
      <c r="A1361" s="1" t="s">
        <v>4734</v>
      </c>
      <c r="B1361" s="1" t="s">
        <v>142</v>
      </c>
      <c r="C1361" s="1" t="s">
        <v>142</v>
      </c>
      <c r="D1361" s="1" t="s">
        <v>4735</v>
      </c>
      <c r="E1361" s="1" t="s">
        <v>144</v>
      </c>
      <c r="F1361" s="1" t="s">
        <v>142</v>
      </c>
      <c r="G1361" s="1"/>
    </row>
    <row r="1362">
      <c r="A1362" s="1" t="s">
        <v>4736</v>
      </c>
      <c r="B1362" s="1" t="s">
        <v>142</v>
      </c>
      <c r="C1362" s="1" t="s">
        <v>142</v>
      </c>
      <c r="D1362" s="1" t="s">
        <v>4737</v>
      </c>
      <c r="E1362" s="1" t="s">
        <v>144</v>
      </c>
      <c r="F1362" s="1" t="s">
        <v>142</v>
      </c>
      <c r="G1362" s="1"/>
    </row>
    <row r="1363">
      <c r="A1363" s="1" t="s">
        <v>4738</v>
      </c>
      <c r="B1363" s="1" t="s">
        <v>142</v>
      </c>
      <c r="C1363" s="1" t="s">
        <v>142</v>
      </c>
      <c r="D1363" s="1" t="s">
        <v>4739</v>
      </c>
      <c r="E1363" s="1" t="s">
        <v>144</v>
      </c>
      <c r="F1363" s="1" t="s">
        <v>142</v>
      </c>
      <c r="G1363" s="1"/>
    </row>
    <row r="1364">
      <c r="A1364" s="1" t="s">
        <v>4740</v>
      </c>
      <c r="B1364" s="1" t="s">
        <v>142</v>
      </c>
      <c r="C1364" s="1" t="s">
        <v>142</v>
      </c>
      <c r="D1364" s="1" t="s">
        <v>4741</v>
      </c>
      <c r="E1364" s="1" t="s">
        <v>144</v>
      </c>
      <c r="F1364" s="1" t="s">
        <v>142</v>
      </c>
      <c r="G1364" s="1"/>
    </row>
    <row r="1365">
      <c r="A1365" s="1" t="s">
        <v>4742</v>
      </c>
      <c r="B1365" s="1" t="s">
        <v>142</v>
      </c>
      <c r="C1365" s="1" t="s">
        <v>142</v>
      </c>
      <c r="D1365" s="1" t="s">
        <v>4743</v>
      </c>
      <c r="E1365" s="1" t="s">
        <v>144</v>
      </c>
      <c r="F1365" s="1" t="s">
        <v>142</v>
      </c>
      <c r="G1365" s="1"/>
    </row>
    <row r="1366">
      <c r="A1366" s="1" t="s">
        <v>4744</v>
      </c>
      <c r="B1366" s="1" t="s">
        <v>142</v>
      </c>
      <c r="C1366" s="1" t="s">
        <v>142</v>
      </c>
      <c r="D1366" s="1" t="s">
        <v>4745</v>
      </c>
      <c r="E1366" s="1" t="s">
        <v>144</v>
      </c>
      <c r="F1366" s="1" t="s">
        <v>142</v>
      </c>
      <c r="G1366" s="1"/>
    </row>
    <row r="1367">
      <c r="A1367" s="1" t="s">
        <v>4746</v>
      </c>
      <c r="B1367" s="1" t="s">
        <v>142</v>
      </c>
      <c r="C1367" s="1" t="s">
        <v>142</v>
      </c>
      <c r="D1367" s="1" t="s">
        <v>4747</v>
      </c>
      <c r="E1367" s="1" t="s">
        <v>144</v>
      </c>
      <c r="F1367" s="1" t="s">
        <v>142</v>
      </c>
      <c r="G1367" s="1"/>
    </row>
    <row r="1368">
      <c r="A1368" s="1" t="s">
        <v>4748</v>
      </c>
      <c r="B1368" s="1" t="s">
        <v>142</v>
      </c>
      <c r="C1368" s="1" t="s">
        <v>142</v>
      </c>
      <c r="D1368" s="1" t="s">
        <v>4749</v>
      </c>
      <c r="E1368" s="1" t="s">
        <v>144</v>
      </c>
      <c r="F1368" s="1" t="s">
        <v>142</v>
      </c>
      <c r="G1368" s="1"/>
    </row>
    <row r="1369">
      <c r="A1369" s="1" t="s">
        <v>4750</v>
      </c>
      <c r="B1369" s="1" t="s">
        <v>142</v>
      </c>
      <c r="C1369" s="1" t="s">
        <v>142</v>
      </c>
      <c r="D1369" s="1" t="s">
        <v>4751</v>
      </c>
      <c r="E1369" s="1" t="s">
        <v>144</v>
      </c>
      <c r="F1369" s="1" t="s">
        <v>142</v>
      </c>
      <c r="G1369" s="1"/>
    </row>
    <row r="1370">
      <c r="A1370" s="1" t="s">
        <v>4752</v>
      </c>
      <c r="B1370" s="1" t="s">
        <v>142</v>
      </c>
      <c r="C1370" s="1" t="s">
        <v>142</v>
      </c>
      <c r="D1370" s="1" t="s">
        <v>4753</v>
      </c>
      <c r="E1370" s="1" t="s">
        <v>144</v>
      </c>
      <c r="F1370" s="1" t="s">
        <v>142</v>
      </c>
      <c r="G1370" s="1"/>
    </row>
    <row r="1371">
      <c r="A1371" s="1" t="s">
        <v>4754</v>
      </c>
      <c r="B1371" s="1" t="s">
        <v>142</v>
      </c>
      <c r="C1371" s="1" t="s">
        <v>142</v>
      </c>
      <c r="D1371" s="1" t="s">
        <v>4755</v>
      </c>
      <c r="E1371" s="1" t="s">
        <v>144</v>
      </c>
      <c r="F1371" s="1" t="s">
        <v>142</v>
      </c>
      <c r="G1371" s="1"/>
    </row>
    <row r="1372">
      <c r="A1372" s="1" t="s">
        <v>4756</v>
      </c>
      <c r="B1372" s="1" t="s">
        <v>142</v>
      </c>
      <c r="C1372" s="1" t="s">
        <v>142</v>
      </c>
      <c r="D1372" s="1" t="s">
        <v>4757</v>
      </c>
      <c r="E1372" s="1" t="s">
        <v>144</v>
      </c>
      <c r="F1372" s="1" t="s">
        <v>142</v>
      </c>
      <c r="G1372" s="1"/>
    </row>
    <row r="1373">
      <c r="A1373" s="1" t="s">
        <v>4758</v>
      </c>
      <c r="B1373" s="1" t="s">
        <v>142</v>
      </c>
      <c r="C1373" s="1" t="s">
        <v>142</v>
      </c>
      <c r="D1373" s="1" t="s">
        <v>4759</v>
      </c>
      <c r="E1373" s="1" t="s">
        <v>144</v>
      </c>
      <c r="F1373" s="1" t="s">
        <v>142</v>
      </c>
      <c r="G1373" s="1"/>
    </row>
    <row r="1374">
      <c r="A1374" s="1" t="s">
        <v>4760</v>
      </c>
      <c r="B1374" s="1" t="s">
        <v>142</v>
      </c>
      <c r="C1374" s="1" t="s">
        <v>142</v>
      </c>
      <c r="D1374" s="1" t="s">
        <v>4761</v>
      </c>
      <c r="E1374" s="1" t="s">
        <v>144</v>
      </c>
      <c r="F1374" s="1" t="s">
        <v>142</v>
      </c>
      <c r="G1374" s="1"/>
    </row>
    <row r="1375">
      <c r="A1375" s="1" t="s">
        <v>4762</v>
      </c>
      <c r="B1375" s="1" t="s">
        <v>142</v>
      </c>
      <c r="C1375" s="1" t="s">
        <v>142</v>
      </c>
      <c r="D1375" s="1" t="s">
        <v>4763</v>
      </c>
      <c r="E1375" s="1" t="s">
        <v>144</v>
      </c>
      <c r="F1375" s="1" t="s">
        <v>142</v>
      </c>
      <c r="G1375" s="1"/>
    </row>
    <row r="1376">
      <c r="A1376" s="1" t="s">
        <v>4764</v>
      </c>
      <c r="B1376" s="1" t="s">
        <v>142</v>
      </c>
      <c r="C1376" s="1" t="s">
        <v>142</v>
      </c>
      <c r="D1376" s="1" t="s">
        <v>4765</v>
      </c>
      <c r="E1376" s="1" t="s">
        <v>144</v>
      </c>
      <c r="F1376" s="1" t="s">
        <v>142</v>
      </c>
      <c r="G1376" s="1"/>
    </row>
    <row r="1377">
      <c r="A1377" s="1" t="s">
        <v>4766</v>
      </c>
      <c r="B1377" s="1" t="s">
        <v>142</v>
      </c>
      <c r="C1377" s="1" t="s">
        <v>142</v>
      </c>
      <c r="D1377" s="1" t="s">
        <v>4767</v>
      </c>
      <c r="E1377" s="1" t="s">
        <v>144</v>
      </c>
      <c r="F1377" s="1" t="s">
        <v>142</v>
      </c>
      <c r="G1377" s="1"/>
    </row>
    <row r="1378">
      <c r="A1378" s="1" t="s">
        <v>4768</v>
      </c>
      <c r="B1378" s="1" t="s">
        <v>142</v>
      </c>
      <c r="C1378" s="1" t="s">
        <v>142</v>
      </c>
      <c r="D1378" s="1" t="s">
        <v>4769</v>
      </c>
      <c r="E1378" s="1" t="s">
        <v>144</v>
      </c>
      <c r="F1378" s="1" t="s">
        <v>142</v>
      </c>
      <c r="G1378" s="1"/>
    </row>
    <row r="1379">
      <c r="A1379" s="1" t="s">
        <v>4770</v>
      </c>
      <c r="B1379" s="1" t="s">
        <v>142</v>
      </c>
      <c r="C1379" s="1" t="s">
        <v>142</v>
      </c>
      <c r="D1379" s="1" t="s">
        <v>4771</v>
      </c>
      <c r="E1379" s="1" t="s">
        <v>144</v>
      </c>
      <c r="F1379" s="1" t="s">
        <v>142</v>
      </c>
      <c r="G1379" s="1"/>
    </row>
    <row r="1380">
      <c r="A1380" s="1" t="s">
        <v>4772</v>
      </c>
      <c r="B1380" s="1" t="s">
        <v>142</v>
      </c>
      <c r="C1380" s="1" t="s">
        <v>142</v>
      </c>
      <c r="D1380" s="1" t="s">
        <v>4773</v>
      </c>
      <c r="E1380" s="1" t="s">
        <v>144</v>
      </c>
      <c r="F1380" s="1" t="s">
        <v>142</v>
      </c>
      <c r="G1380" s="1"/>
    </row>
    <row r="1381">
      <c r="A1381" s="1" t="s">
        <v>4774</v>
      </c>
      <c r="B1381" s="1" t="s">
        <v>142</v>
      </c>
      <c r="C1381" s="1" t="s">
        <v>142</v>
      </c>
      <c r="D1381" s="1" t="s">
        <v>4775</v>
      </c>
      <c r="E1381" s="1" t="s">
        <v>144</v>
      </c>
      <c r="F1381" s="1" t="s">
        <v>142</v>
      </c>
      <c r="G1381" s="1"/>
    </row>
    <row r="1382">
      <c r="A1382" s="1" t="s">
        <v>4776</v>
      </c>
      <c r="B1382" s="1" t="s">
        <v>142</v>
      </c>
      <c r="C1382" s="1" t="s">
        <v>142</v>
      </c>
      <c r="D1382" s="1" t="s">
        <v>4777</v>
      </c>
      <c r="E1382" s="1" t="s">
        <v>144</v>
      </c>
      <c r="F1382" s="1" t="s">
        <v>142</v>
      </c>
      <c r="G1382" s="1"/>
    </row>
    <row r="1383">
      <c r="A1383" s="1" t="s">
        <v>4778</v>
      </c>
      <c r="B1383" s="1" t="s">
        <v>142</v>
      </c>
      <c r="C1383" s="1" t="s">
        <v>142</v>
      </c>
      <c r="D1383" s="1" t="s">
        <v>4779</v>
      </c>
      <c r="E1383" s="1" t="s">
        <v>144</v>
      </c>
      <c r="F1383" s="1" t="s">
        <v>142</v>
      </c>
      <c r="G1383" s="1"/>
    </row>
    <row r="1384">
      <c r="A1384" s="1" t="s">
        <v>4780</v>
      </c>
      <c r="B1384" s="1" t="s">
        <v>142</v>
      </c>
      <c r="C1384" s="1" t="s">
        <v>142</v>
      </c>
      <c r="D1384" s="1" t="s">
        <v>4781</v>
      </c>
      <c r="E1384" s="1" t="s">
        <v>144</v>
      </c>
      <c r="F1384" s="1" t="s">
        <v>142</v>
      </c>
      <c r="G1384" s="1"/>
    </row>
    <row r="1385">
      <c r="A1385" s="1" t="s">
        <v>4782</v>
      </c>
      <c r="B1385" s="1" t="s">
        <v>142</v>
      </c>
      <c r="C1385" s="1" t="s">
        <v>142</v>
      </c>
      <c r="D1385" s="1" t="s">
        <v>4783</v>
      </c>
      <c r="E1385" s="1" t="s">
        <v>144</v>
      </c>
      <c r="F1385" s="1" t="s">
        <v>142</v>
      </c>
      <c r="G1385" s="1"/>
    </row>
    <row r="1386">
      <c r="A1386" s="1" t="s">
        <v>4784</v>
      </c>
      <c r="B1386" s="1" t="s">
        <v>142</v>
      </c>
      <c r="C1386" s="1" t="s">
        <v>142</v>
      </c>
      <c r="D1386" s="1" t="s">
        <v>4785</v>
      </c>
      <c r="E1386" s="1" t="s">
        <v>144</v>
      </c>
      <c r="F1386" s="1" t="s">
        <v>142</v>
      </c>
      <c r="G1386" s="1"/>
    </row>
    <row r="1387">
      <c r="A1387" s="1" t="s">
        <v>4786</v>
      </c>
      <c r="B1387" s="1" t="s">
        <v>142</v>
      </c>
      <c r="C1387" s="1" t="s">
        <v>142</v>
      </c>
      <c r="D1387" s="1" t="s">
        <v>4787</v>
      </c>
      <c r="E1387" s="1" t="s">
        <v>144</v>
      </c>
      <c r="F1387" s="1" t="s">
        <v>142</v>
      </c>
      <c r="G1387" s="1"/>
    </row>
    <row r="1388">
      <c r="A1388" s="1" t="s">
        <v>4788</v>
      </c>
      <c r="B1388" s="1" t="s">
        <v>142</v>
      </c>
      <c r="C1388" s="1" t="s">
        <v>142</v>
      </c>
      <c r="D1388" s="1" t="s">
        <v>4789</v>
      </c>
      <c r="E1388" s="1" t="s">
        <v>144</v>
      </c>
      <c r="F1388" s="1" t="s">
        <v>142</v>
      </c>
      <c r="G1388" s="1"/>
    </row>
    <row r="1389">
      <c r="A1389" s="1" t="s">
        <v>4790</v>
      </c>
      <c r="B1389" s="1" t="s">
        <v>142</v>
      </c>
      <c r="C1389" s="1" t="s">
        <v>142</v>
      </c>
      <c r="D1389" s="1" t="s">
        <v>4791</v>
      </c>
      <c r="E1389" s="1" t="s">
        <v>144</v>
      </c>
      <c r="F1389" s="1" t="s">
        <v>142</v>
      </c>
      <c r="G1389" s="1"/>
    </row>
    <row r="1390">
      <c r="A1390" s="1" t="s">
        <v>4792</v>
      </c>
      <c r="B1390" s="1" t="s">
        <v>142</v>
      </c>
      <c r="C1390" s="1" t="s">
        <v>142</v>
      </c>
      <c r="D1390" s="1" t="s">
        <v>4793</v>
      </c>
      <c r="E1390" s="1" t="s">
        <v>144</v>
      </c>
      <c r="F1390" s="1" t="s">
        <v>142</v>
      </c>
      <c r="G1390" s="1"/>
    </row>
    <row r="1391">
      <c r="A1391" s="1" t="s">
        <v>4794</v>
      </c>
      <c r="B1391" s="1" t="s">
        <v>142</v>
      </c>
      <c r="C1391" s="1" t="s">
        <v>142</v>
      </c>
      <c r="D1391" s="1" t="s">
        <v>4795</v>
      </c>
      <c r="E1391" s="1" t="s">
        <v>144</v>
      </c>
      <c r="F1391" s="1" t="s">
        <v>142</v>
      </c>
      <c r="G1391" s="1"/>
    </row>
    <row r="1392">
      <c r="A1392" s="1" t="s">
        <v>4796</v>
      </c>
      <c r="B1392" s="1" t="s">
        <v>142</v>
      </c>
      <c r="C1392" s="1" t="s">
        <v>142</v>
      </c>
      <c r="D1392" s="1" t="s">
        <v>4797</v>
      </c>
      <c r="E1392" s="1" t="s">
        <v>144</v>
      </c>
      <c r="F1392" s="1" t="s">
        <v>142</v>
      </c>
      <c r="G1392" s="1"/>
    </row>
    <row r="1393">
      <c r="A1393" s="1" t="s">
        <v>4798</v>
      </c>
      <c r="B1393" s="1" t="s">
        <v>142</v>
      </c>
      <c r="C1393" s="1" t="s">
        <v>142</v>
      </c>
      <c r="D1393" s="1" t="s">
        <v>4799</v>
      </c>
      <c r="E1393" s="1" t="s">
        <v>144</v>
      </c>
      <c r="F1393" s="1" t="s">
        <v>142</v>
      </c>
      <c r="G1393" s="1"/>
    </row>
    <row r="1394">
      <c r="A1394" s="1" t="s">
        <v>4800</v>
      </c>
      <c r="B1394" s="1" t="s">
        <v>142</v>
      </c>
      <c r="C1394" s="1" t="s">
        <v>142</v>
      </c>
      <c r="D1394" s="1" t="s">
        <v>4801</v>
      </c>
      <c r="E1394" s="1" t="s">
        <v>144</v>
      </c>
      <c r="F1394" s="1" t="s">
        <v>142</v>
      </c>
      <c r="G1394" s="1"/>
    </row>
    <row r="1395">
      <c r="A1395" s="1" t="s">
        <v>4802</v>
      </c>
      <c r="B1395" s="1" t="s">
        <v>142</v>
      </c>
      <c r="C1395" s="1" t="s">
        <v>142</v>
      </c>
      <c r="D1395" s="1" t="s">
        <v>4803</v>
      </c>
      <c r="E1395" s="1" t="s">
        <v>144</v>
      </c>
      <c r="F1395" s="1" t="s">
        <v>142</v>
      </c>
      <c r="G1395" s="1"/>
    </row>
    <row r="1396">
      <c r="A1396" s="1" t="s">
        <v>4804</v>
      </c>
      <c r="B1396" s="1" t="s">
        <v>142</v>
      </c>
      <c r="C1396" s="1" t="s">
        <v>142</v>
      </c>
      <c r="D1396" s="1" t="s">
        <v>4805</v>
      </c>
      <c r="E1396" s="1" t="s">
        <v>144</v>
      </c>
      <c r="F1396" s="1" t="s">
        <v>142</v>
      </c>
      <c r="G1396" s="1"/>
    </row>
    <row r="1397">
      <c r="A1397" s="1" t="s">
        <v>4806</v>
      </c>
      <c r="B1397" s="1" t="s">
        <v>142</v>
      </c>
      <c r="C1397" s="1" t="s">
        <v>142</v>
      </c>
      <c r="D1397" s="1" t="s">
        <v>4807</v>
      </c>
      <c r="E1397" s="1" t="s">
        <v>144</v>
      </c>
      <c r="F1397" s="1" t="s">
        <v>142</v>
      </c>
      <c r="G1397" s="1"/>
    </row>
    <row r="1398">
      <c r="A1398" s="1" t="s">
        <v>4808</v>
      </c>
      <c r="B1398" s="1" t="s">
        <v>142</v>
      </c>
      <c r="C1398" s="1" t="s">
        <v>142</v>
      </c>
      <c r="D1398" s="1" t="s">
        <v>4809</v>
      </c>
      <c r="E1398" s="1" t="s">
        <v>144</v>
      </c>
      <c r="F1398" s="1" t="s">
        <v>142</v>
      </c>
      <c r="G1398" s="1"/>
    </row>
    <row r="1399">
      <c r="A1399" s="1" t="s">
        <v>4810</v>
      </c>
      <c r="B1399" s="1" t="s">
        <v>142</v>
      </c>
      <c r="C1399" s="1" t="s">
        <v>142</v>
      </c>
      <c r="D1399" s="1" t="s">
        <v>4811</v>
      </c>
      <c r="E1399" s="1" t="s">
        <v>144</v>
      </c>
      <c r="F1399" s="1" t="s">
        <v>142</v>
      </c>
      <c r="G1399" s="1"/>
    </row>
    <row r="1400">
      <c r="A1400" s="1" t="s">
        <v>4812</v>
      </c>
      <c r="B1400" s="1" t="s">
        <v>142</v>
      </c>
      <c r="C1400" s="1" t="s">
        <v>142</v>
      </c>
      <c r="D1400" s="1" t="s">
        <v>4813</v>
      </c>
      <c r="E1400" s="1" t="s">
        <v>144</v>
      </c>
      <c r="F1400" s="1" t="s">
        <v>142</v>
      </c>
      <c r="G1400" s="1"/>
    </row>
    <row r="1401">
      <c r="A1401" s="1" t="s">
        <v>4814</v>
      </c>
      <c r="B1401" s="1" t="s">
        <v>142</v>
      </c>
      <c r="C1401" s="1" t="s">
        <v>142</v>
      </c>
      <c r="D1401" s="1" t="s">
        <v>4815</v>
      </c>
      <c r="E1401" s="1" t="s">
        <v>144</v>
      </c>
      <c r="F1401" s="1" t="s">
        <v>142</v>
      </c>
      <c r="G1401" s="1"/>
    </row>
    <row r="1402">
      <c r="A1402" s="1" t="s">
        <v>4816</v>
      </c>
      <c r="B1402" s="1" t="s">
        <v>142</v>
      </c>
      <c r="C1402" s="1" t="s">
        <v>142</v>
      </c>
      <c r="D1402" s="1" t="s">
        <v>4817</v>
      </c>
      <c r="E1402" s="1" t="s">
        <v>144</v>
      </c>
      <c r="F1402" s="1" t="s">
        <v>142</v>
      </c>
      <c r="G1402" s="1"/>
    </row>
    <row r="1403">
      <c r="A1403" s="1" t="s">
        <v>4818</v>
      </c>
      <c r="B1403" s="1" t="s">
        <v>142</v>
      </c>
      <c r="C1403" s="1" t="s">
        <v>142</v>
      </c>
      <c r="D1403" s="1" t="s">
        <v>4819</v>
      </c>
      <c r="E1403" s="1" t="s">
        <v>144</v>
      </c>
      <c r="F1403" s="1" t="s">
        <v>142</v>
      </c>
      <c r="G1403" s="1"/>
    </row>
    <row r="1404">
      <c r="A1404" s="1" t="s">
        <v>4820</v>
      </c>
      <c r="B1404" s="1" t="s">
        <v>142</v>
      </c>
      <c r="C1404" s="1" t="s">
        <v>142</v>
      </c>
      <c r="D1404" s="1" t="s">
        <v>4821</v>
      </c>
      <c r="E1404" s="1" t="s">
        <v>144</v>
      </c>
      <c r="F1404" s="1" t="s">
        <v>142</v>
      </c>
      <c r="G1404" s="1"/>
    </row>
    <row r="1405">
      <c r="A1405" s="1" t="s">
        <v>4822</v>
      </c>
      <c r="B1405" s="1" t="s">
        <v>142</v>
      </c>
      <c r="C1405" s="1" t="s">
        <v>142</v>
      </c>
      <c r="D1405" s="1" t="s">
        <v>4823</v>
      </c>
      <c r="E1405" s="1" t="s">
        <v>144</v>
      </c>
      <c r="F1405" s="1" t="s">
        <v>142</v>
      </c>
      <c r="G1405" s="1"/>
    </row>
    <row r="1406">
      <c r="A1406" s="1" t="s">
        <v>4824</v>
      </c>
      <c r="B1406" s="1" t="s">
        <v>142</v>
      </c>
      <c r="C1406" s="1" t="s">
        <v>142</v>
      </c>
      <c r="D1406" s="1" t="s">
        <v>4825</v>
      </c>
      <c r="E1406" s="1" t="s">
        <v>144</v>
      </c>
      <c r="F1406" s="1" t="s">
        <v>142</v>
      </c>
      <c r="G1406" s="1"/>
    </row>
    <row r="1407">
      <c r="A1407" s="1" t="s">
        <v>4826</v>
      </c>
      <c r="B1407" s="1" t="s">
        <v>142</v>
      </c>
      <c r="C1407" s="1" t="s">
        <v>142</v>
      </c>
      <c r="D1407" s="1" t="s">
        <v>4827</v>
      </c>
      <c r="E1407" s="1" t="s">
        <v>144</v>
      </c>
      <c r="F1407" s="1" t="s">
        <v>142</v>
      </c>
      <c r="G1407" s="1"/>
    </row>
    <row r="1408">
      <c r="A1408" s="1" t="s">
        <v>4828</v>
      </c>
      <c r="B1408" s="1" t="s">
        <v>142</v>
      </c>
      <c r="C1408" s="1" t="s">
        <v>142</v>
      </c>
      <c r="D1408" s="1" t="s">
        <v>4829</v>
      </c>
      <c r="E1408" s="1" t="s">
        <v>144</v>
      </c>
      <c r="F1408" s="1" t="s">
        <v>142</v>
      </c>
      <c r="G1408" s="1"/>
    </row>
    <row r="1409">
      <c r="A1409" s="1" t="s">
        <v>4830</v>
      </c>
      <c r="B1409" s="1" t="s">
        <v>142</v>
      </c>
      <c r="C1409" s="1" t="s">
        <v>142</v>
      </c>
      <c r="D1409" s="1" t="s">
        <v>4831</v>
      </c>
      <c r="E1409" s="1" t="s">
        <v>144</v>
      </c>
      <c r="F1409" s="1" t="s">
        <v>142</v>
      </c>
      <c r="G1409" s="1"/>
    </row>
    <row r="1410">
      <c r="A1410" s="1" t="s">
        <v>2736</v>
      </c>
      <c r="B1410" s="1" t="s">
        <v>4832</v>
      </c>
      <c r="C1410" s="1" t="s">
        <v>4833</v>
      </c>
      <c r="D1410" s="1" t="s">
        <v>2738</v>
      </c>
      <c r="E1410" s="1" t="s">
        <v>144</v>
      </c>
      <c r="F1410" s="1" t="s">
        <v>142</v>
      </c>
      <c r="G1410" s="1"/>
    </row>
    <row r="1411">
      <c r="A1411" s="1" t="s">
        <v>2736</v>
      </c>
      <c r="B1411" s="1" t="s">
        <v>142</v>
      </c>
      <c r="C1411" s="1" t="s">
        <v>142</v>
      </c>
      <c r="D1411" s="1" t="s">
        <v>4834</v>
      </c>
      <c r="E1411" s="1" t="s">
        <v>144</v>
      </c>
      <c r="F1411" s="1" t="s">
        <v>142</v>
      </c>
      <c r="G1411" s="1"/>
    </row>
    <row r="1412">
      <c r="A1412" s="1" t="s">
        <v>4835</v>
      </c>
      <c r="B1412" s="1" t="s">
        <v>142</v>
      </c>
      <c r="C1412" s="1" t="s">
        <v>142</v>
      </c>
      <c r="D1412" s="1" t="s">
        <v>4836</v>
      </c>
      <c r="E1412" s="1" t="s">
        <v>144</v>
      </c>
      <c r="F1412" s="1" t="s">
        <v>142</v>
      </c>
      <c r="G1412" s="1"/>
    </row>
    <row r="1413">
      <c r="A1413" s="1" t="s">
        <v>4837</v>
      </c>
      <c r="B1413" s="1" t="s">
        <v>142</v>
      </c>
      <c r="C1413" s="1" t="s">
        <v>142</v>
      </c>
      <c r="D1413" s="1" t="s">
        <v>4838</v>
      </c>
      <c r="E1413" s="1" t="s">
        <v>144</v>
      </c>
      <c r="F1413" s="1" t="s">
        <v>142</v>
      </c>
      <c r="G1413" s="1"/>
    </row>
    <row r="1414">
      <c r="A1414" s="1" t="s">
        <v>4839</v>
      </c>
      <c r="B1414" s="1" t="s">
        <v>142</v>
      </c>
      <c r="C1414" s="1" t="s">
        <v>142</v>
      </c>
      <c r="D1414" s="1" t="s">
        <v>4840</v>
      </c>
      <c r="E1414" s="1" t="s">
        <v>144</v>
      </c>
      <c r="F1414" s="1" t="s">
        <v>142</v>
      </c>
      <c r="G1414" s="1"/>
    </row>
    <row r="1415">
      <c r="A1415" s="1" t="s">
        <v>4841</v>
      </c>
      <c r="B1415" s="1" t="s">
        <v>142</v>
      </c>
      <c r="C1415" s="1" t="s">
        <v>142</v>
      </c>
      <c r="D1415" s="1" t="s">
        <v>4842</v>
      </c>
      <c r="E1415" s="1" t="s">
        <v>144</v>
      </c>
      <c r="F1415" s="1" t="s">
        <v>142</v>
      </c>
      <c r="G1415" s="1"/>
    </row>
    <row r="1416">
      <c r="A1416" s="1" t="s">
        <v>4843</v>
      </c>
      <c r="B1416" s="1" t="s">
        <v>142</v>
      </c>
      <c r="C1416" s="1" t="s">
        <v>142</v>
      </c>
      <c r="D1416" s="1" t="s">
        <v>4844</v>
      </c>
      <c r="E1416" s="1" t="s">
        <v>144</v>
      </c>
      <c r="F1416" s="1" t="s">
        <v>142</v>
      </c>
      <c r="G1416" s="1"/>
    </row>
    <row r="1417">
      <c r="A1417" s="1" t="s">
        <v>4845</v>
      </c>
      <c r="B1417" s="1" t="s">
        <v>142</v>
      </c>
      <c r="C1417" s="1" t="s">
        <v>142</v>
      </c>
      <c r="D1417" s="1" t="s">
        <v>4846</v>
      </c>
      <c r="E1417" s="1" t="s">
        <v>144</v>
      </c>
      <c r="F1417" s="1" t="s">
        <v>142</v>
      </c>
      <c r="G1417" s="1"/>
    </row>
    <row r="1418">
      <c r="A1418" s="1" t="s">
        <v>4847</v>
      </c>
      <c r="B1418" s="1" t="s">
        <v>4848</v>
      </c>
      <c r="C1418" s="1" t="s">
        <v>4849</v>
      </c>
      <c r="D1418" s="1" t="s">
        <v>4850</v>
      </c>
      <c r="E1418" s="1" t="s">
        <v>971</v>
      </c>
      <c r="F1418" s="1">
        <v>6.0</v>
      </c>
      <c r="G1418" s="1">
        <v>8.0</v>
      </c>
    </row>
    <row r="1419">
      <c r="A1419" s="1" t="s">
        <v>4851</v>
      </c>
      <c r="B1419" s="1" t="s">
        <v>142</v>
      </c>
      <c r="C1419" s="1" t="s">
        <v>142</v>
      </c>
      <c r="D1419" s="1" t="s">
        <v>4852</v>
      </c>
      <c r="E1419" s="1" t="s">
        <v>144</v>
      </c>
      <c r="F1419" s="1" t="s">
        <v>142</v>
      </c>
      <c r="G1419" s="1"/>
    </row>
    <row r="1420">
      <c r="A1420" s="1" t="s">
        <v>4853</v>
      </c>
      <c r="B1420" s="1" t="s">
        <v>142</v>
      </c>
      <c r="C1420" s="1" t="s">
        <v>142</v>
      </c>
      <c r="D1420" s="1" t="s">
        <v>4854</v>
      </c>
      <c r="E1420" s="1" t="s">
        <v>144</v>
      </c>
      <c r="F1420" s="1" t="s">
        <v>142</v>
      </c>
      <c r="G1420" s="1"/>
    </row>
    <row r="1421">
      <c r="A1421" s="1" t="s">
        <v>4855</v>
      </c>
      <c r="B1421" s="1" t="s">
        <v>4856</v>
      </c>
      <c r="C1421" s="1" t="s">
        <v>4857</v>
      </c>
      <c r="D1421" s="1" t="s">
        <v>4858</v>
      </c>
      <c r="E1421" s="1" t="s">
        <v>144</v>
      </c>
      <c r="F1421" s="1" t="s">
        <v>142</v>
      </c>
      <c r="G1421" s="1"/>
    </row>
    <row r="1422">
      <c r="A1422" s="1" t="s">
        <v>4859</v>
      </c>
      <c r="B1422" s="1" t="s">
        <v>142</v>
      </c>
      <c r="C1422" s="1" t="s">
        <v>142</v>
      </c>
      <c r="D1422" s="1" t="s">
        <v>4860</v>
      </c>
      <c r="E1422" s="1" t="s">
        <v>144</v>
      </c>
      <c r="F1422" s="1" t="s">
        <v>142</v>
      </c>
      <c r="G1422" s="1"/>
    </row>
    <row r="1423">
      <c r="A1423" s="1" t="s">
        <v>4861</v>
      </c>
      <c r="B1423" s="1" t="s">
        <v>142</v>
      </c>
      <c r="C1423" s="1" t="s">
        <v>142</v>
      </c>
      <c r="D1423" s="1" t="s">
        <v>4862</v>
      </c>
      <c r="E1423" s="1" t="s">
        <v>144</v>
      </c>
      <c r="F1423" s="1" t="s">
        <v>142</v>
      </c>
      <c r="G1423" s="1"/>
    </row>
    <row r="1424">
      <c r="A1424" s="1" t="s">
        <v>4863</v>
      </c>
      <c r="B1424" s="1" t="s">
        <v>142</v>
      </c>
      <c r="C1424" s="1" t="s">
        <v>142</v>
      </c>
      <c r="D1424" s="1" t="s">
        <v>4864</v>
      </c>
      <c r="E1424" s="1" t="s">
        <v>144</v>
      </c>
      <c r="F1424" s="1" t="s">
        <v>142</v>
      </c>
      <c r="G1424" s="1"/>
    </row>
    <row r="1425">
      <c r="A1425" s="1" t="s">
        <v>4865</v>
      </c>
      <c r="B1425" s="1" t="s">
        <v>142</v>
      </c>
      <c r="C1425" s="1" t="s">
        <v>142</v>
      </c>
      <c r="D1425" s="1" t="s">
        <v>4866</v>
      </c>
      <c r="E1425" s="1" t="s">
        <v>144</v>
      </c>
      <c r="F1425" s="1" t="s">
        <v>142</v>
      </c>
      <c r="G1425" s="1"/>
    </row>
    <row r="1426">
      <c r="A1426" s="1" t="s">
        <v>4867</v>
      </c>
      <c r="B1426" s="1" t="s">
        <v>142</v>
      </c>
      <c r="C1426" s="1" t="s">
        <v>142</v>
      </c>
      <c r="D1426" s="1" t="s">
        <v>4868</v>
      </c>
      <c r="E1426" s="1" t="s">
        <v>144</v>
      </c>
      <c r="F1426" s="1" t="s">
        <v>142</v>
      </c>
      <c r="G1426" s="1"/>
    </row>
    <row r="1427">
      <c r="A1427" s="1" t="s">
        <v>4869</v>
      </c>
      <c r="B1427" s="1" t="s">
        <v>142</v>
      </c>
      <c r="C1427" s="1" t="s">
        <v>142</v>
      </c>
      <c r="D1427" s="1" t="s">
        <v>4870</v>
      </c>
      <c r="E1427" s="1" t="s">
        <v>144</v>
      </c>
      <c r="F1427" s="1" t="s">
        <v>142</v>
      </c>
      <c r="G1427" s="1"/>
    </row>
    <row r="1428">
      <c r="A1428" s="1" t="s">
        <v>4871</v>
      </c>
      <c r="B1428" s="1" t="s">
        <v>142</v>
      </c>
      <c r="C1428" s="1" t="s">
        <v>142</v>
      </c>
      <c r="D1428" s="1" t="s">
        <v>4872</v>
      </c>
      <c r="E1428" s="1" t="s">
        <v>144</v>
      </c>
      <c r="F1428" s="1" t="s">
        <v>142</v>
      </c>
      <c r="G1428" s="1"/>
    </row>
    <row r="1429">
      <c r="A1429" s="1" t="s">
        <v>4873</v>
      </c>
      <c r="B1429" s="1" t="s">
        <v>142</v>
      </c>
      <c r="C1429" s="1" t="s">
        <v>142</v>
      </c>
      <c r="D1429" s="1" t="s">
        <v>4874</v>
      </c>
      <c r="E1429" s="1" t="s">
        <v>144</v>
      </c>
      <c r="F1429" s="1" t="s">
        <v>142</v>
      </c>
      <c r="G1429" s="1"/>
    </row>
    <row r="1430">
      <c r="A1430" s="1" t="s">
        <v>4875</v>
      </c>
      <c r="B1430" s="1" t="s">
        <v>142</v>
      </c>
      <c r="C1430" s="1" t="s">
        <v>142</v>
      </c>
      <c r="D1430" s="1" t="s">
        <v>4876</v>
      </c>
      <c r="E1430" s="1" t="s">
        <v>144</v>
      </c>
      <c r="F1430" s="1" t="s">
        <v>142</v>
      </c>
      <c r="G1430" s="1"/>
    </row>
    <row r="1431">
      <c r="A1431" s="1" t="s">
        <v>4877</v>
      </c>
      <c r="B1431" s="1" t="s">
        <v>142</v>
      </c>
      <c r="C1431" s="1" t="s">
        <v>142</v>
      </c>
      <c r="D1431" s="1" t="s">
        <v>4878</v>
      </c>
      <c r="E1431" s="1" t="s">
        <v>144</v>
      </c>
      <c r="F1431" s="1" t="s">
        <v>142</v>
      </c>
      <c r="G1431" s="1"/>
    </row>
    <row r="1432">
      <c r="A1432" s="1" t="s">
        <v>4879</v>
      </c>
      <c r="B1432" s="1" t="s">
        <v>142</v>
      </c>
      <c r="C1432" s="1" t="s">
        <v>142</v>
      </c>
      <c r="D1432" s="1" t="s">
        <v>4880</v>
      </c>
      <c r="E1432" s="1" t="s">
        <v>144</v>
      </c>
      <c r="F1432" s="1" t="s">
        <v>142</v>
      </c>
      <c r="G1432" s="1"/>
    </row>
    <row r="1433">
      <c r="A1433" s="1" t="s">
        <v>4881</v>
      </c>
      <c r="B1433" s="1" t="s">
        <v>142</v>
      </c>
      <c r="C1433" s="1" t="s">
        <v>142</v>
      </c>
      <c r="D1433" s="1" t="s">
        <v>4882</v>
      </c>
      <c r="E1433" s="1" t="s">
        <v>144</v>
      </c>
      <c r="F1433" s="1" t="s">
        <v>142</v>
      </c>
      <c r="G1433" s="1"/>
    </row>
    <row r="1434">
      <c r="A1434" s="1" t="s">
        <v>4883</v>
      </c>
      <c r="B1434" s="1" t="s">
        <v>142</v>
      </c>
      <c r="C1434" s="1" t="s">
        <v>142</v>
      </c>
      <c r="D1434" s="1" t="s">
        <v>4884</v>
      </c>
      <c r="E1434" s="1" t="s">
        <v>144</v>
      </c>
      <c r="F1434" s="1" t="s">
        <v>142</v>
      </c>
      <c r="G1434" s="1"/>
    </row>
    <row r="1435">
      <c r="A1435" s="1" t="s">
        <v>4885</v>
      </c>
      <c r="B1435" s="1" t="s">
        <v>142</v>
      </c>
      <c r="C1435" s="1" t="s">
        <v>142</v>
      </c>
      <c r="D1435" s="1" t="s">
        <v>4886</v>
      </c>
      <c r="E1435" s="1" t="s">
        <v>144</v>
      </c>
      <c r="F1435" s="1" t="s">
        <v>142</v>
      </c>
      <c r="G1435" s="1"/>
    </row>
    <row r="1436">
      <c r="A1436" s="1" t="s">
        <v>4887</v>
      </c>
      <c r="B1436" s="1" t="s">
        <v>142</v>
      </c>
      <c r="C1436" s="1" t="s">
        <v>142</v>
      </c>
      <c r="D1436" s="1" t="s">
        <v>4888</v>
      </c>
      <c r="E1436" s="1" t="s">
        <v>144</v>
      </c>
      <c r="F1436" s="1" t="s">
        <v>142</v>
      </c>
      <c r="G1436" s="1"/>
    </row>
    <row r="1437">
      <c r="A1437" s="1" t="s">
        <v>4889</v>
      </c>
      <c r="B1437" s="1" t="s">
        <v>142</v>
      </c>
      <c r="C1437" s="1" t="s">
        <v>142</v>
      </c>
      <c r="D1437" s="1" t="s">
        <v>4890</v>
      </c>
      <c r="E1437" s="1" t="s">
        <v>144</v>
      </c>
      <c r="F1437" s="1" t="s">
        <v>142</v>
      </c>
      <c r="G1437" s="1"/>
    </row>
    <row r="1438">
      <c r="A1438" s="1" t="s">
        <v>4891</v>
      </c>
      <c r="B1438" s="1" t="s">
        <v>142</v>
      </c>
      <c r="C1438" s="1" t="s">
        <v>142</v>
      </c>
      <c r="D1438" s="1" t="s">
        <v>4892</v>
      </c>
      <c r="E1438" s="1" t="s">
        <v>144</v>
      </c>
      <c r="F1438" s="1" t="s">
        <v>142</v>
      </c>
      <c r="G1438" s="1"/>
    </row>
    <row r="1439">
      <c r="A1439" s="1" t="s">
        <v>4893</v>
      </c>
      <c r="B1439" s="1" t="s">
        <v>142</v>
      </c>
      <c r="C1439" s="1" t="s">
        <v>142</v>
      </c>
      <c r="D1439" s="1" t="s">
        <v>4894</v>
      </c>
      <c r="E1439" s="1" t="s">
        <v>144</v>
      </c>
      <c r="F1439" s="1" t="s">
        <v>142</v>
      </c>
      <c r="G1439" s="1"/>
    </row>
    <row r="1440">
      <c r="A1440" s="1" t="s">
        <v>4895</v>
      </c>
      <c r="B1440" s="1" t="s">
        <v>142</v>
      </c>
      <c r="C1440" s="1" t="s">
        <v>142</v>
      </c>
      <c r="D1440" s="1" t="s">
        <v>4896</v>
      </c>
      <c r="E1440" s="1" t="s">
        <v>144</v>
      </c>
      <c r="F1440" s="1" t="s">
        <v>142</v>
      </c>
      <c r="G1440" s="1"/>
    </row>
    <row r="1441">
      <c r="A1441" s="1" t="s">
        <v>4898</v>
      </c>
      <c r="B1441" s="1" t="s">
        <v>142</v>
      </c>
      <c r="C1441" s="1" t="s">
        <v>142</v>
      </c>
      <c r="D1441" s="1" t="s">
        <v>4899</v>
      </c>
      <c r="E1441" s="1" t="s">
        <v>144</v>
      </c>
      <c r="F1441" s="1" t="s">
        <v>142</v>
      </c>
      <c r="G1441" s="1"/>
    </row>
    <row r="1442">
      <c r="A1442" s="1" t="s">
        <v>4900</v>
      </c>
      <c r="B1442" s="1" t="s">
        <v>142</v>
      </c>
      <c r="C1442" s="1" t="s">
        <v>142</v>
      </c>
      <c r="D1442" s="1" t="s">
        <v>4901</v>
      </c>
      <c r="E1442" s="1" t="s">
        <v>144</v>
      </c>
      <c r="F1442" s="1" t="s">
        <v>142</v>
      </c>
      <c r="G1442" s="1"/>
    </row>
    <row r="1443">
      <c r="A1443" s="1" t="s">
        <v>4902</v>
      </c>
      <c r="B1443" s="1" t="s">
        <v>142</v>
      </c>
      <c r="C1443" s="1" t="s">
        <v>142</v>
      </c>
      <c r="D1443" s="1" t="s">
        <v>4903</v>
      </c>
      <c r="E1443" s="1" t="s">
        <v>144</v>
      </c>
      <c r="F1443" s="1" t="s">
        <v>142</v>
      </c>
      <c r="G1443" s="1"/>
    </row>
    <row r="1444">
      <c r="A1444" s="1" t="s">
        <v>4904</v>
      </c>
      <c r="B1444" s="1" t="s">
        <v>142</v>
      </c>
      <c r="C1444" s="1" t="s">
        <v>142</v>
      </c>
      <c r="D1444" s="1" t="s">
        <v>4905</v>
      </c>
      <c r="E1444" s="1" t="s">
        <v>144</v>
      </c>
      <c r="F1444" s="1" t="s">
        <v>142</v>
      </c>
      <c r="G1444" s="1"/>
    </row>
    <row r="1445">
      <c r="A1445" s="1" t="s">
        <v>4907</v>
      </c>
      <c r="B1445" s="1" t="s">
        <v>142</v>
      </c>
      <c r="C1445" s="1" t="s">
        <v>142</v>
      </c>
      <c r="D1445" s="1" t="s">
        <v>4908</v>
      </c>
      <c r="E1445" s="1" t="s">
        <v>144</v>
      </c>
      <c r="F1445" s="1" t="s">
        <v>142</v>
      </c>
      <c r="G1445" s="1"/>
    </row>
    <row r="1446">
      <c r="A1446" s="1" t="s">
        <v>4909</v>
      </c>
      <c r="B1446" s="1" t="s">
        <v>142</v>
      </c>
      <c r="C1446" s="1" t="s">
        <v>142</v>
      </c>
      <c r="D1446" s="1" t="s">
        <v>4910</v>
      </c>
      <c r="E1446" s="1" t="s">
        <v>144</v>
      </c>
      <c r="F1446" s="1" t="s">
        <v>142</v>
      </c>
      <c r="G1446" s="1"/>
    </row>
    <row r="1447">
      <c r="A1447" s="1" t="s">
        <v>4912</v>
      </c>
      <c r="B1447" s="1" t="s">
        <v>142</v>
      </c>
      <c r="C1447" s="1" t="s">
        <v>142</v>
      </c>
      <c r="D1447" s="1" t="s">
        <v>4913</v>
      </c>
      <c r="E1447" s="1" t="s">
        <v>144</v>
      </c>
      <c r="F1447" s="1" t="s">
        <v>142</v>
      </c>
      <c r="G1447" s="1"/>
    </row>
    <row r="1448">
      <c r="A1448" s="1" t="s">
        <v>4914</v>
      </c>
      <c r="B1448" s="1" t="s">
        <v>142</v>
      </c>
      <c r="C1448" s="1" t="s">
        <v>142</v>
      </c>
      <c r="D1448" s="1" t="s">
        <v>4915</v>
      </c>
      <c r="E1448" s="1" t="s">
        <v>144</v>
      </c>
      <c r="F1448" s="1" t="s">
        <v>142</v>
      </c>
      <c r="G1448" s="1"/>
    </row>
    <row r="1449">
      <c r="A1449" s="1" t="s">
        <v>4916</v>
      </c>
      <c r="B1449" s="1" t="s">
        <v>142</v>
      </c>
      <c r="C1449" s="1" t="s">
        <v>142</v>
      </c>
      <c r="D1449" s="1" t="s">
        <v>4917</v>
      </c>
      <c r="E1449" s="1" t="s">
        <v>144</v>
      </c>
      <c r="F1449" s="1" t="s">
        <v>142</v>
      </c>
      <c r="G1449" s="1"/>
    </row>
    <row r="1450">
      <c r="A1450" s="1" t="s">
        <v>4918</v>
      </c>
      <c r="B1450" s="1" t="s">
        <v>142</v>
      </c>
      <c r="C1450" s="1" t="s">
        <v>142</v>
      </c>
      <c r="D1450" s="1" t="s">
        <v>4919</v>
      </c>
      <c r="E1450" s="1" t="s">
        <v>144</v>
      </c>
      <c r="F1450" s="1" t="s">
        <v>142</v>
      </c>
      <c r="G1450" s="1"/>
    </row>
    <row r="1451">
      <c r="A1451" s="1" t="s">
        <v>4920</v>
      </c>
      <c r="B1451" s="1" t="s">
        <v>142</v>
      </c>
      <c r="C1451" s="1" t="s">
        <v>142</v>
      </c>
      <c r="D1451" s="1" t="s">
        <v>4921</v>
      </c>
      <c r="E1451" s="1" t="s">
        <v>144</v>
      </c>
      <c r="F1451" s="1" t="s">
        <v>142</v>
      </c>
      <c r="G1451" s="1"/>
    </row>
    <row r="1452">
      <c r="A1452" s="1" t="s">
        <v>4922</v>
      </c>
      <c r="B1452" s="1" t="s">
        <v>142</v>
      </c>
      <c r="C1452" s="1" t="s">
        <v>142</v>
      </c>
      <c r="D1452" s="1" t="s">
        <v>4958</v>
      </c>
      <c r="E1452" s="1" t="s">
        <v>144</v>
      </c>
      <c r="F1452" s="1" t="s">
        <v>142</v>
      </c>
      <c r="G1452" s="1"/>
    </row>
    <row r="1453">
      <c r="A1453" s="1" t="s">
        <v>4959</v>
      </c>
      <c r="B1453" s="1" t="s">
        <v>142</v>
      </c>
      <c r="C1453" s="1" t="s">
        <v>142</v>
      </c>
      <c r="D1453" s="1" t="s">
        <v>4960</v>
      </c>
      <c r="E1453" s="1" t="s">
        <v>144</v>
      </c>
      <c r="F1453" s="1" t="s">
        <v>142</v>
      </c>
      <c r="G1453" s="1"/>
    </row>
    <row r="1454">
      <c r="A1454" s="1" t="s">
        <v>4961</v>
      </c>
      <c r="B1454" s="1" t="s">
        <v>142</v>
      </c>
      <c r="C1454" s="1" t="s">
        <v>142</v>
      </c>
      <c r="D1454" s="1" t="s">
        <v>4962</v>
      </c>
      <c r="E1454" s="1" t="s">
        <v>144</v>
      </c>
      <c r="F1454" s="1" t="s">
        <v>142</v>
      </c>
      <c r="G1454" s="1"/>
    </row>
    <row r="1455">
      <c r="A1455" s="1" t="s">
        <v>4963</v>
      </c>
      <c r="B1455" s="1" t="s">
        <v>142</v>
      </c>
      <c r="C1455" s="1" t="s">
        <v>142</v>
      </c>
      <c r="D1455" s="1" t="s">
        <v>4964</v>
      </c>
      <c r="E1455" s="1" t="s">
        <v>144</v>
      </c>
      <c r="F1455" s="1" t="s">
        <v>142</v>
      </c>
      <c r="G1455" s="1"/>
    </row>
    <row r="1456">
      <c r="A1456" s="1" t="s">
        <v>4965</v>
      </c>
      <c r="B1456" s="1" t="s">
        <v>142</v>
      </c>
      <c r="C1456" s="1" t="s">
        <v>142</v>
      </c>
      <c r="D1456" s="1" t="s">
        <v>4966</v>
      </c>
      <c r="E1456" s="1" t="s">
        <v>144</v>
      </c>
      <c r="F1456" s="1" t="s">
        <v>142</v>
      </c>
      <c r="G1456" s="1"/>
    </row>
    <row r="1457">
      <c r="A1457" s="1" t="s">
        <v>4967</v>
      </c>
      <c r="B1457" s="1" t="s">
        <v>142</v>
      </c>
      <c r="C1457" s="1" t="s">
        <v>142</v>
      </c>
      <c r="D1457" s="1" t="s">
        <v>4968</v>
      </c>
      <c r="E1457" s="1" t="s">
        <v>144</v>
      </c>
      <c r="F1457" s="1" t="s">
        <v>142</v>
      </c>
      <c r="G1457" s="1"/>
    </row>
    <row r="1458">
      <c r="A1458" s="1" t="s">
        <v>4969</v>
      </c>
      <c r="B1458" s="1" t="s">
        <v>142</v>
      </c>
      <c r="C1458" s="1" t="s">
        <v>142</v>
      </c>
      <c r="D1458" s="1" t="s">
        <v>4970</v>
      </c>
      <c r="E1458" s="1" t="s">
        <v>144</v>
      </c>
      <c r="F1458" s="1" t="s">
        <v>142</v>
      </c>
      <c r="G1458" s="1"/>
    </row>
    <row r="1459">
      <c r="A1459" s="1" t="s">
        <v>4971</v>
      </c>
      <c r="B1459" s="1" t="s">
        <v>142</v>
      </c>
      <c r="C1459" s="1" t="s">
        <v>142</v>
      </c>
      <c r="D1459" s="1" t="s">
        <v>4972</v>
      </c>
      <c r="E1459" s="1" t="s">
        <v>144</v>
      </c>
      <c r="F1459" s="1" t="s">
        <v>142</v>
      </c>
      <c r="G1459" s="1"/>
    </row>
    <row r="1460">
      <c r="A1460" s="1" t="s">
        <v>4973</v>
      </c>
      <c r="B1460" s="1" t="s">
        <v>142</v>
      </c>
      <c r="C1460" s="1" t="s">
        <v>142</v>
      </c>
      <c r="D1460" s="1" t="s">
        <v>4974</v>
      </c>
      <c r="E1460" s="1" t="s">
        <v>144</v>
      </c>
      <c r="F1460" s="1" t="s">
        <v>142</v>
      </c>
      <c r="G1460" s="1"/>
    </row>
    <row r="1461">
      <c r="A1461" s="1" t="s">
        <v>4975</v>
      </c>
      <c r="B1461" s="1" t="s">
        <v>142</v>
      </c>
      <c r="C1461" s="1" t="s">
        <v>142</v>
      </c>
      <c r="D1461" s="1" t="s">
        <v>4976</v>
      </c>
      <c r="E1461" s="1" t="s">
        <v>144</v>
      </c>
      <c r="F1461" s="1" t="s">
        <v>142</v>
      </c>
      <c r="G1461" s="1"/>
    </row>
    <row r="1462">
      <c r="A1462" s="1" t="s">
        <v>4977</v>
      </c>
      <c r="B1462" s="1" t="s">
        <v>142</v>
      </c>
      <c r="C1462" s="1" t="s">
        <v>142</v>
      </c>
      <c r="D1462" s="1" t="s">
        <v>4978</v>
      </c>
      <c r="E1462" s="1" t="s">
        <v>144</v>
      </c>
      <c r="F1462" s="1" t="s">
        <v>142</v>
      </c>
      <c r="G1462" s="1"/>
    </row>
    <row r="1463">
      <c r="A1463" s="1" t="s">
        <v>4979</v>
      </c>
      <c r="B1463" s="1" t="s">
        <v>142</v>
      </c>
      <c r="C1463" s="1" t="s">
        <v>142</v>
      </c>
      <c r="D1463" s="1" t="s">
        <v>4980</v>
      </c>
      <c r="E1463" s="1" t="s">
        <v>144</v>
      </c>
      <c r="F1463" s="1" t="s">
        <v>142</v>
      </c>
      <c r="G1463" s="1"/>
    </row>
    <row r="1464">
      <c r="A1464" s="1" t="s">
        <v>4981</v>
      </c>
      <c r="B1464" s="1" t="s">
        <v>142</v>
      </c>
      <c r="C1464" s="1" t="s">
        <v>142</v>
      </c>
      <c r="D1464" s="1" t="s">
        <v>4982</v>
      </c>
      <c r="E1464" s="1" t="s">
        <v>144</v>
      </c>
      <c r="F1464" s="1" t="s">
        <v>142</v>
      </c>
      <c r="G1464" s="1"/>
    </row>
    <row r="1465">
      <c r="A1465" s="1" t="s">
        <v>4983</v>
      </c>
      <c r="B1465" s="1" t="s">
        <v>142</v>
      </c>
      <c r="C1465" s="1" t="s">
        <v>142</v>
      </c>
      <c r="D1465" s="1" t="s">
        <v>4984</v>
      </c>
      <c r="E1465" s="1" t="s">
        <v>144</v>
      </c>
      <c r="F1465" s="1" t="s">
        <v>142</v>
      </c>
      <c r="G1465" s="1"/>
    </row>
    <row r="1466">
      <c r="A1466" s="1" t="s">
        <v>4985</v>
      </c>
      <c r="B1466" s="1" t="s">
        <v>142</v>
      </c>
      <c r="C1466" s="1" t="s">
        <v>142</v>
      </c>
      <c r="D1466" s="1" t="s">
        <v>4986</v>
      </c>
      <c r="E1466" s="1" t="s">
        <v>144</v>
      </c>
      <c r="F1466" s="1" t="s">
        <v>142</v>
      </c>
      <c r="G1466" s="1"/>
    </row>
    <row r="1467">
      <c r="A1467" s="1" t="s">
        <v>4988</v>
      </c>
      <c r="B1467" s="1" t="s">
        <v>142</v>
      </c>
      <c r="C1467" s="1" t="s">
        <v>142</v>
      </c>
      <c r="D1467" s="1" t="s">
        <v>4989</v>
      </c>
      <c r="E1467" s="1" t="s">
        <v>144</v>
      </c>
      <c r="F1467" s="1" t="s">
        <v>142</v>
      </c>
      <c r="G1467" s="1"/>
    </row>
    <row r="1468">
      <c r="A1468" s="1" t="s">
        <v>4990</v>
      </c>
      <c r="B1468" s="1" t="s">
        <v>142</v>
      </c>
      <c r="C1468" s="1" t="s">
        <v>142</v>
      </c>
      <c r="D1468" s="1" t="s">
        <v>4991</v>
      </c>
      <c r="E1468" s="1" t="s">
        <v>144</v>
      </c>
      <c r="F1468" s="1" t="s">
        <v>142</v>
      </c>
      <c r="G1468" s="1"/>
    </row>
    <row r="1469">
      <c r="A1469" s="1" t="s">
        <v>4992</v>
      </c>
      <c r="B1469" s="1" t="s">
        <v>142</v>
      </c>
      <c r="C1469" s="1" t="s">
        <v>142</v>
      </c>
      <c r="D1469" s="1" t="s">
        <v>4993</v>
      </c>
      <c r="E1469" s="1" t="s">
        <v>144</v>
      </c>
      <c r="F1469" s="1" t="s">
        <v>142</v>
      </c>
      <c r="G1469" s="1"/>
    </row>
    <row r="1470">
      <c r="A1470" s="1" t="s">
        <v>4994</v>
      </c>
      <c r="B1470" s="1" t="s">
        <v>142</v>
      </c>
      <c r="C1470" s="1" t="s">
        <v>142</v>
      </c>
      <c r="D1470" s="1" t="s">
        <v>4995</v>
      </c>
      <c r="E1470" s="1" t="s">
        <v>144</v>
      </c>
      <c r="F1470" s="1" t="s">
        <v>142</v>
      </c>
      <c r="G1470" s="1"/>
    </row>
    <row r="1471">
      <c r="A1471" s="1" t="s">
        <v>4997</v>
      </c>
      <c r="B1471" s="1" t="s">
        <v>142</v>
      </c>
      <c r="C1471" s="1" t="s">
        <v>142</v>
      </c>
      <c r="D1471" s="1" t="s">
        <v>4998</v>
      </c>
      <c r="E1471" s="1" t="s">
        <v>144</v>
      </c>
      <c r="F1471" s="1" t="s">
        <v>142</v>
      </c>
      <c r="G1471" s="1"/>
    </row>
    <row r="1472">
      <c r="A1472" s="1" t="s">
        <v>4999</v>
      </c>
      <c r="B1472" s="1" t="s">
        <v>142</v>
      </c>
      <c r="C1472" s="1" t="s">
        <v>142</v>
      </c>
      <c r="D1472" s="1" t="s">
        <v>5000</v>
      </c>
      <c r="E1472" s="1" t="s">
        <v>144</v>
      </c>
      <c r="F1472" s="1" t="s">
        <v>142</v>
      </c>
      <c r="G1472" s="1"/>
    </row>
    <row r="1473">
      <c r="A1473" s="1" t="s">
        <v>5002</v>
      </c>
      <c r="B1473" s="1" t="s">
        <v>142</v>
      </c>
      <c r="C1473" s="1" t="s">
        <v>142</v>
      </c>
      <c r="D1473" s="1" t="s">
        <v>5003</v>
      </c>
      <c r="E1473" s="1" t="s">
        <v>144</v>
      </c>
      <c r="F1473" s="1" t="s">
        <v>142</v>
      </c>
      <c r="G1473" s="1"/>
    </row>
    <row r="1474">
      <c r="A1474" s="1" t="s">
        <v>5004</v>
      </c>
      <c r="B1474" s="1" t="s">
        <v>142</v>
      </c>
      <c r="C1474" s="1" t="s">
        <v>142</v>
      </c>
      <c r="D1474" s="1" t="s">
        <v>5005</v>
      </c>
      <c r="E1474" s="1" t="s">
        <v>144</v>
      </c>
      <c r="F1474" s="1" t="s">
        <v>142</v>
      </c>
      <c r="G1474" s="1"/>
    </row>
    <row r="1475">
      <c r="A1475" s="1" t="s">
        <v>5007</v>
      </c>
      <c r="B1475" s="1" t="s">
        <v>142</v>
      </c>
      <c r="C1475" s="1" t="s">
        <v>142</v>
      </c>
      <c r="D1475" s="1" t="s">
        <v>5008</v>
      </c>
      <c r="E1475" s="1" t="s">
        <v>144</v>
      </c>
      <c r="F1475" s="1" t="s">
        <v>142</v>
      </c>
      <c r="G1475" s="1"/>
    </row>
    <row r="1476">
      <c r="A1476" s="1" t="s">
        <v>5009</v>
      </c>
      <c r="B1476" s="1" t="s">
        <v>142</v>
      </c>
      <c r="C1476" s="1" t="s">
        <v>142</v>
      </c>
      <c r="D1476" s="1" t="s">
        <v>5011</v>
      </c>
      <c r="E1476" s="1" t="s">
        <v>144</v>
      </c>
      <c r="F1476" s="1" t="s">
        <v>142</v>
      </c>
      <c r="G1476" s="1"/>
    </row>
    <row r="1477">
      <c r="A1477" s="1" t="s">
        <v>5012</v>
      </c>
      <c r="B1477" s="1" t="s">
        <v>142</v>
      </c>
      <c r="C1477" s="1" t="s">
        <v>142</v>
      </c>
      <c r="D1477" s="1" t="s">
        <v>5013</v>
      </c>
      <c r="E1477" s="1" t="s">
        <v>144</v>
      </c>
      <c r="F1477" s="1" t="s">
        <v>142</v>
      </c>
      <c r="G1477" s="1"/>
    </row>
    <row r="1478">
      <c r="A1478" s="1" t="s">
        <v>5014</v>
      </c>
      <c r="B1478" s="1" t="s">
        <v>142</v>
      </c>
      <c r="C1478" s="1" t="s">
        <v>142</v>
      </c>
      <c r="D1478" s="1" t="s">
        <v>5016</v>
      </c>
      <c r="E1478" s="1" t="s">
        <v>144</v>
      </c>
      <c r="F1478" s="1" t="s">
        <v>142</v>
      </c>
      <c r="G1478" s="1"/>
    </row>
    <row r="1479">
      <c r="A1479" s="1" t="s">
        <v>5017</v>
      </c>
      <c r="B1479" s="1" t="s">
        <v>142</v>
      </c>
      <c r="C1479" s="1" t="s">
        <v>142</v>
      </c>
      <c r="D1479" s="1" t="s">
        <v>5018</v>
      </c>
      <c r="E1479" s="1" t="s">
        <v>144</v>
      </c>
      <c r="F1479" s="1" t="s">
        <v>142</v>
      </c>
      <c r="G1479" s="1"/>
    </row>
    <row r="1480">
      <c r="A1480" s="1" t="s">
        <v>5019</v>
      </c>
      <c r="B1480" s="1" t="s">
        <v>142</v>
      </c>
      <c r="C1480" s="1" t="s">
        <v>142</v>
      </c>
      <c r="D1480" s="1" t="s">
        <v>5021</v>
      </c>
      <c r="E1480" s="1" t="s">
        <v>144</v>
      </c>
      <c r="F1480" s="1" t="s">
        <v>142</v>
      </c>
      <c r="G1480" s="1"/>
    </row>
    <row r="1481">
      <c r="A1481" s="1" t="s">
        <v>5022</v>
      </c>
      <c r="B1481" s="1" t="s">
        <v>142</v>
      </c>
      <c r="C1481" s="1" t="s">
        <v>142</v>
      </c>
      <c r="D1481" s="1" t="s">
        <v>5024</v>
      </c>
      <c r="E1481" s="1" t="s">
        <v>144</v>
      </c>
      <c r="F1481" s="1" t="s">
        <v>142</v>
      </c>
      <c r="G1481" s="1"/>
    </row>
    <row r="1482">
      <c r="A1482" s="1" t="s">
        <v>5025</v>
      </c>
      <c r="B1482" s="1" t="s">
        <v>142</v>
      </c>
      <c r="C1482" s="1" t="s">
        <v>142</v>
      </c>
      <c r="D1482" s="1" t="s">
        <v>5026</v>
      </c>
      <c r="E1482" s="1" t="s">
        <v>144</v>
      </c>
      <c r="F1482" s="1" t="s">
        <v>142</v>
      </c>
      <c r="G1482" s="1"/>
    </row>
    <row r="1483">
      <c r="A1483" s="1" t="s">
        <v>5027</v>
      </c>
      <c r="B1483" s="1" t="s">
        <v>142</v>
      </c>
      <c r="C1483" s="1" t="s">
        <v>142</v>
      </c>
      <c r="D1483" s="1" t="s">
        <v>5029</v>
      </c>
      <c r="E1483" s="1" t="s">
        <v>144</v>
      </c>
      <c r="F1483" s="1" t="s">
        <v>142</v>
      </c>
      <c r="G1483" s="1"/>
    </row>
    <row r="1484">
      <c r="A1484" s="1" t="s">
        <v>5030</v>
      </c>
      <c r="B1484" s="1" t="s">
        <v>142</v>
      </c>
      <c r="C1484" s="1" t="s">
        <v>142</v>
      </c>
      <c r="D1484" s="1" t="s">
        <v>5031</v>
      </c>
      <c r="E1484" s="1" t="s">
        <v>144</v>
      </c>
      <c r="F1484" s="1" t="s">
        <v>142</v>
      </c>
      <c r="G1484" s="1"/>
    </row>
    <row r="1485">
      <c r="A1485" s="1" t="s">
        <v>5032</v>
      </c>
      <c r="B1485" s="1" t="s">
        <v>142</v>
      </c>
      <c r="C1485" s="1" t="s">
        <v>142</v>
      </c>
      <c r="D1485" s="1" t="s">
        <v>5034</v>
      </c>
      <c r="E1485" s="1" t="s">
        <v>144</v>
      </c>
      <c r="F1485" s="1" t="s">
        <v>142</v>
      </c>
      <c r="G1485" s="1"/>
    </row>
    <row r="1486">
      <c r="A1486" s="1" t="s">
        <v>5035</v>
      </c>
      <c r="B1486" s="1" t="s">
        <v>142</v>
      </c>
      <c r="C1486" s="1" t="s">
        <v>142</v>
      </c>
      <c r="D1486" s="1" t="s">
        <v>5036</v>
      </c>
      <c r="E1486" s="1" t="s">
        <v>144</v>
      </c>
      <c r="F1486" s="1" t="s">
        <v>142</v>
      </c>
      <c r="G1486" s="1"/>
    </row>
    <row r="1487">
      <c r="A1487" s="1" t="s">
        <v>5037</v>
      </c>
      <c r="B1487" s="1" t="s">
        <v>142</v>
      </c>
      <c r="C1487" s="1" t="s">
        <v>142</v>
      </c>
      <c r="D1487" s="1" t="s">
        <v>5039</v>
      </c>
      <c r="E1487" s="1" t="s">
        <v>144</v>
      </c>
      <c r="F1487" s="1" t="s">
        <v>142</v>
      </c>
      <c r="G1487" s="1"/>
    </row>
    <row r="1488">
      <c r="A1488" s="1" t="s">
        <v>5040</v>
      </c>
      <c r="B1488" s="1" t="s">
        <v>142</v>
      </c>
      <c r="C1488" s="1" t="s">
        <v>142</v>
      </c>
      <c r="D1488" s="1" t="s">
        <v>5041</v>
      </c>
      <c r="E1488" s="1" t="s">
        <v>144</v>
      </c>
      <c r="F1488" s="1" t="s">
        <v>142</v>
      </c>
      <c r="G1488" s="1"/>
    </row>
    <row r="1489">
      <c r="A1489" s="1" t="s">
        <v>5043</v>
      </c>
      <c r="B1489" s="1" t="s">
        <v>142</v>
      </c>
      <c r="C1489" s="1" t="s">
        <v>142</v>
      </c>
      <c r="D1489" s="1" t="s">
        <v>5044</v>
      </c>
      <c r="E1489" s="1" t="s">
        <v>144</v>
      </c>
      <c r="F1489" s="1" t="s">
        <v>142</v>
      </c>
      <c r="G1489" s="1"/>
    </row>
    <row r="1490">
      <c r="A1490" s="1" t="s">
        <v>5045</v>
      </c>
      <c r="B1490" s="1" t="s">
        <v>142</v>
      </c>
      <c r="C1490" s="1" t="s">
        <v>142</v>
      </c>
      <c r="D1490" s="1" t="s">
        <v>5046</v>
      </c>
      <c r="E1490" s="1" t="s">
        <v>144</v>
      </c>
      <c r="F1490" s="1" t="s">
        <v>142</v>
      </c>
      <c r="G1490" s="1"/>
    </row>
    <row r="1491">
      <c r="A1491" s="1" t="s">
        <v>5047</v>
      </c>
      <c r="B1491" s="1" t="s">
        <v>142</v>
      </c>
      <c r="C1491" s="1" t="s">
        <v>142</v>
      </c>
      <c r="D1491" s="1" t="s">
        <v>5048</v>
      </c>
      <c r="E1491" s="1" t="s">
        <v>144</v>
      </c>
      <c r="F1491" s="1" t="s">
        <v>142</v>
      </c>
      <c r="G1491" s="1"/>
    </row>
    <row r="1492">
      <c r="A1492" s="1" t="s">
        <v>5049</v>
      </c>
      <c r="B1492" s="1" t="s">
        <v>142</v>
      </c>
      <c r="C1492" s="1" t="s">
        <v>142</v>
      </c>
      <c r="D1492" s="1" t="s">
        <v>5050</v>
      </c>
      <c r="E1492" s="1" t="s">
        <v>144</v>
      </c>
      <c r="F1492" s="1" t="s">
        <v>142</v>
      </c>
      <c r="G1492" s="1"/>
    </row>
    <row r="1493">
      <c r="A1493" s="1" t="s">
        <v>5051</v>
      </c>
      <c r="B1493" s="1" t="s">
        <v>142</v>
      </c>
      <c r="C1493" s="1" t="s">
        <v>142</v>
      </c>
      <c r="D1493" s="1" t="s">
        <v>5052</v>
      </c>
      <c r="E1493" s="1" t="s">
        <v>144</v>
      </c>
      <c r="F1493" s="1" t="s">
        <v>142</v>
      </c>
      <c r="G1493" s="1"/>
    </row>
    <row r="1494">
      <c r="A1494" s="1" t="s">
        <v>5053</v>
      </c>
      <c r="B1494" s="1" t="s">
        <v>142</v>
      </c>
      <c r="C1494" s="1" t="s">
        <v>142</v>
      </c>
      <c r="D1494" s="1" t="s">
        <v>5054</v>
      </c>
      <c r="E1494" s="1" t="s">
        <v>144</v>
      </c>
      <c r="F1494" s="1" t="s">
        <v>142</v>
      </c>
      <c r="G1494" s="1"/>
    </row>
    <row r="1495">
      <c r="A1495" s="1" t="s">
        <v>5055</v>
      </c>
      <c r="B1495" s="1" t="s">
        <v>142</v>
      </c>
      <c r="C1495" s="1" t="s">
        <v>142</v>
      </c>
      <c r="D1495" s="1" t="s">
        <v>5056</v>
      </c>
      <c r="E1495" s="1" t="s">
        <v>144</v>
      </c>
      <c r="F1495" s="1" t="s">
        <v>142</v>
      </c>
      <c r="G1495" s="1"/>
    </row>
    <row r="1496">
      <c r="A1496" s="1" t="s">
        <v>5057</v>
      </c>
      <c r="B1496" s="1" t="s">
        <v>5058</v>
      </c>
      <c r="C1496" s="1" t="s">
        <v>5059</v>
      </c>
      <c r="D1496" s="1" t="s">
        <v>5060</v>
      </c>
      <c r="E1496" s="1" t="s">
        <v>144</v>
      </c>
      <c r="F1496" s="1" t="s">
        <v>142</v>
      </c>
      <c r="G1496" s="1"/>
    </row>
    <row r="1497">
      <c r="A1497" s="1" t="s">
        <v>5061</v>
      </c>
      <c r="B1497" s="1" t="s">
        <v>142</v>
      </c>
      <c r="C1497" s="1" t="s">
        <v>142</v>
      </c>
      <c r="D1497" s="1" t="s">
        <v>5062</v>
      </c>
      <c r="E1497" s="1" t="s">
        <v>144</v>
      </c>
      <c r="F1497" s="1" t="s">
        <v>142</v>
      </c>
      <c r="G1497" s="1"/>
    </row>
    <row r="1498">
      <c r="A1498" s="1" t="s">
        <v>5063</v>
      </c>
      <c r="B1498" s="1" t="s">
        <v>142</v>
      </c>
      <c r="C1498" s="1" t="s">
        <v>142</v>
      </c>
      <c r="D1498" s="1" t="s">
        <v>5064</v>
      </c>
      <c r="E1498" s="1" t="s">
        <v>144</v>
      </c>
      <c r="F1498" s="1" t="s">
        <v>142</v>
      </c>
      <c r="G1498" s="1"/>
    </row>
    <row r="1499">
      <c r="A1499" s="1" t="s">
        <v>5065</v>
      </c>
      <c r="B1499" s="1" t="s">
        <v>142</v>
      </c>
      <c r="C1499" s="1" t="s">
        <v>142</v>
      </c>
      <c r="D1499" s="1" t="s">
        <v>5066</v>
      </c>
      <c r="E1499" s="1" t="s">
        <v>144</v>
      </c>
      <c r="F1499" s="1" t="s">
        <v>142</v>
      </c>
      <c r="G1499" s="1"/>
    </row>
    <row r="1500">
      <c r="A1500" s="1" t="s">
        <v>5067</v>
      </c>
      <c r="B1500" s="1" t="s">
        <v>142</v>
      </c>
      <c r="C1500" s="1" t="s">
        <v>142</v>
      </c>
      <c r="D1500" s="1" t="s">
        <v>5068</v>
      </c>
      <c r="E1500" s="1" t="s">
        <v>144</v>
      </c>
      <c r="F1500" s="1" t="s">
        <v>142</v>
      </c>
      <c r="G1500" s="1"/>
    </row>
    <row r="1501">
      <c r="A1501" s="1" t="s">
        <v>5069</v>
      </c>
      <c r="B1501" s="1" t="s">
        <v>142</v>
      </c>
      <c r="C1501" s="1" t="s">
        <v>142</v>
      </c>
      <c r="D1501" s="1" t="s">
        <v>5070</v>
      </c>
      <c r="E1501" s="1" t="s">
        <v>144</v>
      </c>
      <c r="F1501" s="1" t="s">
        <v>142</v>
      </c>
      <c r="G1501" s="1"/>
    </row>
    <row r="1502">
      <c r="A1502" s="1" t="s">
        <v>5071</v>
      </c>
      <c r="B1502" s="1" t="s">
        <v>142</v>
      </c>
      <c r="C1502" s="1" t="s">
        <v>142</v>
      </c>
      <c r="D1502" s="1" t="s">
        <v>5072</v>
      </c>
      <c r="E1502" s="1" t="s">
        <v>144</v>
      </c>
      <c r="F1502" s="1" t="s">
        <v>142</v>
      </c>
      <c r="G1502" s="1"/>
    </row>
    <row r="1503">
      <c r="A1503" s="1" t="s">
        <v>5073</v>
      </c>
      <c r="B1503" s="1" t="s">
        <v>142</v>
      </c>
      <c r="C1503" s="1" t="s">
        <v>142</v>
      </c>
      <c r="D1503" s="1" t="s">
        <v>5074</v>
      </c>
      <c r="E1503" s="1" t="s">
        <v>144</v>
      </c>
      <c r="F1503" s="1" t="s">
        <v>142</v>
      </c>
      <c r="G1503" s="1"/>
    </row>
    <row r="1504">
      <c r="A1504" s="1" t="s">
        <v>5075</v>
      </c>
      <c r="B1504" s="1" t="s">
        <v>142</v>
      </c>
      <c r="C1504" s="1" t="s">
        <v>142</v>
      </c>
      <c r="D1504" s="1" t="s">
        <v>5076</v>
      </c>
      <c r="E1504" s="1" t="s">
        <v>144</v>
      </c>
      <c r="F1504" s="1" t="s">
        <v>142</v>
      </c>
      <c r="G1504" s="1"/>
    </row>
    <row r="1505">
      <c r="A1505" s="1" t="s">
        <v>5077</v>
      </c>
      <c r="B1505" s="1" t="s">
        <v>142</v>
      </c>
      <c r="C1505" s="1" t="s">
        <v>142</v>
      </c>
      <c r="D1505" s="1" t="s">
        <v>5078</v>
      </c>
      <c r="E1505" s="1" t="s">
        <v>144</v>
      </c>
      <c r="F1505" s="1" t="s">
        <v>142</v>
      </c>
      <c r="G1505" s="1"/>
    </row>
    <row r="1506">
      <c r="A1506" s="1" t="s">
        <v>5079</v>
      </c>
      <c r="B1506" s="1" t="s">
        <v>142</v>
      </c>
      <c r="C1506" s="1" t="s">
        <v>142</v>
      </c>
      <c r="D1506" s="1" t="s">
        <v>5080</v>
      </c>
      <c r="E1506" s="1" t="s">
        <v>144</v>
      </c>
      <c r="F1506" s="1" t="s">
        <v>142</v>
      </c>
      <c r="G1506" s="1"/>
    </row>
    <row r="1507">
      <c r="A1507" s="1" t="s">
        <v>5081</v>
      </c>
      <c r="B1507" s="1" t="s">
        <v>142</v>
      </c>
      <c r="C1507" s="1" t="s">
        <v>142</v>
      </c>
      <c r="D1507" s="1" t="s">
        <v>5082</v>
      </c>
      <c r="E1507" s="1" t="s">
        <v>144</v>
      </c>
      <c r="F1507" s="1" t="s">
        <v>142</v>
      </c>
      <c r="G1507" s="1"/>
    </row>
    <row r="1508">
      <c r="A1508" s="1" t="s">
        <v>5083</v>
      </c>
      <c r="B1508" s="1" t="s">
        <v>142</v>
      </c>
      <c r="C1508" s="1" t="s">
        <v>142</v>
      </c>
      <c r="D1508" s="1" t="s">
        <v>5084</v>
      </c>
      <c r="E1508" s="1" t="s">
        <v>144</v>
      </c>
      <c r="F1508" s="1" t="s">
        <v>142</v>
      </c>
      <c r="G1508" s="1"/>
    </row>
    <row r="1509">
      <c r="A1509" s="1" t="s">
        <v>5085</v>
      </c>
      <c r="B1509" s="1" t="s">
        <v>142</v>
      </c>
      <c r="C1509" s="1" t="s">
        <v>142</v>
      </c>
      <c r="D1509" s="1" t="s">
        <v>5086</v>
      </c>
      <c r="E1509" s="1" t="s">
        <v>144</v>
      </c>
      <c r="F1509" s="1" t="s">
        <v>142</v>
      </c>
      <c r="G1509" s="1"/>
    </row>
    <row r="1510">
      <c r="A1510" s="1" t="s">
        <v>5087</v>
      </c>
      <c r="B1510" s="1" t="s">
        <v>142</v>
      </c>
      <c r="C1510" s="1" t="s">
        <v>142</v>
      </c>
      <c r="D1510" s="1" t="s">
        <v>5088</v>
      </c>
      <c r="E1510" s="1" t="s">
        <v>144</v>
      </c>
      <c r="F1510" s="1" t="s">
        <v>142</v>
      </c>
      <c r="G1510" s="1"/>
    </row>
    <row r="1511">
      <c r="A1511" s="1" t="s">
        <v>5089</v>
      </c>
      <c r="B1511" s="1" t="s">
        <v>142</v>
      </c>
      <c r="C1511" s="1" t="s">
        <v>142</v>
      </c>
      <c r="D1511" s="1" t="s">
        <v>5090</v>
      </c>
      <c r="E1511" s="1" t="s">
        <v>144</v>
      </c>
      <c r="F1511" s="1" t="s">
        <v>142</v>
      </c>
      <c r="G1511" s="1"/>
    </row>
    <row r="1512">
      <c r="A1512" s="1" t="s">
        <v>5091</v>
      </c>
      <c r="B1512" s="1" t="s">
        <v>142</v>
      </c>
      <c r="C1512" s="1" t="s">
        <v>142</v>
      </c>
      <c r="D1512" s="1" t="s">
        <v>5092</v>
      </c>
      <c r="E1512" s="1" t="s">
        <v>144</v>
      </c>
      <c r="F1512" s="1" t="s">
        <v>142</v>
      </c>
      <c r="G1512" s="1"/>
    </row>
    <row r="1513">
      <c r="A1513" s="1" t="s">
        <v>5093</v>
      </c>
      <c r="B1513" s="1" t="s">
        <v>142</v>
      </c>
      <c r="C1513" s="1" t="s">
        <v>142</v>
      </c>
      <c r="D1513" s="1" t="s">
        <v>5094</v>
      </c>
      <c r="E1513" s="1" t="s">
        <v>144</v>
      </c>
      <c r="F1513" s="1" t="s">
        <v>142</v>
      </c>
      <c r="G1513" s="1"/>
    </row>
    <row r="1514">
      <c r="A1514" s="1" t="s">
        <v>5095</v>
      </c>
      <c r="B1514" s="1" t="s">
        <v>142</v>
      </c>
      <c r="C1514" s="1" t="s">
        <v>142</v>
      </c>
      <c r="D1514" s="1" t="s">
        <v>5096</v>
      </c>
      <c r="E1514" s="1" t="s">
        <v>144</v>
      </c>
      <c r="F1514" s="1" t="s">
        <v>142</v>
      </c>
      <c r="G1514" s="1"/>
    </row>
    <row r="1515">
      <c r="A1515" s="1" t="s">
        <v>5097</v>
      </c>
      <c r="B1515" s="1" t="s">
        <v>142</v>
      </c>
      <c r="C1515" s="1" t="s">
        <v>142</v>
      </c>
      <c r="D1515" s="1" t="s">
        <v>5098</v>
      </c>
      <c r="E1515" s="1" t="s">
        <v>144</v>
      </c>
      <c r="F1515" s="1" t="s">
        <v>142</v>
      </c>
      <c r="G1515" s="1"/>
    </row>
    <row r="1516">
      <c r="A1516" s="1" t="s">
        <v>5099</v>
      </c>
      <c r="B1516" s="1" t="s">
        <v>142</v>
      </c>
      <c r="C1516" s="1" t="s">
        <v>142</v>
      </c>
      <c r="D1516" s="1" t="s">
        <v>5100</v>
      </c>
      <c r="E1516" s="1" t="s">
        <v>144</v>
      </c>
      <c r="F1516" s="1" t="s">
        <v>142</v>
      </c>
      <c r="G1516" s="1"/>
    </row>
    <row r="1517">
      <c r="A1517" s="1" t="s">
        <v>5101</v>
      </c>
      <c r="B1517" s="1" t="s">
        <v>142</v>
      </c>
      <c r="C1517" s="1" t="s">
        <v>142</v>
      </c>
      <c r="D1517" s="1" t="s">
        <v>5102</v>
      </c>
      <c r="E1517" s="1" t="s">
        <v>144</v>
      </c>
      <c r="F1517" s="1" t="s">
        <v>142</v>
      </c>
      <c r="G1517" s="1"/>
    </row>
    <row r="1518">
      <c r="A1518" s="1" t="s">
        <v>5103</v>
      </c>
      <c r="B1518" s="1" t="s">
        <v>142</v>
      </c>
      <c r="C1518" s="1" t="s">
        <v>142</v>
      </c>
      <c r="D1518" s="1" t="s">
        <v>5104</v>
      </c>
      <c r="E1518" s="1" t="s">
        <v>144</v>
      </c>
      <c r="F1518" s="1" t="s">
        <v>142</v>
      </c>
      <c r="G1518" s="1"/>
    </row>
    <row r="1519">
      <c r="A1519" s="1" t="s">
        <v>5105</v>
      </c>
      <c r="B1519" s="1" t="s">
        <v>142</v>
      </c>
      <c r="C1519" s="1" t="s">
        <v>142</v>
      </c>
      <c r="D1519" s="1" t="s">
        <v>5106</v>
      </c>
      <c r="E1519" s="1" t="s">
        <v>144</v>
      </c>
      <c r="F1519" s="1" t="s">
        <v>142</v>
      </c>
      <c r="G1519" s="1"/>
    </row>
    <row r="1520">
      <c r="A1520" s="1" t="s">
        <v>5107</v>
      </c>
      <c r="B1520" s="1" t="s">
        <v>142</v>
      </c>
      <c r="C1520" s="1" t="s">
        <v>142</v>
      </c>
      <c r="D1520" s="1" t="s">
        <v>5108</v>
      </c>
      <c r="E1520" s="1" t="s">
        <v>144</v>
      </c>
      <c r="F1520" s="1" t="s">
        <v>142</v>
      </c>
      <c r="G1520" s="1"/>
    </row>
    <row r="1521">
      <c r="A1521" s="1" t="s">
        <v>5109</v>
      </c>
      <c r="B1521" s="1" t="s">
        <v>5110</v>
      </c>
      <c r="C1521" s="1" t="s">
        <v>5111</v>
      </c>
      <c r="D1521" s="1" t="s">
        <v>5112</v>
      </c>
      <c r="E1521" s="1" t="s">
        <v>971</v>
      </c>
      <c r="F1521" s="1">
        <v>6.0</v>
      </c>
      <c r="G1521" s="1">
        <v>27.0</v>
      </c>
    </row>
    <row r="1522">
      <c r="A1522" s="1" t="s">
        <v>5113</v>
      </c>
      <c r="B1522" s="1" t="s">
        <v>142</v>
      </c>
      <c r="C1522" s="1" t="s">
        <v>142</v>
      </c>
      <c r="D1522" s="1" t="s">
        <v>5114</v>
      </c>
      <c r="E1522" s="1" t="s">
        <v>144</v>
      </c>
      <c r="F1522" s="1" t="s">
        <v>142</v>
      </c>
      <c r="G1522" s="1"/>
    </row>
    <row r="1523">
      <c r="A1523" s="1" t="s">
        <v>5115</v>
      </c>
      <c r="B1523" s="1" t="s">
        <v>142</v>
      </c>
      <c r="C1523" s="1" t="s">
        <v>142</v>
      </c>
      <c r="D1523" s="1" t="s">
        <v>5116</v>
      </c>
      <c r="E1523" s="1" t="s">
        <v>144</v>
      </c>
      <c r="F1523" s="1" t="s">
        <v>142</v>
      </c>
      <c r="G1523" s="1"/>
    </row>
    <row r="1524">
      <c r="A1524" s="1" t="s">
        <v>5117</v>
      </c>
      <c r="B1524" s="1" t="s">
        <v>142</v>
      </c>
      <c r="C1524" s="1" t="s">
        <v>142</v>
      </c>
      <c r="D1524" s="1" t="s">
        <v>5118</v>
      </c>
      <c r="E1524" s="1" t="s">
        <v>144</v>
      </c>
      <c r="F1524" s="1" t="s">
        <v>142</v>
      </c>
      <c r="G1524" s="1"/>
    </row>
    <row r="1525">
      <c r="A1525" s="1" t="s">
        <v>5119</v>
      </c>
      <c r="B1525" s="1" t="s">
        <v>5120</v>
      </c>
      <c r="C1525" s="1" t="s">
        <v>5121</v>
      </c>
      <c r="D1525" s="1" t="s">
        <v>5122</v>
      </c>
      <c r="E1525" s="1" t="s">
        <v>144</v>
      </c>
      <c r="F1525" s="1" t="s">
        <v>142</v>
      </c>
      <c r="G1525" s="1"/>
    </row>
    <row r="1526">
      <c r="A1526" s="1" t="s">
        <v>5123</v>
      </c>
      <c r="B1526" s="1" t="s">
        <v>142</v>
      </c>
      <c r="C1526" s="1" t="s">
        <v>142</v>
      </c>
      <c r="D1526" s="1" t="s">
        <v>5124</v>
      </c>
      <c r="E1526" s="1" t="s">
        <v>144</v>
      </c>
      <c r="F1526" s="1" t="s">
        <v>142</v>
      </c>
      <c r="G1526" s="1"/>
    </row>
    <row r="1527">
      <c r="A1527" s="1" t="s">
        <v>5125</v>
      </c>
      <c r="B1527" s="1" t="s">
        <v>142</v>
      </c>
      <c r="C1527" s="1" t="s">
        <v>142</v>
      </c>
      <c r="D1527" s="1" t="s">
        <v>5126</v>
      </c>
      <c r="E1527" s="1" t="s">
        <v>144</v>
      </c>
      <c r="F1527" s="1" t="s">
        <v>142</v>
      </c>
      <c r="G1527" s="1"/>
    </row>
    <row r="1528">
      <c r="A1528" s="1" t="s">
        <v>5127</v>
      </c>
      <c r="B1528" s="1" t="s">
        <v>142</v>
      </c>
      <c r="C1528" s="1" t="s">
        <v>142</v>
      </c>
      <c r="D1528" s="1" t="s">
        <v>5128</v>
      </c>
      <c r="E1528" s="1" t="s">
        <v>144</v>
      </c>
      <c r="F1528" s="1" t="s">
        <v>142</v>
      </c>
      <c r="G1528" s="1"/>
    </row>
    <row r="1529">
      <c r="A1529" s="1" t="s">
        <v>5129</v>
      </c>
      <c r="B1529" s="1" t="s">
        <v>142</v>
      </c>
      <c r="C1529" s="1" t="s">
        <v>142</v>
      </c>
      <c r="D1529" s="1" t="s">
        <v>5130</v>
      </c>
      <c r="E1529" s="1" t="s">
        <v>144</v>
      </c>
      <c r="F1529" s="1" t="s">
        <v>142</v>
      </c>
      <c r="G1529" s="1"/>
    </row>
    <row r="1530">
      <c r="A1530" s="1" t="s">
        <v>5143</v>
      </c>
      <c r="B1530" s="1" t="s">
        <v>142</v>
      </c>
      <c r="C1530" s="1" t="s">
        <v>142</v>
      </c>
      <c r="D1530" s="1" t="s">
        <v>5144</v>
      </c>
      <c r="E1530" s="1" t="s">
        <v>144</v>
      </c>
      <c r="F1530" s="1" t="s">
        <v>142</v>
      </c>
      <c r="G1530" s="1"/>
    </row>
    <row r="1531">
      <c r="A1531" s="1" t="s">
        <v>5145</v>
      </c>
      <c r="B1531" s="1" t="s">
        <v>142</v>
      </c>
      <c r="C1531" s="1" t="s">
        <v>142</v>
      </c>
      <c r="D1531" s="1" t="s">
        <v>5146</v>
      </c>
      <c r="E1531" s="1" t="s">
        <v>144</v>
      </c>
      <c r="F1531" s="1" t="s">
        <v>142</v>
      </c>
      <c r="G1531" s="1"/>
    </row>
    <row r="1532">
      <c r="A1532" s="1" t="s">
        <v>5148</v>
      </c>
      <c r="B1532" s="1" t="s">
        <v>142</v>
      </c>
      <c r="C1532" s="1" t="s">
        <v>142</v>
      </c>
      <c r="D1532" s="1" t="s">
        <v>5149</v>
      </c>
      <c r="E1532" s="1" t="s">
        <v>144</v>
      </c>
      <c r="F1532" s="1" t="s">
        <v>142</v>
      </c>
      <c r="G1532" s="1"/>
    </row>
    <row r="1533">
      <c r="A1533" s="1" t="s">
        <v>5033</v>
      </c>
      <c r="B1533" s="1" t="s">
        <v>142</v>
      </c>
      <c r="C1533" s="1" t="s">
        <v>142</v>
      </c>
      <c r="D1533" s="1" t="s">
        <v>5150</v>
      </c>
      <c r="E1533" s="1" t="s">
        <v>144</v>
      </c>
      <c r="F1533" s="1" t="s">
        <v>142</v>
      </c>
      <c r="G1533" s="1"/>
    </row>
    <row r="1534">
      <c r="A1534" s="1" t="s">
        <v>5151</v>
      </c>
      <c r="B1534" s="1" t="s">
        <v>142</v>
      </c>
      <c r="C1534" s="1" t="s">
        <v>142</v>
      </c>
      <c r="D1534" s="1" t="s">
        <v>5152</v>
      </c>
      <c r="E1534" s="1" t="s">
        <v>144</v>
      </c>
      <c r="F1534" s="1" t="s">
        <v>142</v>
      </c>
      <c r="G1534" s="1"/>
    </row>
    <row r="1535">
      <c r="A1535" s="1" t="s">
        <v>5153</v>
      </c>
      <c r="B1535" s="1" t="s">
        <v>5154</v>
      </c>
      <c r="C1535" s="1" t="s">
        <v>5155</v>
      </c>
      <c r="D1535" s="1" t="s">
        <v>5157</v>
      </c>
      <c r="E1535" s="1" t="s">
        <v>144</v>
      </c>
      <c r="F1535" s="1" t="s">
        <v>142</v>
      </c>
      <c r="G1535" s="1"/>
    </row>
    <row r="1536">
      <c r="A1536" s="1" t="s">
        <v>5158</v>
      </c>
      <c r="B1536" s="1" t="s">
        <v>142</v>
      </c>
      <c r="C1536" s="1" t="s">
        <v>142</v>
      </c>
      <c r="D1536" s="1" t="s">
        <v>5159</v>
      </c>
      <c r="E1536" s="1" t="s">
        <v>144</v>
      </c>
      <c r="F1536" s="1" t="s">
        <v>142</v>
      </c>
      <c r="G1536" s="1"/>
    </row>
    <row r="1537">
      <c r="A1537" s="1" t="s">
        <v>5160</v>
      </c>
      <c r="B1537" s="1" t="s">
        <v>142</v>
      </c>
      <c r="C1537" s="1" t="s">
        <v>142</v>
      </c>
      <c r="D1537" s="1" t="s">
        <v>5162</v>
      </c>
      <c r="E1537" s="1" t="s">
        <v>144</v>
      </c>
      <c r="F1537" s="1" t="s">
        <v>142</v>
      </c>
      <c r="G1537" s="1"/>
    </row>
    <row r="1538">
      <c r="A1538" s="1" t="s">
        <v>5163</v>
      </c>
      <c r="B1538" s="1" t="s">
        <v>142</v>
      </c>
      <c r="C1538" s="1" t="s">
        <v>142</v>
      </c>
      <c r="D1538" s="1" t="s">
        <v>5164</v>
      </c>
      <c r="E1538" s="1" t="s">
        <v>144</v>
      </c>
      <c r="F1538" s="1" t="s">
        <v>142</v>
      </c>
      <c r="G1538" s="1"/>
    </row>
    <row r="1539">
      <c r="A1539" s="1" t="s">
        <v>5166</v>
      </c>
      <c r="B1539" s="1" t="s">
        <v>142</v>
      </c>
      <c r="C1539" s="1" t="s">
        <v>142</v>
      </c>
      <c r="D1539" s="1" t="s">
        <v>5167</v>
      </c>
      <c r="E1539" s="1" t="s">
        <v>144</v>
      </c>
      <c r="F1539" s="1" t="s">
        <v>142</v>
      </c>
      <c r="G1539" s="1"/>
    </row>
    <row r="1540">
      <c r="A1540" s="1" t="s">
        <v>5168</v>
      </c>
      <c r="B1540" s="1" t="s">
        <v>142</v>
      </c>
      <c r="C1540" s="1" t="s">
        <v>142</v>
      </c>
      <c r="D1540" s="1" t="s">
        <v>5169</v>
      </c>
      <c r="E1540" s="1" t="s">
        <v>144</v>
      </c>
      <c r="F1540" s="1" t="s">
        <v>142</v>
      </c>
      <c r="G1540" s="1"/>
    </row>
    <row r="1541">
      <c r="A1541" s="1" t="s">
        <v>5170</v>
      </c>
      <c r="B1541" s="1" t="s">
        <v>142</v>
      </c>
      <c r="C1541" s="1" t="s">
        <v>142</v>
      </c>
      <c r="D1541" s="1" t="s">
        <v>5171</v>
      </c>
      <c r="E1541" s="1" t="s">
        <v>144</v>
      </c>
      <c r="F1541" s="1" t="s">
        <v>142</v>
      </c>
      <c r="G1541" s="1"/>
    </row>
    <row r="1542">
      <c r="A1542" s="1" t="s">
        <v>5173</v>
      </c>
      <c r="B1542" s="1" t="s">
        <v>142</v>
      </c>
      <c r="C1542" s="1" t="s">
        <v>142</v>
      </c>
      <c r="D1542" s="1" t="s">
        <v>5174</v>
      </c>
      <c r="E1542" s="1" t="s">
        <v>144</v>
      </c>
      <c r="F1542" s="1" t="s">
        <v>142</v>
      </c>
      <c r="G1542" s="1"/>
    </row>
    <row r="1543">
      <c r="A1543" s="1" t="s">
        <v>5176</v>
      </c>
      <c r="B1543" s="1" t="s">
        <v>142</v>
      </c>
      <c r="C1543" s="1" t="s">
        <v>142</v>
      </c>
      <c r="D1543" s="1" t="s">
        <v>5178</v>
      </c>
      <c r="E1543" s="1" t="s">
        <v>144</v>
      </c>
      <c r="F1543" s="1" t="s">
        <v>142</v>
      </c>
      <c r="G1543" s="1"/>
    </row>
    <row r="1544">
      <c r="A1544" s="1" t="s">
        <v>5179</v>
      </c>
      <c r="B1544" s="1" t="s">
        <v>142</v>
      </c>
      <c r="C1544" s="1" t="s">
        <v>142</v>
      </c>
      <c r="D1544" s="1" t="s">
        <v>5180</v>
      </c>
      <c r="E1544" s="1" t="s">
        <v>144</v>
      </c>
      <c r="F1544" s="1" t="s">
        <v>142</v>
      </c>
      <c r="G1544" s="1"/>
    </row>
    <row r="1545">
      <c r="A1545" s="1" t="s">
        <v>5182</v>
      </c>
      <c r="B1545" s="1" t="s">
        <v>142</v>
      </c>
      <c r="C1545" s="1" t="s">
        <v>142</v>
      </c>
      <c r="D1545" s="1" t="s">
        <v>5183</v>
      </c>
      <c r="E1545" s="1" t="s">
        <v>144</v>
      </c>
      <c r="F1545" s="1" t="s">
        <v>142</v>
      </c>
      <c r="G1545" s="1"/>
    </row>
    <row r="1546">
      <c r="A1546" s="1" t="s">
        <v>5184</v>
      </c>
      <c r="B1546" s="1" t="s">
        <v>142</v>
      </c>
      <c r="C1546" s="1" t="s">
        <v>142</v>
      </c>
      <c r="D1546" s="1" t="s">
        <v>5185</v>
      </c>
      <c r="E1546" s="1" t="s">
        <v>144</v>
      </c>
      <c r="F1546" s="1" t="s">
        <v>142</v>
      </c>
      <c r="G1546" s="1"/>
    </row>
    <row r="1547">
      <c r="A1547" s="1" t="s">
        <v>5187</v>
      </c>
      <c r="B1547" s="1" t="s">
        <v>142</v>
      </c>
      <c r="C1547" s="1" t="s">
        <v>142</v>
      </c>
      <c r="D1547" s="1" t="s">
        <v>5188</v>
      </c>
      <c r="E1547" s="1" t="s">
        <v>144</v>
      </c>
      <c r="F1547" s="1" t="s">
        <v>142</v>
      </c>
      <c r="G1547" s="1"/>
    </row>
    <row r="1548">
      <c r="A1548" s="1" t="s">
        <v>5189</v>
      </c>
      <c r="B1548" s="1" t="s">
        <v>142</v>
      </c>
      <c r="C1548" s="1" t="s">
        <v>142</v>
      </c>
      <c r="D1548" s="1" t="s">
        <v>5190</v>
      </c>
      <c r="E1548" s="1" t="s">
        <v>144</v>
      </c>
      <c r="F1548" s="1" t="s">
        <v>142</v>
      </c>
      <c r="G1548" s="1"/>
    </row>
    <row r="1549">
      <c r="A1549" s="1" t="s">
        <v>5192</v>
      </c>
      <c r="B1549" s="1" t="s">
        <v>142</v>
      </c>
      <c r="C1549" s="1" t="s">
        <v>142</v>
      </c>
      <c r="D1549" s="1" t="s">
        <v>5193</v>
      </c>
      <c r="E1549" s="1" t="s">
        <v>144</v>
      </c>
      <c r="F1549" s="1" t="s">
        <v>142</v>
      </c>
      <c r="G1549" s="1"/>
    </row>
    <row r="1550">
      <c r="A1550" s="1" t="s">
        <v>5195</v>
      </c>
      <c r="B1550" s="1" t="s">
        <v>142</v>
      </c>
      <c r="C1550" s="1" t="s">
        <v>142</v>
      </c>
      <c r="D1550" s="1" t="s">
        <v>5196</v>
      </c>
      <c r="E1550" s="1" t="s">
        <v>144</v>
      </c>
      <c r="F1550" s="1" t="s">
        <v>142</v>
      </c>
      <c r="G1550" s="1"/>
    </row>
    <row r="1551">
      <c r="A1551" s="1" t="s">
        <v>5197</v>
      </c>
      <c r="B1551" s="1" t="s">
        <v>142</v>
      </c>
      <c r="C1551" s="1" t="s">
        <v>142</v>
      </c>
      <c r="D1551" s="1" t="s">
        <v>5199</v>
      </c>
      <c r="E1551" s="1" t="s">
        <v>144</v>
      </c>
      <c r="F1551" s="1" t="s">
        <v>142</v>
      </c>
      <c r="G1551" s="1"/>
    </row>
    <row r="1552">
      <c r="A1552" s="1" t="s">
        <v>5200</v>
      </c>
      <c r="B1552" s="1" t="s">
        <v>142</v>
      </c>
      <c r="C1552" s="1" t="s">
        <v>142</v>
      </c>
      <c r="D1552" s="1" t="s">
        <v>5201</v>
      </c>
      <c r="E1552" s="1" t="s">
        <v>144</v>
      </c>
      <c r="F1552" s="1" t="s">
        <v>142</v>
      </c>
      <c r="G1552" s="1"/>
    </row>
    <row r="1553">
      <c r="A1553" s="1" t="s">
        <v>5202</v>
      </c>
      <c r="B1553" s="1" t="s">
        <v>142</v>
      </c>
      <c r="C1553" s="1" t="s">
        <v>142</v>
      </c>
      <c r="D1553" s="1" t="s">
        <v>5203</v>
      </c>
      <c r="E1553" s="1" t="s">
        <v>144</v>
      </c>
      <c r="F1553" s="1" t="s">
        <v>142</v>
      </c>
      <c r="G1553" s="1"/>
    </row>
    <row r="1554">
      <c r="A1554" s="1" t="s">
        <v>5204</v>
      </c>
      <c r="B1554" s="1" t="s">
        <v>142</v>
      </c>
      <c r="C1554" s="1" t="s">
        <v>142</v>
      </c>
      <c r="D1554" s="1" t="s">
        <v>5205</v>
      </c>
      <c r="E1554" s="1" t="s">
        <v>144</v>
      </c>
      <c r="F1554" s="1" t="s">
        <v>142</v>
      </c>
      <c r="G1554" s="1"/>
    </row>
    <row r="1555">
      <c r="A1555" s="1" t="s">
        <v>5206</v>
      </c>
      <c r="B1555" s="1" t="s">
        <v>142</v>
      </c>
      <c r="C1555" s="1" t="s">
        <v>142</v>
      </c>
      <c r="D1555" s="1" t="s">
        <v>5207</v>
      </c>
      <c r="E1555" s="1" t="s">
        <v>144</v>
      </c>
      <c r="F1555" s="1" t="s">
        <v>142</v>
      </c>
      <c r="G1555" s="1"/>
    </row>
    <row r="1556">
      <c r="A1556" s="1" t="s">
        <v>5208</v>
      </c>
      <c r="B1556" s="1" t="s">
        <v>142</v>
      </c>
      <c r="C1556" s="1" t="s">
        <v>142</v>
      </c>
      <c r="D1556" s="1" t="s">
        <v>5209</v>
      </c>
      <c r="E1556" s="1" t="s">
        <v>144</v>
      </c>
      <c r="F1556" s="1" t="s">
        <v>142</v>
      </c>
      <c r="G1556" s="1"/>
    </row>
    <row r="1557">
      <c r="A1557" s="1" t="s">
        <v>5210</v>
      </c>
      <c r="B1557" s="1" t="s">
        <v>142</v>
      </c>
      <c r="C1557" s="1" t="s">
        <v>142</v>
      </c>
      <c r="D1557" s="1" t="s">
        <v>5211</v>
      </c>
      <c r="E1557" s="1" t="s">
        <v>144</v>
      </c>
      <c r="F1557" s="1" t="s">
        <v>142</v>
      </c>
      <c r="G1557" s="1"/>
    </row>
    <row r="1558">
      <c r="A1558" s="1" t="s">
        <v>5212</v>
      </c>
      <c r="B1558" s="1" t="s">
        <v>142</v>
      </c>
      <c r="C1558" s="1" t="s">
        <v>142</v>
      </c>
      <c r="D1558" s="1" t="s">
        <v>5213</v>
      </c>
      <c r="E1558" s="1" t="s">
        <v>144</v>
      </c>
      <c r="F1558" s="1" t="s">
        <v>142</v>
      </c>
      <c r="G1558" s="1"/>
    </row>
    <row r="1559">
      <c r="A1559" s="1" t="s">
        <v>5214</v>
      </c>
      <c r="B1559" s="1" t="s">
        <v>142</v>
      </c>
      <c r="C1559" s="1" t="s">
        <v>142</v>
      </c>
      <c r="D1559" s="1" t="s">
        <v>5215</v>
      </c>
      <c r="E1559" s="1" t="s">
        <v>144</v>
      </c>
      <c r="F1559" s="1" t="s">
        <v>142</v>
      </c>
      <c r="G1559" s="1"/>
    </row>
    <row r="1560">
      <c r="A1560" s="1" t="s">
        <v>5216</v>
      </c>
      <c r="B1560" s="1" t="s">
        <v>142</v>
      </c>
      <c r="C1560" s="1" t="s">
        <v>142</v>
      </c>
      <c r="D1560" s="1" t="s">
        <v>5217</v>
      </c>
      <c r="E1560" s="1" t="s">
        <v>144</v>
      </c>
      <c r="F1560" s="1" t="s">
        <v>142</v>
      </c>
      <c r="G1560" s="1"/>
    </row>
    <row r="1561">
      <c r="A1561" s="1" t="s">
        <v>5218</v>
      </c>
      <c r="B1561" s="1" t="s">
        <v>5219</v>
      </c>
      <c r="C1561" s="1" t="s">
        <v>5220</v>
      </c>
      <c r="D1561" s="1" t="s">
        <v>5221</v>
      </c>
      <c r="E1561" s="1" t="s">
        <v>144</v>
      </c>
      <c r="F1561" s="1" t="s">
        <v>142</v>
      </c>
      <c r="G1561" s="1"/>
    </row>
    <row r="1562">
      <c r="A1562" s="1" t="s">
        <v>5222</v>
      </c>
      <c r="B1562" s="1" t="s">
        <v>142</v>
      </c>
      <c r="C1562" s="1" t="s">
        <v>142</v>
      </c>
      <c r="D1562" s="1" t="s">
        <v>5223</v>
      </c>
      <c r="E1562" s="1" t="s">
        <v>144</v>
      </c>
      <c r="F1562" s="1" t="s">
        <v>142</v>
      </c>
      <c r="G1562" s="1"/>
    </row>
    <row r="1563">
      <c r="A1563" s="1" t="s">
        <v>5224</v>
      </c>
      <c r="B1563" s="1" t="s">
        <v>142</v>
      </c>
      <c r="C1563" s="1" t="s">
        <v>142</v>
      </c>
      <c r="D1563" s="1" t="s">
        <v>5225</v>
      </c>
      <c r="E1563" s="1" t="s">
        <v>144</v>
      </c>
      <c r="F1563" s="1" t="s">
        <v>142</v>
      </c>
      <c r="G1563" s="1"/>
    </row>
    <row r="1564">
      <c r="A1564" s="1" t="s">
        <v>5226</v>
      </c>
      <c r="B1564" s="1" t="s">
        <v>142</v>
      </c>
      <c r="C1564" s="1" t="s">
        <v>142</v>
      </c>
      <c r="D1564" s="1" t="s">
        <v>5227</v>
      </c>
      <c r="E1564" s="1" t="s">
        <v>144</v>
      </c>
      <c r="F1564" s="1" t="s">
        <v>142</v>
      </c>
      <c r="G1564" s="1"/>
    </row>
    <row r="1565">
      <c r="A1565" s="1" t="s">
        <v>5228</v>
      </c>
      <c r="B1565" s="1" t="s">
        <v>142</v>
      </c>
      <c r="C1565" s="1" t="s">
        <v>142</v>
      </c>
      <c r="D1565" s="1" t="s">
        <v>5229</v>
      </c>
      <c r="E1565" s="1" t="s">
        <v>144</v>
      </c>
      <c r="F1565" s="1" t="s">
        <v>142</v>
      </c>
      <c r="G1565" s="1"/>
    </row>
    <row r="1566">
      <c r="A1566" s="1" t="s">
        <v>5230</v>
      </c>
      <c r="B1566" s="1" t="s">
        <v>142</v>
      </c>
      <c r="C1566" s="1" t="s">
        <v>142</v>
      </c>
      <c r="D1566" s="1" t="s">
        <v>5231</v>
      </c>
      <c r="E1566" s="1" t="s">
        <v>144</v>
      </c>
      <c r="F1566" s="1" t="s">
        <v>142</v>
      </c>
      <c r="G1566" s="1"/>
    </row>
    <row r="1567">
      <c r="A1567" s="1" t="s">
        <v>5232</v>
      </c>
      <c r="B1567" s="1" t="s">
        <v>142</v>
      </c>
      <c r="C1567" s="1" t="s">
        <v>142</v>
      </c>
      <c r="D1567" s="1" t="s">
        <v>5233</v>
      </c>
      <c r="E1567" s="1" t="s">
        <v>144</v>
      </c>
      <c r="F1567" s="1" t="s">
        <v>142</v>
      </c>
      <c r="G1567" s="1"/>
    </row>
    <row r="1568">
      <c r="A1568" s="1" t="s">
        <v>5234</v>
      </c>
      <c r="B1568" s="1" t="s">
        <v>142</v>
      </c>
      <c r="C1568" s="1" t="s">
        <v>142</v>
      </c>
      <c r="D1568" s="1" t="s">
        <v>5235</v>
      </c>
      <c r="E1568" s="1" t="s">
        <v>144</v>
      </c>
      <c r="F1568" s="1" t="s">
        <v>142</v>
      </c>
      <c r="G1568" s="1"/>
    </row>
    <row r="1569">
      <c r="A1569" s="1" t="s">
        <v>5237</v>
      </c>
      <c r="B1569" s="1" t="s">
        <v>142</v>
      </c>
      <c r="C1569" s="1" t="s">
        <v>142</v>
      </c>
      <c r="D1569" s="1" t="s">
        <v>5238</v>
      </c>
      <c r="E1569" s="1" t="s">
        <v>144</v>
      </c>
      <c r="F1569" s="1" t="s">
        <v>142</v>
      </c>
      <c r="G1569" s="1"/>
    </row>
    <row r="1570">
      <c r="A1570" s="1" t="s">
        <v>5239</v>
      </c>
      <c r="B1570" s="1" t="s">
        <v>142</v>
      </c>
      <c r="C1570" s="1" t="s">
        <v>142</v>
      </c>
      <c r="D1570" s="1" t="s">
        <v>5240</v>
      </c>
      <c r="E1570" s="1" t="s">
        <v>144</v>
      </c>
      <c r="F1570" s="1" t="s">
        <v>142</v>
      </c>
      <c r="G1570" s="1"/>
    </row>
    <row r="1571">
      <c r="A1571" s="1" t="s">
        <v>5241</v>
      </c>
      <c r="B1571" s="1" t="s">
        <v>142</v>
      </c>
      <c r="C1571" s="1" t="s">
        <v>142</v>
      </c>
      <c r="D1571" s="1" t="s">
        <v>5242</v>
      </c>
      <c r="E1571" s="1" t="s">
        <v>144</v>
      </c>
      <c r="F1571" s="1" t="s">
        <v>142</v>
      </c>
      <c r="G1571" s="1"/>
    </row>
    <row r="1572">
      <c r="A1572" s="1" t="s">
        <v>5243</v>
      </c>
      <c r="B1572" s="1" t="s">
        <v>142</v>
      </c>
      <c r="C1572" s="1" t="s">
        <v>142</v>
      </c>
      <c r="D1572" s="1" t="s">
        <v>5244</v>
      </c>
      <c r="E1572" s="1" t="s">
        <v>144</v>
      </c>
      <c r="F1572" s="1" t="s">
        <v>142</v>
      </c>
      <c r="G1572" s="1"/>
    </row>
    <row r="1573">
      <c r="A1573" s="1" t="s">
        <v>5245</v>
      </c>
      <c r="B1573" s="1" t="s">
        <v>142</v>
      </c>
      <c r="C1573" s="1" t="s">
        <v>142</v>
      </c>
      <c r="D1573" s="1" t="s">
        <v>5246</v>
      </c>
      <c r="E1573" s="1" t="s">
        <v>144</v>
      </c>
      <c r="F1573" s="1" t="s">
        <v>142</v>
      </c>
      <c r="G1573" s="1"/>
    </row>
    <row r="1574">
      <c r="A1574" s="1" t="s">
        <v>5247</v>
      </c>
      <c r="B1574" s="1" t="s">
        <v>142</v>
      </c>
      <c r="C1574" s="1" t="s">
        <v>142</v>
      </c>
      <c r="D1574" s="1" t="s">
        <v>5248</v>
      </c>
      <c r="E1574" s="1" t="s">
        <v>144</v>
      </c>
      <c r="F1574" s="1" t="s">
        <v>142</v>
      </c>
      <c r="G1574" s="1"/>
    </row>
    <row r="1575">
      <c r="A1575" s="1" t="s">
        <v>5249</v>
      </c>
      <c r="B1575" s="1" t="s">
        <v>142</v>
      </c>
      <c r="C1575" s="1" t="s">
        <v>142</v>
      </c>
      <c r="D1575" s="1" t="s">
        <v>5250</v>
      </c>
      <c r="E1575" s="1" t="s">
        <v>144</v>
      </c>
      <c r="F1575" s="1" t="s">
        <v>142</v>
      </c>
      <c r="G1575" s="1"/>
    </row>
    <row r="1576">
      <c r="A1576" s="1" t="s">
        <v>5251</v>
      </c>
      <c r="B1576" s="1" t="s">
        <v>142</v>
      </c>
      <c r="C1576" s="1" t="s">
        <v>142</v>
      </c>
      <c r="D1576" s="1" t="s">
        <v>5252</v>
      </c>
      <c r="E1576" s="1" t="s">
        <v>144</v>
      </c>
      <c r="F1576" s="1" t="s">
        <v>142</v>
      </c>
      <c r="G1576" s="1"/>
    </row>
    <row r="1577">
      <c r="A1577" s="1" t="s">
        <v>5253</v>
      </c>
      <c r="B1577" s="1" t="s">
        <v>142</v>
      </c>
      <c r="C1577" s="1" t="s">
        <v>142</v>
      </c>
      <c r="D1577" s="1" t="s">
        <v>5254</v>
      </c>
      <c r="E1577" s="1" t="s">
        <v>144</v>
      </c>
      <c r="F1577" s="1" t="s">
        <v>142</v>
      </c>
      <c r="G1577" s="1"/>
    </row>
    <row r="1578">
      <c r="A1578" s="1" t="s">
        <v>5255</v>
      </c>
      <c r="B1578" s="1" t="s">
        <v>142</v>
      </c>
      <c r="C1578" s="1" t="s">
        <v>142</v>
      </c>
      <c r="D1578" s="1" t="s">
        <v>5256</v>
      </c>
      <c r="E1578" s="1" t="s">
        <v>144</v>
      </c>
      <c r="F1578" s="1" t="s">
        <v>142</v>
      </c>
      <c r="G1578" s="1"/>
    </row>
    <row r="1579">
      <c r="A1579" s="1" t="s">
        <v>5257</v>
      </c>
      <c r="B1579" s="1" t="s">
        <v>142</v>
      </c>
      <c r="C1579" s="1" t="s">
        <v>142</v>
      </c>
      <c r="D1579" s="1" t="s">
        <v>5258</v>
      </c>
      <c r="E1579" s="1" t="s">
        <v>144</v>
      </c>
      <c r="F1579" s="1" t="s">
        <v>142</v>
      </c>
      <c r="G1579" s="1"/>
    </row>
    <row r="1580">
      <c r="A1580" s="1" t="s">
        <v>5259</v>
      </c>
      <c r="B1580" s="1" t="s">
        <v>142</v>
      </c>
      <c r="C1580" s="1" t="s">
        <v>142</v>
      </c>
      <c r="D1580" s="1" t="s">
        <v>5260</v>
      </c>
      <c r="E1580" s="1" t="s">
        <v>144</v>
      </c>
      <c r="F1580" s="1" t="s">
        <v>142</v>
      </c>
      <c r="G1580" s="1"/>
    </row>
    <row r="1581">
      <c r="A1581" s="1" t="s">
        <v>5261</v>
      </c>
      <c r="B1581" s="1" t="s">
        <v>142</v>
      </c>
      <c r="C1581" s="1" t="s">
        <v>142</v>
      </c>
      <c r="D1581" s="1" t="s">
        <v>5262</v>
      </c>
      <c r="E1581" s="1" t="s">
        <v>144</v>
      </c>
      <c r="F1581" s="1" t="s">
        <v>142</v>
      </c>
      <c r="G1581" s="1"/>
    </row>
    <row r="1582">
      <c r="A1582" s="1" t="s">
        <v>5263</v>
      </c>
      <c r="B1582" s="1" t="s">
        <v>142</v>
      </c>
      <c r="C1582" s="1" t="s">
        <v>142</v>
      </c>
      <c r="D1582" s="1" t="s">
        <v>5264</v>
      </c>
      <c r="E1582" s="1" t="s">
        <v>144</v>
      </c>
      <c r="F1582" s="1" t="s">
        <v>142</v>
      </c>
      <c r="G1582" s="1"/>
    </row>
    <row r="1583">
      <c r="A1583" s="1" t="s">
        <v>5265</v>
      </c>
      <c r="B1583" s="1" t="s">
        <v>142</v>
      </c>
      <c r="C1583" s="1" t="s">
        <v>142</v>
      </c>
      <c r="D1583" s="1" t="s">
        <v>5266</v>
      </c>
      <c r="E1583" s="1" t="s">
        <v>144</v>
      </c>
      <c r="F1583" s="1" t="s">
        <v>142</v>
      </c>
      <c r="G1583" s="1"/>
    </row>
    <row r="1584">
      <c r="A1584" s="1" t="s">
        <v>5267</v>
      </c>
      <c r="B1584" s="1" t="s">
        <v>142</v>
      </c>
      <c r="C1584" s="1" t="s">
        <v>142</v>
      </c>
      <c r="D1584" s="1" t="s">
        <v>5268</v>
      </c>
      <c r="E1584" s="1" t="s">
        <v>144</v>
      </c>
      <c r="F1584" s="1" t="s">
        <v>142</v>
      </c>
      <c r="G1584" s="1"/>
    </row>
    <row r="1585">
      <c r="A1585" s="1" t="s">
        <v>5269</v>
      </c>
      <c r="B1585" s="1" t="s">
        <v>142</v>
      </c>
      <c r="C1585" s="1" t="s">
        <v>142</v>
      </c>
      <c r="D1585" s="1" t="s">
        <v>5270</v>
      </c>
      <c r="E1585" s="1" t="s">
        <v>144</v>
      </c>
      <c r="F1585" s="1" t="s">
        <v>142</v>
      </c>
      <c r="G1585" s="1"/>
    </row>
    <row r="1586">
      <c r="A1586" s="1" t="s">
        <v>5271</v>
      </c>
      <c r="B1586" s="1" t="s">
        <v>142</v>
      </c>
      <c r="C1586" s="1" t="s">
        <v>142</v>
      </c>
      <c r="D1586" s="1" t="s">
        <v>5272</v>
      </c>
      <c r="E1586" s="1" t="s">
        <v>144</v>
      </c>
      <c r="F1586" s="1" t="s">
        <v>142</v>
      </c>
      <c r="G1586" s="1"/>
    </row>
    <row r="1587">
      <c r="A1587" s="1" t="s">
        <v>5273</v>
      </c>
      <c r="B1587" s="1" t="s">
        <v>142</v>
      </c>
      <c r="C1587" s="1" t="s">
        <v>142</v>
      </c>
      <c r="D1587" s="1" t="s">
        <v>5274</v>
      </c>
      <c r="E1587" s="1" t="s">
        <v>144</v>
      </c>
      <c r="F1587" s="1" t="s">
        <v>142</v>
      </c>
      <c r="G1587" s="1"/>
    </row>
    <row r="1588">
      <c r="A1588" s="1" t="s">
        <v>5275</v>
      </c>
      <c r="B1588" s="1" t="s">
        <v>142</v>
      </c>
      <c r="C1588" s="1" t="s">
        <v>142</v>
      </c>
      <c r="D1588" s="1" t="s">
        <v>5276</v>
      </c>
      <c r="E1588" s="1" t="s">
        <v>144</v>
      </c>
      <c r="F1588" s="1" t="s">
        <v>142</v>
      </c>
      <c r="G1588" s="1"/>
    </row>
    <row r="1589">
      <c r="A1589" s="1" t="s">
        <v>5277</v>
      </c>
      <c r="B1589" s="1" t="s">
        <v>142</v>
      </c>
      <c r="C1589" s="1" t="s">
        <v>142</v>
      </c>
      <c r="D1589" s="1" t="s">
        <v>5278</v>
      </c>
      <c r="E1589" s="1" t="s">
        <v>144</v>
      </c>
      <c r="F1589" s="1" t="s">
        <v>142</v>
      </c>
      <c r="G1589" s="1"/>
    </row>
    <row r="1590">
      <c r="A1590" s="1" t="s">
        <v>5279</v>
      </c>
      <c r="B1590" s="1" t="s">
        <v>142</v>
      </c>
      <c r="C1590" s="1" t="s">
        <v>142</v>
      </c>
      <c r="D1590" s="1" t="s">
        <v>5280</v>
      </c>
      <c r="E1590" s="1" t="s">
        <v>144</v>
      </c>
      <c r="F1590" s="1" t="s">
        <v>142</v>
      </c>
      <c r="G1590" s="1"/>
    </row>
    <row r="1591">
      <c r="A1591" s="1" t="s">
        <v>5281</v>
      </c>
      <c r="B1591" s="1" t="s">
        <v>142</v>
      </c>
      <c r="C1591" s="1" t="s">
        <v>142</v>
      </c>
      <c r="D1591" s="1" t="s">
        <v>5282</v>
      </c>
      <c r="E1591" s="1" t="s">
        <v>144</v>
      </c>
      <c r="F1591" s="1" t="s">
        <v>142</v>
      </c>
      <c r="G1591" s="1"/>
    </row>
    <row r="1592">
      <c r="A1592" s="1" t="s">
        <v>5283</v>
      </c>
      <c r="B1592" s="1" t="s">
        <v>142</v>
      </c>
      <c r="C1592" s="1" t="s">
        <v>142</v>
      </c>
      <c r="D1592" s="1" t="s">
        <v>5284</v>
      </c>
      <c r="E1592" s="1" t="s">
        <v>144</v>
      </c>
      <c r="F1592" s="1" t="s">
        <v>142</v>
      </c>
      <c r="G1592" s="1"/>
    </row>
    <row r="1593">
      <c r="A1593" s="1" t="s">
        <v>5285</v>
      </c>
      <c r="B1593" s="1" t="s">
        <v>142</v>
      </c>
      <c r="C1593" s="1" t="s">
        <v>142</v>
      </c>
      <c r="D1593" s="1" t="s">
        <v>5286</v>
      </c>
      <c r="E1593" s="1" t="s">
        <v>144</v>
      </c>
      <c r="F1593" s="1" t="s">
        <v>142</v>
      </c>
      <c r="G1593" s="1"/>
    </row>
    <row r="1594">
      <c r="A1594" s="1" t="s">
        <v>5287</v>
      </c>
      <c r="B1594" s="1" t="s">
        <v>142</v>
      </c>
      <c r="C1594" s="1" t="s">
        <v>142</v>
      </c>
      <c r="D1594" s="1" t="s">
        <v>5288</v>
      </c>
      <c r="E1594" s="1" t="s">
        <v>144</v>
      </c>
      <c r="F1594" s="1" t="s">
        <v>142</v>
      </c>
      <c r="G1594" s="1"/>
    </row>
    <row r="1595">
      <c r="A1595" s="1" t="s">
        <v>5290</v>
      </c>
      <c r="B1595" s="1" t="s">
        <v>142</v>
      </c>
      <c r="C1595" s="1" t="s">
        <v>142</v>
      </c>
      <c r="D1595" s="1" t="s">
        <v>5291</v>
      </c>
      <c r="E1595" s="1" t="s">
        <v>144</v>
      </c>
      <c r="F1595" s="1" t="s">
        <v>142</v>
      </c>
      <c r="G1595" s="1"/>
    </row>
    <row r="1596">
      <c r="A1596" s="1" t="s">
        <v>5292</v>
      </c>
      <c r="B1596" s="1" t="s">
        <v>142</v>
      </c>
      <c r="C1596" s="1" t="s">
        <v>142</v>
      </c>
      <c r="D1596" s="1" t="s">
        <v>5293</v>
      </c>
      <c r="E1596" s="1" t="s">
        <v>144</v>
      </c>
      <c r="F1596" s="1" t="s">
        <v>142</v>
      </c>
      <c r="G1596" s="1"/>
    </row>
    <row r="1597">
      <c r="A1597" s="1" t="s">
        <v>5294</v>
      </c>
      <c r="B1597" s="1" t="s">
        <v>5295</v>
      </c>
      <c r="C1597" s="1" t="s">
        <v>5296</v>
      </c>
      <c r="D1597" s="1" t="s">
        <v>5297</v>
      </c>
      <c r="E1597" s="1" t="s">
        <v>144</v>
      </c>
      <c r="F1597" s="1" t="s">
        <v>142</v>
      </c>
      <c r="G1597" s="1"/>
    </row>
    <row r="1598">
      <c r="A1598" s="1" t="s">
        <v>5298</v>
      </c>
      <c r="B1598" s="1" t="s">
        <v>142</v>
      </c>
      <c r="C1598" s="1" t="s">
        <v>142</v>
      </c>
      <c r="D1598" s="1" t="s">
        <v>5299</v>
      </c>
      <c r="E1598" s="1" t="s">
        <v>144</v>
      </c>
      <c r="F1598" s="1" t="s">
        <v>142</v>
      </c>
      <c r="G1598" s="1"/>
    </row>
    <row r="1599">
      <c r="A1599" s="1" t="s">
        <v>5300</v>
      </c>
      <c r="B1599" s="1" t="s">
        <v>142</v>
      </c>
      <c r="C1599" s="1" t="s">
        <v>142</v>
      </c>
      <c r="D1599" s="1" t="s">
        <v>5301</v>
      </c>
      <c r="E1599" s="1" t="s">
        <v>144</v>
      </c>
      <c r="F1599" s="1" t="s">
        <v>142</v>
      </c>
      <c r="G1599" s="1"/>
    </row>
    <row r="1600">
      <c r="A1600" s="1" t="s">
        <v>5302</v>
      </c>
      <c r="B1600" s="1" t="s">
        <v>142</v>
      </c>
      <c r="C1600" s="1" t="s">
        <v>142</v>
      </c>
      <c r="D1600" s="1" t="s">
        <v>5303</v>
      </c>
      <c r="E1600" s="1" t="s">
        <v>144</v>
      </c>
      <c r="F1600" s="1" t="s">
        <v>142</v>
      </c>
      <c r="G1600" s="1"/>
    </row>
    <row r="1601">
      <c r="A1601" s="1" t="s">
        <v>5304</v>
      </c>
      <c r="B1601" s="1" t="s">
        <v>142</v>
      </c>
      <c r="C1601" s="1" t="s">
        <v>142</v>
      </c>
      <c r="D1601" s="1" t="s">
        <v>5305</v>
      </c>
      <c r="E1601" s="1" t="s">
        <v>144</v>
      </c>
      <c r="F1601" s="1" t="s">
        <v>142</v>
      </c>
      <c r="G1601" s="1"/>
    </row>
    <row r="1602">
      <c r="A1602" s="1" t="s">
        <v>5306</v>
      </c>
      <c r="B1602" s="1" t="s">
        <v>142</v>
      </c>
      <c r="C1602" s="1" t="s">
        <v>142</v>
      </c>
      <c r="D1602" s="1" t="s">
        <v>5307</v>
      </c>
      <c r="E1602" s="1" t="s">
        <v>144</v>
      </c>
      <c r="F1602" s="1" t="s">
        <v>142</v>
      </c>
      <c r="G1602" s="1"/>
    </row>
    <row r="1603">
      <c r="A1603" s="1" t="s">
        <v>5308</v>
      </c>
      <c r="B1603" s="1" t="s">
        <v>142</v>
      </c>
      <c r="C1603" s="1" t="s">
        <v>142</v>
      </c>
      <c r="D1603" s="1" t="s">
        <v>5309</v>
      </c>
      <c r="E1603" s="1" t="s">
        <v>144</v>
      </c>
      <c r="F1603" s="1" t="s">
        <v>142</v>
      </c>
      <c r="G1603" s="1"/>
    </row>
    <row r="1604">
      <c r="A1604" s="1" t="s">
        <v>5310</v>
      </c>
      <c r="B1604" s="1" t="s">
        <v>142</v>
      </c>
      <c r="C1604" s="1" t="s">
        <v>142</v>
      </c>
      <c r="D1604" s="1" t="s">
        <v>5311</v>
      </c>
      <c r="E1604" s="1" t="s">
        <v>144</v>
      </c>
      <c r="F1604" s="1" t="s">
        <v>142</v>
      </c>
      <c r="G1604" s="1"/>
    </row>
    <row r="1605">
      <c r="A1605" s="1" t="s">
        <v>5312</v>
      </c>
      <c r="B1605" s="1" t="s">
        <v>142</v>
      </c>
      <c r="C1605" s="1" t="s">
        <v>142</v>
      </c>
      <c r="D1605" s="1" t="s">
        <v>5313</v>
      </c>
      <c r="E1605" s="1" t="s">
        <v>144</v>
      </c>
      <c r="F1605" s="1" t="s">
        <v>142</v>
      </c>
      <c r="G1605" s="1"/>
    </row>
    <row r="1606">
      <c r="A1606" s="1" t="s">
        <v>5314</v>
      </c>
      <c r="B1606" s="1" t="s">
        <v>142</v>
      </c>
      <c r="C1606" s="1" t="s">
        <v>142</v>
      </c>
      <c r="D1606" s="1" t="s">
        <v>5315</v>
      </c>
      <c r="E1606" s="1" t="s">
        <v>144</v>
      </c>
      <c r="F1606" s="1" t="s">
        <v>142</v>
      </c>
      <c r="G1606" s="1"/>
    </row>
    <row r="1607">
      <c r="A1607" s="1" t="s">
        <v>5316</v>
      </c>
      <c r="B1607" s="1" t="s">
        <v>142</v>
      </c>
      <c r="C1607" s="1" t="s">
        <v>142</v>
      </c>
      <c r="D1607" s="1" t="s">
        <v>5317</v>
      </c>
      <c r="E1607" s="1" t="s">
        <v>144</v>
      </c>
      <c r="F1607" s="1" t="s">
        <v>142</v>
      </c>
      <c r="G1607" s="1"/>
    </row>
    <row r="1608">
      <c r="A1608" s="1" t="s">
        <v>5318</v>
      </c>
      <c r="B1608" s="1" t="s">
        <v>142</v>
      </c>
      <c r="C1608" s="1" t="s">
        <v>142</v>
      </c>
      <c r="D1608" s="1" t="s">
        <v>5319</v>
      </c>
      <c r="E1608" s="1" t="s">
        <v>144</v>
      </c>
      <c r="F1608" s="1" t="s">
        <v>142</v>
      </c>
      <c r="G1608" s="1"/>
    </row>
    <row r="1609">
      <c r="A1609" s="1" t="s">
        <v>5320</v>
      </c>
      <c r="B1609" s="1" t="s">
        <v>142</v>
      </c>
      <c r="C1609" s="1" t="s">
        <v>142</v>
      </c>
      <c r="D1609" s="1" t="s">
        <v>5321</v>
      </c>
      <c r="E1609" s="1" t="s">
        <v>144</v>
      </c>
      <c r="F1609" s="1" t="s">
        <v>142</v>
      </c>
      <c r="G1609" s="1"/>
    </row>
    <row r="1610">
      <c r="A1610" s="1" t="s">
        <v>5322</v>
      </c>
      <c r="B1610" s="1" t="s">
        <v>5323</v>
      </c>
      <c r="C1610" s="1" t="s">
        <v>5324</v>
      </c>
      <c r="D1610" s="1" t="s">
        <v>5325</v>
      </c>
      <c r="E1610" s="1" t="s">
        <v>144</v>
      </c>
      <c r="F1610" s="1" t="s">
        <v>142</v>
      </c>
      <c r="G1610" s="1"/>
    </row>
    <row r="1611">
      <c r="A1611" s="1" t="s">
        <v>5326</v>
      </c>
      <c r="B1611" s="1" t="s">
        <v>142</v>
      </c>
      <c r="C1611" s="1" t="s">
        <v>142</v>
      </c>
      <c r="D1611" s="1" t="s">
        <v>5327</v>
      </c>
      <c r="E1611" s="1" t="s">
        <v>144</v>
      </c>
      <c r="F1611" s="1" t="s">
        <v>142</v>
      </c>
      <c r="G1611" s="1"/>
    </row>
    <row r="1612">
      <c r="A1612" s="1" t="s">
        <v>5328</v>
      </c>
      <c r="B1612" s="1" t="s">
        <v>5329</v>
      </c>
      <c r="C1612" s="1" t="s">
        <v>5330</v>
      </c>
      <c r="D1612" s="1" t="s">
        <v>5331</v>
      </c>
      <c r="E1612" s="1" t="s">
        <v>144</v>
      </c>
      <c r="F1612" s="1" t="s">
        <v>142</v>
      </c>
      <c r="G1612" s="1"/>
    </row>
    <row r="1613">
      <c r="A1613" s="1" t="s">
        <v>5332</v>
      </c>
      <c r="B1613" s="1" t="s">
        <v>142</v>
      </c>
      <c r="C1613" s="1" t="s">
        <v>142</v>
      </c>
      <c r="D1613" s="1" t="s">
        <v>5333</v>
      </c>
      <c r="E1613" s="1" t="s">
        <v>144</v>
      </c>
      <c r="F1613" s="1" t="s">
        <v>142</v>
      </c>
      <c r="G1613" s="1"/>
    </row>
    <row r="1614">
      <c r="A1614" s="1" t="s">
        <v>5334</v>
      </c>
      <c r="B1614" s="1" t="s">
        <v>142</v>
      </c>
      <c r="C1614" s="1" t="s">
        <v>142</v>
      </c>
      <c r="D1614" s="1" t="s">
        <v>5335</v>
      </c>
      <c r="E1614" s="1" t="s">
        <v>144</v>
      </c>
      <c r="F1614" s="1" t="s">
        <v>142</v>
      </c>
      <c r="G1614" s="1"/>
    </row>
    <row r="1615">
      <c r="A1615" s="1" t="s">
        <v>5336</v>
      </c>
      <c r="B1615" s="1" t="s">
        <v>142</v>
      </c>
      <c r="C1615" s="1" t="s">
        <v>142</v>
      </c>
      <c r="D1615" s="1" t="s">
        <v>5337</v>
      </c>
      <c r="E1615" s="1" t="s">
        <v>144</v>
      </c>
      <c r="F1615" s="1" t="s">
        <v>142</v>
      </c>
      <c r="G1615" s="1"/>
    </row>
    <row r="1616">
      <c r="A1616" s="1" t="s">
        <v>5338</v>
      </c>
      <c r="B1616" s="1" t="s">
        <v>142</v>
      </c>
      <c r="C1616" s="1" t="s">
        <v>142</v>
      </c>
      <c r="D1616" s="1" t="s">
        <v>5339</v>
      </c>
      <c r="E1616" s="1" t="s">
        <v>144</v>
      </c>
      <c r="F1616" s="1" t="s">
        <v>142</v>
      </c>
      <c r="G1616" s="1"/>
    </row>
    <row r="1617">
      <c r="A1617" s="1" t="s">
        <v>5340</v>
      </c>
      <c r="B1617" s="1" t="s">
        <v>142</v>
      </c>
      <c r="C1617" s="1" t="s">
        <v>142</v>
      </c>
      <c r="D1617" s="1" t="s">
        <v>5341</v>
      </c>
      <c r="E1617" s="1" t="s">
        <v>144</v>
      </c>
      <c r="F1617" s="1" t="s">
        <v>142</v>
      </c>
      <c r="G1617" s="1"/>
    </row>
    <row r="1618">
      <c r="A1618" s="1" t="s">
        <v>5342</v>
      </c>
      <c r="B1618" s="1" t="s">
        <v>142</v>
      </c>
      <c r="C1618" s="1" t="s">
        <v>142</v>
      </c>
      <c r="D1618" s="1" t="s">
        <v>5343</v>
      </c>
      <c r="E1618" s="1" t="s">
        <v>144</v>
      </c>
      <c r="F1618" s="1" t="s">
        <v>142</v>
      </c>
      <c r="G1618" s="1"/>
    </row>
    <row r="1619">
      <c r="A1619" s="1" t="s">
        <v>5344</v>
      </c>
      <c r="B1619" s="1" t="s">
        <v>142</v>
      </c>
      <c r="C1619" s="1" t="s">
        <v>142</v>
      </c>
      <c r="D1619" s="1" t="s">
        <v>5345</v>
      </c>
      <c r="E1619" s="1" t="s">
        <v>144</v>
      </c>
      <c r="F1619" s="1" t="s">
        <v>142</v>
      </c>
      <c r="G1619" s="1"/>
    </row>
    <row r="1620">
      <c r="A1620" s="1" t="s">
        <v>5346</v>
      </c>
      <c r="B1620" s="1" t="s">
        <v>142</v>
      </c>
      <c r="C1620" s="1" t="s">
        <v>142</v>
      </c>
      <c r="D1620" s="1" t="s">
        <v>5347</v>
      </c>
      <c r="E1620" s="1" t="s">
        <v>144</v>
      </c>
      <c r="F1620" s="1" t="s">
        <v>142</v>
      </c>
      <c r="G1620" s="1"/>
    </row>
    <row r="1621">
      <c r="A1621" s="1" t="s">
        <v>5348</v>
      </c>
      <c r="B1621" s="1" t="s">
        <v>142</v>
      </c>
      <c r="C1621" s="1" t="s">
        <v>142</v>
      </c>
      <c r="D1621" s="1" t="s">
        <v>5349</v>
      </c>
      <c r="E1621" s="1" t="s">
        <v>144</v>
      </c>
      <c r="F1621" s="1" t="s">
        <v>142</v>
      </c>
      <c r="G1621" s="1"/>
    </row>
    <row r="1622">
      <c r="A1622" s="1" t="s">
        <v>5350</v>
      </c>
      <c r="B1622" s="1" t="s">
        <v>142</v>
      </c>
      <c r="C1622" s="1" t="s">
        <v>142</v>
      </c>
      <c r="D1622" s="1" t="s">
        <v>5351</v>
      </c>
      <c r="E1622" s="1" t="s">
        <v>144</v>
      </c>
      <c r="F1622" s="1" t="s">
        <v>142</v>
      </c>
      <c r="G1622" s="1"/>
    </row>
    <row r="1623">
      <c r="A1623" s="1" t="s">
        <v>5352</v>
      </c>
      <c r="B1623" s="1" t="s">
        <v>142</v>
      </c>
      <c r="C1623" s="1" t="s">
        <v>142</v>
      </c>
      <c r="D1623" s="1" t="s">
        <v>5353</v>
      </c>
      <c r="E1623" s="1" t="s">
        <v>144</v>
      </c>
      <c r="F1623" s="1" t="s">
        <v>142</v>
      </c>
      <c r="G1623" s="1"/>
    </row>
    <row r="1624">
      <c r="A1624" s="1" t="s">
        <v>5354</v>
      </c>
      <c r="B1624" s="1" t="s">
        <v>142</v>
      </c>
      <c r="C1624" s="1" t="s">
        <v>142</v>
      </c>
      <c r="D1624" s="1" t="s">
        <v>5355</v>
      </c>
      <c r="E1624" s="1" t="s">
        <v>144</v>
      </c>
      <c r="F1624" s="1" t="s">
        <v>142</v>
      </c>
      <c r="G1624" s="1"/>
    </row>
    <row r="1625">
      <c r="A1625" s="1" t="s">
        <v>5356</v>
      </c>
      <c r="B1625" s="1" t="s">
        <v>142</v>
      </c>
      <c r="C1625" s="1" t="s">
        <v>142</v>
      </c>
      <c r="D1625" s="1" t="s">
        <v>5357</v>
      </c>
      <c r="E1625" s="1" t="s">
        <v>144</v>
      </c>
      <c r="F1625" s="1" t="s">
        <v>142</v>
      </c>
      <c r="G1625" s="1"/>
    </row>
    <row r="1626">
      <c r="A1626" s="1" t="s">
        <v>5358</v>
      </c>
      <c r="B1626" s="1" t="s">
        <v>142</v>
      </c>
      <c r="C1626" s="1" t="s">
        <v>142</v>
      </c>
      <c r="D1626" s="1" t="s">
        <v>5359</v>
      </c>
      <c r="E1626" s="1" t="s">
        <v>144</v>
      </c>
      <c r="F1626" s="1" t="s">
        <v>142</v>
      </c>
      <c r="G1626" s="1"/>
    </row>
    <row r="1627">
      <c r="A1627" s="1" t="s">
        <v>5360</v>
      </c>
      <c r="B1627" s="1" t="s">
        <v>142</v>
      </c>
      <c r="C1627" s="1" t="s">
        <v>142</v>
      </c>
      <c r="D1627" s="1" t="s">
        <v>5361</v>
      </c>
      <c r="E1627" s="1" t="s">
        <v>144</v>
      </c>
      <c r="F1627" s="1" t="s">
        <v>142</v>
      </c>
      <c r="G1627" s="1"/>
    </row>
    <row r="1628">
      <c r="A1628" s="1" t="s">
        <v>5362</v>
      </c>
      <c r="B1628" s="1" t="s">
        <v>142</v>
      </c>
      <c r="C1628" s="1" t="s">
        <v>142</v>
      </c>
      <c r="D1628" s="1" t="s">
        <v>5363</v>
      </c>
      <c r="E1628" s="1" t="s">
        <v>144</v>
      </c>
      <c r="F1628" s="1" t="s">
        <v>142</v>
      </c>
      <c r="G1628" s="1"/>
    </row>
    <row r="1629">
      <c r="A1629" s="1" t="s">
        <v>5364</v>
      </c>
      <c r="B1629" s="1" t="s">
        <v>5365</v>
      </c>
      <c r="C1629" s="1" t="s">
        <v>5366</v>
      </c>
      <c r="D1629" s="1" t="s">
        <v>5367</v>
      </c>
      <c r="E1629" s="1" t="s">
        <v>238</v>
      </c>
      <c r="F1629" s="1">
        <v>2.0</v>
      </c>
      <c r="G1629" s="1">
        <v>18.0</v>
      </c>
    </row>
    <row r="1630">
      <c r="A1630" s="1" t="s">
        <v>5368</v>
      </c>
      <c r="B1630" s="1" t="s">
        <v>5369</v>
      </c>
      <c r="C1630" s="1" t="s">
        <v>5370</v>
      </c>
      <c r="D1630" s="1" t="s">
        <v>5371</v>
      </c>
      <c r="E1630" s="1" t="s">
        <v>238</v>
      </c>
      <c r="F1630" s="1">
        <v>2.0</v>
      </c>
      <c r="G1630" s="1">
        <v>19.0</v>
      </c>
    </row>
    <row r="1631">
      <c r="A1631" s="1" t="s">
        <v>5372</v>
      </c>
      <c r="B1631" s="1" t="s">
        <v>142</v>
      </c>
      <c r="C1631" s="1" t="s">
        <v>142</v>
      </c>
      <c r="D1631" s="1" t="s">
        <v>5373</v>
      </c>
      <c r="E1631" s="1" t="s">
        <v>144</v>
      </c>
      <c r="F1631" s="1" t="s">
        <v>142</v>
      </c>
      <c r="G1631" s="1"/>
    </row>
    <row r="1632">
      <c r="A1632" s="1" t="s">
        <v>5374</v>
      </c>
      <c r="B1632" s="1" t="s">
        <v>5375</v>
      </c>
      <c r="C1632" s="1" t="s">
        <v>5376</v>
      </c>
      <c r="D1632" s="1" t="s">
        <v>5377</v>
      </c>
      <c r="E1632" s="1" t="s">
        <v>238</v>
      </c>
      <c r="F1632" s="1">
        <v>2.0</v>
      </c>
      <c r="G1632" s="1">
        <v>22.0</v>
      </c>
    </row>
    <row r="1633">
      <c r="A1633" s="1" t="s">
        <v>5378</v>
      </c>
      <c r="B1633" s="1" t="s">
        <v>142</v>
      </c>
      <c r="C1633" s="1" t="s">
        <v>142</v>
      </c>
      <c r="D1633" s="1" t="s">
        <v>5379</v>
      </c>
      <c r="E1633" s="1" t="s">
        <v>144</v>
      </c>
      <c r="F1633" s="1" t="s">
        <v>142</v>
      </c>
      <c r="G1633" s="1"/>
    </row>
    <row r="1634">
      <c r="A1634" s="1" t="s">
        <v>5380</v>
      </c>
      <c r="B1634" s="1" t="s">
        <v>5381</v>
      </c>
      <c r="C1634" s="1" t="s">
        <v>5382</v>
      </c>
      <c r="D1634" s="1" t="s">
        <v>5383</v>
      </c>
      <c r="E1634" s="1" t="s">
        <v>238</v>
      </c>
      <c r="F1634" s="1">
        <v>2.0</v>
      </c>
      <c r="G1634" s="1">
        <v>20.0</v>
      </c>
    </row>
    <row r="1635">
      <c r="A1635" s="1" t="s">
        <v>5384</v>
      </c>
      <c r="B1635" s="1" t="s">
        <v>142</v>
      </c>
      <c r="C1635" s="1" t="s">
        <v>142</v>
      </c>
      <c r="D1635" s="1" t="s">
        <v>5385</v>
      </c>
      <c r="E1635" s="1" t="s">
        <v>144</v>
      </c>
      <c r="F1635" s="1" t="s">
        <v>142</v>
      </c>
      <c r="G1635" s="1"/>
    </row>
    <row r="1636">
      <c r="A1636" s="1" t="s">
        <v>5386</v>
      </c>
      <c r="B1636" s="1" t="s">
        <v>142</v>
      </c>
      <c r="C1636" s="1" t="s">
        <v>142</v>
      </c>
      <c r="D1636" s="1" t="s">
        <v>5387</v>
      </c>
      <c r="E1636" s="1" t="s">
        <v>144</v>
      </c>
      <c r="F1636" s="1" t="s">
        <v>142</v>
      </c>
      <c r="G1636" s="1"/>
    </row>
    <row r="1637">
      <c r="A1637" s="1" t="s">
        <v>5388</v>
      </c>
      <c r="B1637" s="1" t="s">
        <v>142</v>
      </c>
      <c r="C1637" s="1" t="s">
        <v>142</v>
      </c>
      <c r="D1637" s="1" t="s">
        <v>5389</v>
      </c>
      <c r="E1637" s="1" t="s">
        <v>144</v>
      </c>
      <c r="F1637" s="1" t="s">
        <v>142</v>
      </c>
      <c r="G1637" s="1"/>
    </row>
    <row r="1638">
      <c r="A1638" s="1" t="s">
        <v>5390</v>
      </c>
      <c r="B1638" s="1" t="s">
        <v>142</v>
      </c>
      <c r="C1638" s="1" t="s">
        <v>142</v>
      </c>
      <c r="D1638" s="1" t="s">
        <v>5391</v>
      </c>
      <c r="E1638" s="1" t="s">
        <v>144</v>
      </c>
      <c r="F1638" s="1" t="s">
        <v>142</v>
      </c>
      <c r="G1638" s="1"/>
    </row>
    <row r="1639">
      <c r="A1639" s="1" t="s">
        <v>5392</v>
      </c>
      <c r="B1639" s="1" t="s">
        <v>142</v>
      </c>
      <c r="C1639" s="1" t="s">
        <v>142</v>
      </c>
      <c r="D1639" s="1" t="s">
        <v>5393</v>
      </c>
      <c r="E1639" s="1" t="s">
        <v>144</v>
      </c>
      <c r="F1639" s="1" t="s">
        <v>142</v>
      </c>
      <c r="G1639" s="1"/>
    </row>
    <row r="1640">
      <c r="A1640" s="1" t="s">
        <v>5394</v>
      </c>
      <c r="B1640" s="1" t="s">
        <v>142</v>
      </c>
      <c r="C1640" s="1" t="s">
        <v>142</v>
      </c>
      <c r="D1640" s="1" t="s">
        <v>5395</v>
      </c>
      <c r="E1640" s="1" t="s">
        <v>144</v>
      </c>
      <c r="F1640" s="1" t="s">
        <v>142</v>
      </c>
      <c r="G1640" s="1"/>
    </row>
    <row r="1641">
      <c r="A1641" s="1" t="s">
        <v>5396</v>
      </c>
      <c r="B1641" s="1" t="s">
        <v>142</v>
      </c>
      <c r="C1641" s="1" t="s">
        <v>142</v>
      </c>
      <c r="D1641" s="1" t="s">
        <v>5397</v>
      </c>
      <c r="E1641" s="1" t="s">
        <v>144</v>
      </c>
      <c r="F1641" s="1" t="s">
        <v>142</v>
      </c>
      <c r="G1641" s="1"/>
    </row>
    <row r="1642">
      <c r="A1642" s="1" t="s">
        <v>5398</v>
      </c>
      <c r="B1642" s="1" t="s">
        <v>142</v>
      </c>
      <c r="C1642" s="1" t="s">
        <v>142</v>
      </c>
      <c r="D1642" s="1" t="s">
        <v>5434</v>
      </c>
      <c r="E1642" s="1" t="s">
        <v>144</v>
      </c>
      <c r="F1642" s="1" t="s">
        <v>142</v>
      </c>
      <c r="G1642" s="1"/>
    </row>
    <row r="1643">
      <c r="A1643" s="1" t="s">
        <v>5436</v>
      </c>
      <c r="B1643" s="1" t="s">
        <v>142</v>
      </c>
      <c r="C1643" s="1" t="s">
        <v>142</v>
      </c>
      <c r="D1643" s="1" t="s">
        <v>5438</v>
      </c>
      <c r="E1643" s="1" t="s">
        <v>144</v>
      </c>
      <c r="F1643" s="1" t="s">
        <v>142</v>
      </c>
      <c r="G1643" s="1"/>
    </row>
    <row r="1644">
      <c r="A1644" s="1" t="s">
        <v>5439</v>
      </c>
      <c r="B1644" s="1" t="s">
        <v>142</v>
      </c>
      <c r="C1644" s="1" t="s">
        <v>142</v>
      </c>
      <c r="D1644" s="1" t="s">
        <v>5440</v>
      </c>
      <c r="E1644" s="1" t="s">
        <v>144</v>
      </c>
      <c r="F1644" s="1" t="s">
        <v>142</v>
      </c>
      <c r="G1644" s="1"/>
    </row>
    <row r="1645">
      <c r="A1645" s="1" t="s">
        <v>5442</v>
      </c>
      <c r="B1645" s="1" t="s">
        <v>142</v>
      </c>
      <c r="C1645" s="1" t="s">
        <v>142</v>
      </c>
      <c r="D1645" s="1" t="s">
        <v>5443</v>
      </c>
      <c r="E1645" s="1" t="s">
        <v>144</v>
      </c>
      <c r="F1645" s="1" t="s">
        <v>142</v>
      </c>
      <c r="G1645" s="1"/>
    </row>
    <row r="1646">
      <c r="A1646" s="1" t="s">
        <v>5444</v>
      </c>
      <c r="B1646" s="1" t="s">
        <v>142</v>
      </c>
      <c r="C1646" s="1" t="s">
        <v>142</v>
      </c>
      <c r="D1646" s="1" t="s">
        <v>5446</v>
      </c>
      <c r="E1646" s="1" t="s">
        <v>144</v>
      </c>
      <c r="F1646" s="1" t="s">
        <v>142</v>
      </c>
      <c r="G1646" s="1"/>
    </row>
    <row r="1647">
      <c r="A1647" s="1" t="s">
        <v>5447</v>
      </c>
      <c r="B1647" s="1" t="s">
        <v>142</v>
      </c>
      <c r="C1647" s="1" t="s">
        <v>142</v>
      </c>
      <c r="D1647" s="1" t="s">
        <v>5448</v>
      </c>
      <c r="E1647" s="1" t="s">
        <v>144</v>
      </c>
      <c r="F1647" s="1" t="s">
        <v>142</v>
      </c>
      <c r="G1647" s="1"/>
    </row>
    <row r="1648">
      <c r="A1648" s="1" t="s">
        <v>4155</v>
      </c>
      <c r="B1648" s="1" t="s">
        <v>142</v>
      </c>
      <c r="C1648" s="1" t="s">
        <v>142</v>
      </c>
      <c r="D1648" s="1" t="s">
        <v>5450</v>
      </c>
      <c r="E1648" s="1" t="s">
        <v>144</v>
      </c>
      <c r="F1648" s="1" t="s">
        <v>142</v>
      </c>
      <c r="G1648" s="1"/>
    </row>
    <row r="1649">
      <c r="A1649" s="1" t="s">
        <v>5451</v>
      </c>
      <c r="B1649" s="1" t="s">
        <v>142</v>
      </c>
      <c r="C1649" s="1" t="s">
        <v>142</v>
      </c>
      <c r="D1649" s="1" t="s">
        <v>5452</v>
      </c>
      <c r="E1649" s="1" t="s">
        <v>144</v>
      </c>
      <c r="F1649" s="1" t="s">
        <v>142</v>
      </c>
      <c r="G1649" s="1"/>
    </row>
    <row r="1650">
      <c r="A1650" s="1" t="s">
        <v>5453</v>
      </c>
      <c r="B1650" s="1" t="s">
        <v>142</v>
      </c>
      <c r="C1650" s="1" t="s">
        <v>142</v>
      </c>
      <c r="D1650" s="1" t="s">
        <v>5454</v>
      </c>
      <c r="E1650" s="1" t="s">
        <v>144</v>
      </c>
      <c r="F1650" s="1" t="s">
        <v>142</v>
      </c>
      <c r="G1650" s="1"/>
    </row>
    <row r="1651">
      <c r="A1651" s="1" t="s">
        <v>5456</v>
      </c>
      <c r="B1651" s="1" t="s">
        <v>142</v>
      </c>
      <c r="C1651" s="1" t="s">
        <v>142</v>
      </c>
      <c r="D1651" s="1" t="s">
        <v>5457</v>
      </c>
      <c r="E1651" s="1" t="s">
        <v>144</v>
      </c>
      <c r="F1651" s="1" t="s">
        <v>142</v>
      </c>
      <c r="G1651" s="1"/>
    </row>
    <row r="1652">
      <c r="A1652" s="1" t="s">
        <v>4357</v>
      </c>
      <c r="B1652" s="1" t="s">
        <v>142</v>
      </c>
      <c r="C1652" s="1" t="s">
        <v>142</v>
      </c>
      <c r="D1652" s="1" t="s">
        <v>5459</v>
      </c>
      <c r="E1652" s="1" t="s">
        <v>144</v>
      </c>
      <c r="F1652" s="1" t="s">
        <v>142</v>
      </c>
      <c r="G1652" s="1"/>
    </row>
    <row r="1653">
      <c r="A1653" s="1" t="s">
        <v>5460</v>
      </c>
      <c r="B1653" s="1" t="s">
        <v>142</v>
      </c>
      <c r="C1653" s="1" t="s">
        <v>142</v>
      </c>
      <c r="D1653" s="1" t="s">
        <v>5461</v>
      </c>
      <c r="E1653" s="1" t="s">
        <v>144</v>
      </c>
      <c r="F1653" s="1" t="s">
        <v>142</v>
      </c>
      <c r="G1653" s="1"/>
    </row>
    <row r="1654">
      <c r="A1654" s="1" t="s">
        <v>5462</v>
      </c>
      <c r="B1654" s="1" t="s">
        <v>142</v>
      </c>
      <c r="C1654" s="1" t="s">
        <v>142</v>
      </c>
      <c r="D1654" s="1" t="s">
        <v>5464</v>
      </c>
      <c r="E1654" s="1" t="s">
        <v>144</v>
      </c>
      <c r="F1654" s="1" t="s">
        <v>142</v>
      </c>
      <c r="G1654" s="1"/>
    </row>
    <row r="1655">
      <c r="A1655" s="1" t="s">
        <v>5465</v>
      </c>
      <c r="B1655" s="1" t="s">
        <v>142</v>
      </c>
      <c r="C1655" s="1" t="s">
        <v>142</v>
      </c>
      <c r="D1655" s="1" t="s">
        <v>5466</v>
      </c>
      <c r="E1655" s="1" t="s">
        <v>144</v>
      </c>
      <c r="F1655" s="1" t="s">
        <v>142</v>
      </c>
      <c r="G1655" s="1"/>
    </row>
    <row r="1656">
      <c r="A1656" s="1" t="s">
        <v>5467</v>
      </c>
      <c r="B1656" s="1" t="s">
        <v>142</v>
      </c>
      <c r="C1656" s="1" t="s">
        <v>142</v>
      </c>
      <c r="D1656" s="1" t="s">
        <v>5468</v>
      </c>
      <c r="E1656" s="1" t="s">
        <v>144</v>
      </c>
      <c r="F1656" s="1" t="s">
        <v>142</v>
      </c>
      <c r="G1656" s="1"/>
    </row>
    <row r="1657">
      <c r="A1657" s="1" t="s">
        <v>4025</v>
      </c>
      <c r="B1657" s="1" t="s">
        <v>142</v>
      </c>
      <c r="C1657" s="1" t="s">
        <v>142</v>
      </c>
      <c r="D1657" s="1" t="s">
        <v>5470</v>
      </c>
      <c r="E1657" s="1" t="s">
        <v>144</v>
      </c>
      <c r="F1657" s="1" t="s">
        <v>142</v>
      </c>
      <c r="G1657" s="1"/>
    </row>
    <row r="1658">
      <c r="A1658" s="1" t="s">
        <v>5471</v>
      </c>
      <c r="B1658" s="1" t="s">
        <v>142</v>
      </c>
      <c r="C1658" s="1" t="s">
        <v>142</v>
      </c>
      <c r="D1658" s="1" t="s">
        <v>5472</v>
      </c>
      <c r="E1658" s="1" t="s">
        <v>144</v>
      </c>
      <c r="F1658" s="1" t="s">
        <v>142</v>
      </c>
      <c r="G1658" s="1"/>
    </row>
    <row r="1659">
      <c r="A1659" s="1" t="s">
        <v>5473</v>
      </c>
      <c r="B1659" s="1" t="s">
        <v>142</v>
      </c>
      <c r="C1659" s="1" t="s">
        <v>142</v>
      </c>
      <c r="D1659" s="1" t="s">
        <v>5475</v>
      </c>
      <c r="E1659" s="1" t="s">
        <v>144</v>
      </c>
      <c r="F1659" s="1" t="s">
        <v>142</v>
      </c>
      <c r="G1659" s="1"/>
    </row>
    <row r="1660">
      <c r="A1660" s="1" t="s">
        <v>5476</v>
      </c>
      <c r="B1660" s="1" t="s">
        <v>142</v>
      </c>
      <c r="C1660" s="1" t="s">
        <v>142</v>
      </c>
      <c r="D1660" s="1" t="s">
        <v>5477</v>
      </c>
      <c r="E1660" s="1" t="s">
        <v>144</v>
      </c>
      <c r="F1660" s="1" t="s">
        <v>142</v>
      </c>
      <c r="G1660" s="1"/>
    </row>
    <row r="1661">
      <c r="A1661" s="1" t="s">
        <v>5478</v>
      </c>
      <c r="B1661" s="1" t="s">
        <v>142</v>
      </c>
      <c r="C1661" s="1" t="s">
        <v>142</v>
      </c>
      <c r="D1661" s="1" t="s">
        <v>5480</v>
      </c>
      <c r="E1661" s="1" t="s">
        <v>144</v>
      </c>
      <c r="F1661" s="1" t="s">
        <v>142</v>
      </c>
      <c r="G1661" s="1"/>
    </row>
    <row r="1662">
      <c r="A1662" s="1" t="s">
        <v>5481</v>
      </c>
      <c r="B1662" s="1" t="s">
        <v>142</v>
      </c>
      <c r="C1662" s="1" t="s">
        <v>142</v>
      </c>
      <c r="D1662" s="1" t="s">
        <v>5482</v>
      </c>
      <c r="E1662" s="1" t="s">
        <v>144</v>
      </c>
      <c r="F1662" s="1" t="s">
        <v>142</v>
      </c>
      <c r="G1662" s="1"/>
    </row>
    <row r="1663">
      <c r="A1663" s="1" t="s">
        <v>5484</v>
      </c>
      <c r="B1663" s="1" t="s">
        <v>142</v>
      </c>
      <c r="C1663" s="1" t="s">
        <v>142</v>
      </c>
      <c r="D1663" s="1" t="s">
        <v>5485</v>
      </c>
      <c r="E1663" s="1" t="s">
        <v>144</v>
      </c>
      <c r="F1663" s="1" t="s">
        <v>142</v>
      </c>
      <c r="G1663" s="1"/>
    </row>
    <row r="1664">
      <c r="A1664" s="1" t="s">
        <v>5486</v>
      </c>
      <c r="B1664" s="1" t="s">
        <v>142</v>
      </c>
      <c r="C1664" s="1" t="s">
        <v>142</v>
      </c>
      <c r="D1664" s="1" t="s">
        <v>5487</v>
      </c>
      <c r="E1664" s="1" t="s">
        <v>144</v>
      </c>
      <c r="F1664" s="1" t="s">
        <v>142</v>
      </c>
      <c r="G1664" s="1"/>
    </row>
    <row r="1665">
      <c r="A1665" s="1" t="s">
        <v>5489</v>
      </c>
      <c r="B1665" s="1" t="s">
        <v>142</v>
      </c>
      <c r="C1665" s="1" t="s">
        <v>142</v>
      </c>
      <c r="D1665" s="1" t="s">
        <v>5490</v>
      </c>
      <c r="E1665" s="1" t="s">
        <v>144</v>
      </c>
      <c r="F1665" s="1" t="s">
        <v>142</v>
      </c>
      <c r="G1665" s="1"/>
    </row>
    <row r="1666">
      <c r="A1666" s="1" t="s">
        <v>5491</v>
      </c>
      <c r="B1666" s="1" t="s">
        <v>142</v>
      </c>
      <c r="C1666" s="1" t="s">
        <v>142</v>
      </c>
      <c r="D1666" s="1" t="s">
        <v>5492</v>
      </c>
      <c r="E1666" s="1" t="s">
        <v>144</v>
      </c>
      <c r="F1666" s="1" t="s">
        <v>142</v>
      </c>
      <c r="G1666" s="1"/>
    </row>
    <row r="1667">
      <c r="A1667" s="1" t="s">
        <v>5493</v>
      </c>
      <c r="B1667" s="1" t="s">
        <v>142</v>
      </c>
      <c r="C1667" s="1" t="s">
        <v>142</v>
      </c>
      <c r="D1667" s="1" t="s">
        <v>5494</v>
      </c>
      <c r="E1667" s="1" t="s">
        <v>144</v>
      </c>
      <c r="F1667" s="1" t="s">
        <v>142</v>
      </c>
      <c r="G1667" s="1"/>
    </row>
    <row r="1668">
      <c r="A1668" s="1" t="s">
        <v>5495</v>
      </c>
      <c r="B1668" s="1" t="s">
        <v>142</v>
      </c>
      <c r="C1668" s="1" t="s">
        <v>142</v>
      </c>
      <c r="D1668" s="1" t="s">
        <v>5496</v>
      </c>
      <c r="E1668" s="1" t="s">
        <v>144</v>
      </c>
      <c r="F1668" s="1" t="s">
        <v>142</v>
      </c>
      <c r="G1668" s="1"/>
    </row>
    <row r="1669">
      <c r="A1669" s="1" t="s">
        <v>5497</v>
      </c>
      <c r="B1669" s="1" t="s">
        <v>142</v>
      </c>
      <c r="C1669" s="1" t="s">
        <v>142</v>
      </c>
      <c r="D1669" s="1" t="s">
        <v>5498</v>
      </c>
      <c r="E1669" s="1" t="s">
        <v>144</v>
      </c>
      <c r="F1669" s="1" t="s">
        <v>142</v>
      </c>
      <c r="G1669" s="1"/>
    </row>
    <row r="1670">
      <c r="A1670" s="1" t="s">
        <v>5499</v>
      </c>
      <c r="B1670" s="1" t="s">
        <v>142</v>
      </c>
      <c r="C1670" s="1" t="s">
        <v>142</v>
      </c>
      <c r="D1670" s="1" t="s">
        <v>5500</v>
      </c>
      <c r="E1670" s="1" t="s">
        <v>144</v>
      </c>
      <c r="F1670" s="1" t="s">
        <v>142</v>
      </c>
      <c r="G1670" s="1"/>
    </row>
    <row r="1671">
      <c r="A1671" s="1" t="s">
        <v>5501</v>
      </c>
      <c r="B1671" s="1" t="s">
        <v>142</v>
      </c>
      <c r="C1671" s="1" t="s">
        <v>142</v>
      </c>
      <c r="D1671" s="1" t="s">
        <v>5502</v>
      </c>
      <c r="E1671" s="1" t="s">
        <v>144</v>
      </c>
      <c r="F1671" s="1" t="s">
        <v>142</v>
      </c>
      <c r="G1671" s="1"/>
    </row>
    <row r="1672">
      <c r="A1672" s="1" t="s">
        <v>5503</v>
      </c>
      <c r="B1672" s="1" t="s">
        <v>142</v>
      </c>
      <c r="C1672" s="1" t="s">
        <v>142</v>
      </c>
      <c r="D1672" s="1" t="s">
        <v>5504</v>
      </c>
      <c r="E1672" s="1" t="s">
        <v>144</v>
      </c>
      <c r="F1672" s="1" t="s">
        <v>142</v>
      </c>
      <c r="G1672" s="1"/>
    </row>
    <row r="1673">
      <c r="A1673" s="1" t="s">
        <v>5505</v>
      </c>
      <c r="B1673" s="1" t="s">
        <v>142</v>
      </c>
      <c r="C1673" s="1" t="s">
        <v>142</v>
      </c>
      <c r="D1673" s="1" t="s">
        <v>5506</v>
      </c>
      <c r="E1673" s="1" t="s">
        <v>144</v>
      </c>
      <c r="F1673" s="1" t="s">
        <v>142</v>
      </c>
      <c r="G1673" s="1"/>
    </row>
    <row r="1674">
      <c r="A1674" s="1" t="s">
        <v>5507</v>
      </c>
      <c r="B1674" s="1" t="s">
        <v>142</v>
      </c>
      <c r="C1674" s="1" t="s">
        <v>142</v>
      </c>
      <c r="D1674" s="1" t="s">
        <v>5508</v>
      </c>
      <c r="E1674" s="1" t="s">
        <v>144</v>
      </c>
      <c r="F1674" s="1" t="s">
        <v>142</v>
      </c>
      <c r="G1674" s="1"/>
    </row>
    <row r="1675">
      <c r="A1675" s="1" t="s">
        <v>5509</v>
      </c>
      <c r="B1675" s="1" t="s">
        <v>142</v>
      </c>
      <c r="C1675" s="1" t="s">
        <v>142</v>
      </c>
      <c r="D1675" s="1" t="s">
        <v>5510</v>
      </c>
      <c r="E1675" s="1" t="s">
        <v>144</v>
      </c>
      <c r="F1675" s="1" t="s">
        <v>142</v>
      </c>
      <c r="G1675" s="1"/>
    </row>
    <row r="1676">
      <c r="A1676" s="1" t="s">
        <v>5511</v>
      </c>
      <c r="B1676" s="1" t="s">
        <v>142</v>
      </c>
      <c r="C1676" s="1" t="s">
        <v>142</v>
      </c>
      <c r="D1676" s="1" t="s">
        <v>5512</v>
      </c>
      <c r="E1676" s="1" t="s">
        <v>144</v>
      </c>
      <c r="F1676" s="1" t="s">
        <v>142</v>
      </c>
      <c r="G1676" s="1"/>
    </row>
    <row r="1677">
      <c r="A1677" s="1" t="s">
        <v>5513</v>
      </c>
      <c r="B1677" s="1" t="s">
        <v>142</v>
      </c>
      <c r="C1677" s="1" t="s">
        <v>142</v>
      </c>
      <c r="D1677" s="1" t="s">
        <v>5514</v>
      </c>
      <c r="E1677" s="1" t="s">
        <v>144</v>
      </c>
      <c r="F1677" s="1" t="s">
        <v>142</v>
      </c>
      <c r="G1677" s="1"/>
    </row>
    <row r="1678">
      <c r="A1678" s="1" t="s">
        <v>5515</v>
      </c>
      <c r="B1678" s="1" t="s">
        <v>142</v>
      </c>
      <c r="C1678" s="1" t="s">
        <v>142</v>
      </c>
      <c r="D1678" s="1" t="s">
        <v>5516</v>
      </c>
      <c r="E1678" s="1" t="s">
        <v>144</v>
      </c>
      <c r="F1678" s="1" t="s">
        <v>142</v>
      </c>
      <c r="G1678" s="1"/>
    </row>
    <row r="1679">
      <c r="A1679" s="1" t="s">
        <v>5517</v>
      </c>
      <c r="B1679" s="1" t="s">
        <v>142</v>
      </c>
      <c r="C1679" s="1" t="s">
        <v>142</v>
      </c>
      <c r="D1679" s="1" t="s">
        <v>5518</v>
      </c>
      <c r="E1679" s="1" t="s">
        <v>144</v>
      </c>
      <c r="F1679" s="1" t="s">
        <v>142</v>
      </c>
      <c r="G1679" s="1"/>
    </row>
    <row r="1680">
      <c r="A1680" s="1" t="s">
        <v>5519</v>
      </c>
      <c r="B1680" s="1" t="s">
        <v>5520</v>
      </c>
      <c r="C1680" s="1" t="s">
        <v>5521</v>
      </c>
      <c r="D1680" s="1" t="s">
        <v>5522</v>
      </c>
      <c r="E1680" s="1" t="s">
        <v>144</v>
      </c>
      <c r="F1680" s="1" t="s">
        <v>142</v>
      </c>
      <c r="G1680" s="1"/>
    </row>
    <row r="1681">
      <c r="A1681" s="1" t="s">
        <v>5523</v>
      </c>
      <c r="B1681" s="1" t="s">
        <v>142</v>
      </c>
      <c r="C1681" s="1" t="s">
        <v>142</v>
      </c>
      <c r="D1681" s="1" t="s">
        <v>5524</v>
      </c>
      <c r="E1681" s="1" t="s">
        <v>144</v>
      </c>
      <c r="F1681" s="1" t="s">
        <v>142</v>
      </c>
      <c r="G1681" s="1"/>
    </row>
    <row r="1682">
      <c r="A1682" s="1" t="s">
        <v>5525</v>
      </c>
      <c r="B1682" s="1" t="s">
        <v>142</v>
      </c>
      <c r="C1682" s="1" t="s">
        <v>142</v>
      </c>
      <c r="D1682" s="1" t="s">
        <v>5526</v>
      </c>
      <c r="E1682" s="1" t="s">
        <v>144</v>
      </c>
      <c r="F1682" s="1" t="s">
        <v>142</v>
      </c>
      <c r="G1682" s="1"/>
    </row>
    <row r="1683">
      <c r="A1683" s="1" t="s">
        <v>5527</v>
      </c>
      <c r="B1683" s="1" t="s">
        <v>5528</v>
      </c>
      <c r="C1683" s="1" t="s">
        <v>5529</v>
      </c>
      <c r="D1683" s="1" t="s">
        <v>5530</v>
      </c>
      <c r="E1683" s="1" t="s">
        <v>144</v>
      </c>
      <c r="F1683" s="1" t="s">
        <v>142</v>
      </c>
      <c r="G1683" s="1"/>
    </row>
    <row r="1684">
      <c r="A1684" s="1" t="s">
        <v>5531</v>
      </c>
      <c r="B1684" s="1" t="s">
        <v>142</v>
      </c>
      <c r="C1684" s="1" t="s">
        <v>142</v>
      </c>
      <c r="D1684" s="1" t="s">
        <v>5532</v>
      </c>
      <c r="E1684" s="1" t="s">
        <v>144</v>
      </c>
      <c r="F1684" s="1" t="s">
        <v>142</v>
      </c>
      <c r="G1684" s="1"/>
    </row>
    <row r="1685">
      <c r="A1685" s="1" t="s">
        <v>5533</v>
      </c>
      <c r="B1685" s="1" t="s">
        <v>142</v>
      </c>
      <c r="C1685" s="1" t="s">
        <v>142</v>
      </c>
      <c r="D1685" s="1" t="s">
        <v>5534</v>
      </c>
      <c r="E1685" s="1" t="s">
        <v>144</v>
      </c>
      <c r="F1685" s="1" t="s">
        <v>142</v>
      </c>
      <c r="G1685" s="1"/>
    </row>
    <row r="1686">
      <c r="A1686" s="1" t="s">
        <v>5535</v>
      </c>
      <c r="B1686" s="1" t="s">
        <v>142</v>
      </c>
      <c r="C1686" s="1" t="s">
        <v>142</v>
      </c>
      <c r="D1686" s="1" t="s">
        <v>5536</v>
      </c>
      <c r="E1686" s="1" t="s">
        <v>144</v>
      </c>
      <c r="F1686" s="1" t="s">
        <v>142</v>
      </c>
      <c r="G1686" s="1"/>
    </row>
    <row r="1687">
      <c r="A1687" s="1" t="s">
        <v>5537</v>
      </c>
      <c r="B1687" s="1" t="s">
        <v>142</v>
      </c>
      <c r="C1687" s="1" t="s">
        <v>142</v>
      </c>
      <c r="D1687" s="1" t="s">
        <v>5538</v>
      </c>
      <c r="E1687" s="1" t="s">
        <v>144</v>
      </c>
      <c r="F1687" s="1" t="s">
        <v>142</v>
      </c>
      <c r="G1687" s="1"/>
    </row>
    <row r="1688">
      <c r="A1688" s="1" t="s">
        <v>5539</v>
      </c>
      <c r="B1688" s="1" t="s">
        <v>142</v>
      </c>
      <c r="C1688" s="1" t="s">
        <v>142</v>
      </c>
      <c r="D1688" s="1" t="s">
        <v>5540</v>
      </c>
      <c r="E1688" s="1" t="s">
        <v>144</v>
      </c>
      <c r="F1688" s="1" t="s">
        <v>142</v>
      </c>
      <c r="G1688" s="1"/>
    </row>
    <row r="1689">
      <c r="A1689" s="1" t="s">
        <v>5541</v>
      </c>
      <c r="B1689" s="1" t="s">
        <v>142</v>
      </c>
      <c r="C1689" s="1" t="s">
        <v>142</v>
      </c>
      <c r="D1689" s="1" t="s">
        <v>5542</v>
      </c>
      <c r="E1689" s="1" t="s">
        <v>144</v>
      </c>
      <c r="F1689" s="1" t="s">
        <v>142</v>
      </c>
      <c r="G1689" s="1"/>
    </row>
    <row r="1690">
      <c r="A1690" s="1" t="s">
        <v>5543</v>
      </c>
      <c r="B1690" s="1" t="s">
        <v>142</v>
      </c>
      <c r="C1690" s="1" t="s">
        <v>142</v>
      </c>
      <c r="D1690" s="1" t="s">
        <v>5544</v>
      </c>
      <c r="E1690" s="1" t="s">
        <v>144</v>
      </c>
      <c r="F1690" s="1" t="s">
        <v>142</v>
      </c>
      <c r="G1690" s="1"/>
    </row>
    <row r="1691">
      <c r="A1691" s="1" t="s">
        <v>5545</v>
      </c>
      <c r="B1691" s="1" t="s">
        <v>142</v>
      </c>
      <c r="C1691" s="1" t="s">
        <v>142</v>
      </c>
      <c r="D1691" s="1" t="s">
        <v>5546</v>
      </c>
      <c r="E1691" s="1" t="s">
        <v>144</v>
      </c>
      <c r="F1691" s="1" t="s">
        <v>142</v>
      </c>
      <c r="G1691" s="1"/>
    </row>
    <row r="1692">
      <c r="A1692" s="1" t="s">
        <v>5547</v>
      </c>
      <c r="B1692" s="1" t="s">
        <v>142</v>
      </c>
      <c r="C1692" s="1" t="s">
        <v>142</v>
      </c>
      <c r="D1692" s="1" t="s">
        <v>5548</v>
      </c>
      <c r="E1692" s="1" t="s">
        <v>144</v>
      </c>
      <c r="F1692" s="1" t="s">
        <v>142</v>
      </c>
      <c r="G1692" s="1"/>
    </row>
    <row r="1693">
      <c r="A1693" s="1" t="s">
        <v>5549</v>
      </c>
      <c r="B1693" s="1" t="s">
        <v>142</v>
      </c>
      <c r="C1693" s="1" t="s">
        <v>142</v>
      </c>
      <c r="D1693" s="1" t="s">
        <v>5550</v>
      </c>
      <c r="E1693" s="1" t="s">
        <v>144</v>
      </c>
      <c r="F1693" s="1" t="s">
        <v>142</v>
      </c>
      <c r="G1693" s="1"/>
    </row>
    <row r="1694">
      <c r="A1694" s="1" t="s">
        <v>5551</v>
      </c>
      <c r="B1694" s="1" t="s">
        <v>142</v>
      </c>
      <c r="C1694" s="1" t="s">
        <v>142</v>
      </c>
      <c r="D1694" s="1" t="s">
        <v>5552</v>
      </c>
      <c r="E1694" s="1" t="s">
        <v>144</v>
      </c>
      <c r="F1694" s="1" t="s">
        <v>142</v>
      </c>
      <c r="G1694" s="1"/>
    </row>
    <row r="1695">
      <c r="A1695" s="1" t="s">
        <v>5553</v>
      </c>
      <c r="B1695" s="1" t="s">
        <v>142</v>
      </c>
      <c r="C1695" s="1" t="s">
        <v>142</v>
      </c>
      <c r="D1695" s="1" t="s">
        <v>5554</v>
      </c>
      <c r="E1695" s="1" t="s">
        <v>144</v>
      </c>
      <c r="F1695" s="1" t="s">
        <v>142</v>
      </c>
      <c r="G1695" s="1"/>
    </row>
    <row r="1696">
      <c r="A1696" s="1" t="s">
        <v>5555</v>
      </c>
      <c r="B1696" s="1" t="s">
        <v>142</v>
      </c>
      <c r="C1696" s="1" t="s">
        <v>142</v>
      </c>
      <c r="D1696" s="1" t="s">
        <v>5556</v>
      </c>
      <c r="E1696" s="1" t="s">
        <v>144</v>
      </c>
      <c r="F1696" s="1" t="s">
        <v>142</v>
      </c>
      <c r="G1696" s="1"/>
    </row>
    <row r="1697">
      <c r="A1697" s="1" t="s">
        <v>5557</v>
      </c>
      <c r="B1697" s="1" t="s">
        <v>5558</v>
      </c>
      <c r="C1697" s="1" t="s">
        <v>5559</v>
      </c>
      <c r="D1697" s="1" t="s">
        <v>5560</v>
      </c>
      <c r="E1697" s="1" t="s">
        <v>144</v>
      </c>
      <c r="F1697" s="1" t="s">
        <v>142</v>
      </c>
      <c r="G1697" s="1"/>
    </row>
    <row r="1698">
      <c r="A1698" s="1" t="s">
        <v>5561</v>
      </c>
      <c r="B1698" s="1" t="s">
        <v>5562</v>
      </c>
      <c r="C1698" s="1" t="s">
        <v>5563</v>
      </c>
      <c r="D1698" s="1" t="s">
        <v>5564</v>
      </c>
      <c r="E1698" s="1" t="s">
        <v>144</v>
      </c>
      <c r="F1698" s="1" t="s">
        <v>142</v>
      </c>
      <c r="G1698" s="1"/>
    </row>
    <row r="1699">
      <c r="A1699" s="1" t="s">
        <v>5565</v>
      </c>
      <c r="B1699" s="1" t="s">
        <v>5566</v>
      </c>
      <c r="C1699" s="1" t="s">
        <v>5567</v>
      </c>
      <c r="D1699" s="1" t="s">
        <v>5568</v>
      </c>
      <c r="E1699" s="1" t="s">
        <v>144</v>
      </c>
      <c r="F1699" s="1" t="s">
        <v>142</v>
      </c>
      <c r="G1699" s="1"/>
    </row>
    <row r="1700">
      <c r="A1700" s="1" t="s">
        <v>5569</v>
      </c>
      <c r="B1700" s="1" t="s">
        <v>5570</v>
      </c>
      <c r="C1700" s="1" t="s">
        <v>5571</v>
      </c>
      <c r="D1700" s="1" t="s">
        <v>5572</v>
      </c>
      <c r="E1700" s="1" t="s">
        <v>144</v>
      </c>
      <c r="F1700" s="1" t="s">
        <v>142</v>
      </c>
      <c r="G1700" s="1"/>
    </row>
    <row r="1701">
      <c r="A1701" s="1" t="s">
        <v>5573</v>
      </c>
      <c r="B1701" s="1" t="s">
        <v>142</v>
      </c>
      <c r="C1701" s="1" t="s">
        <v>142</v>
      </c>
      <c r="D1701" s="1" t="s">
        <v>5574</v>
      </c>
      <c r="E1701" s="1" t="s">
        <v>144</v>
      </c>
      <c r="F1701" s="1" t="s">
        <v>142</v>
      </c>
      <c r="G1701" s="1"/>
    </row>
    <row r="1702">
      <c r="A1702" s="1" t="s">
        <v>5575</v>
      </c>
      <c r="B1702" s="1" t="s">
        <v>142</v>
      </c>
      <c r="C1702" s="1" t="s">
        <v>142</v>
      </c>
      <c r="D1702" s="1" t="s">
        <v>5576</v>
      </c>
      <c r="E1702" s="1" t="s">
        <v>144</v>
      </c>
      <c r="F1702" s="1" t="s">
        <v>142</v>
      </c>
      <c r="G1702" s="1"/>
    </row>
    <row r="1703">
      <c r="A1703" s="1" t="s">
        <v>5577</v>
      </c>
      <c r="B1703" s="1" t="s">
        <v>142</v>
      </c>
      <c r="C1703" s="1" t="s">
        <v>142</v>
      </c>
      <c r="D1703" s="1" t="s">
        <v>5578</v>
      </c>
      <c r="E1703" s="1" t="s">
        <v>144</v>
      </c>
      <c r="F1703" s="1" t="s">
        <v>142</v>
      </c>
      <c r="G1703" s="1"/>
    </row>
    <row r="1704">
      <c r="A1704" s="1" t="s">
        <v>5579</v>
      </c>
      <c r="B1704" s="1" t="s">
        <v>142</v>
      </c>
      <c r="C1704" s="1" t="s">
        <v>142</v>
      </c>
      <c r="D1704" s="1" t="s">
        <v>5580</v>
      </c>
      <c r="E1704" s="1" t="s">
        <v>144</v>
      </c>
      <c r="F1704" s="1" t="s">
        <v>142</v>
      </c>
      <c r="G1704" s="1"/>
    </row>
    <row r="1705">
      <c r="A1705" s="1" t="s">
        <v>5581</v>
      </c>
      <c r="B1705" s="1" t="s">
        <v>142</v>
      </c>
      <c r="C1705" s="1" t="s">
        <v>142</v>
      </c>
      <c r="D1705" s="1" t="s">
        <v>5582</v>
      </c>
      <c r="E1705" s="1" t="s">
        <v>144</v>
      </c>
      <c r="F1705" s="1" t="s">
        <v>142</v>
      </c>
      <c r="G1705" s="1"/>
    </row>
    <row r="1706">
      <c r="A1706" s="1" t="s">
        <v>5583</v>
      </c>
      <c r="B1706" s="1" t="s">
        <v>142</v>
      </c>
      <c r="C1706" s="1" t="s">
        <v>142</v>
      </c>
      <c r="D1706" s="1" t="s">
        <v>5584</v>
      </c>
      <c r="E1706" s="1" t="s">
        <v>144</v>
      </c>
      <c r="F1706" s="1" t="s">
        <v>142</v>
      </c>
      <c r="G1706" s="1"/>
    </row>
    <row r="1707">
      <c r="A1707" s="1" t="s">
        <v>5585</v>
      </c>
      <c r="B1707" s="1" t="s">
        <v>142</v>
      </c>
      <c r="C1707" s="1" t="s">
        <v>142</v>
      </c>
      <c r="D1707" s="1" t="s">
        <v>5586</v>
      </c>
      <c r="E1707" s="1" t="s">
        <v>144</v>
      </c>
      <c r="F1707" s="1" t="s">
        <v>142</v>
      </c>
      <c r="G1707" s="1"/>
    </row>
    <row r="1708">
      <c r="A1708" s="1" t="s">
        <v>5587</v>
      </c>
      <c r="B1708" s="1" t="s">
        <v>142</v>
      </c>
      <c r="C1708" s="1" t="s">
        <v>142</v>
      </c>
      <c r="D1708" s="1" t="s">
        <v>5588</v>
      </c>
      <c r="E1708" s="1" t="s">
        <v>144</v>
      </c>
      <c r="F1708" s="1" t="s">
        <v>142</v>
      </c>
      <c r="G1708" s="1"/>
    </row>
    <row r="1709">
      <c r="A1709" s="1" t="s">
        <v>5589</v>
      </c>
      <c r="B1709" s="1" t="s">
        <v>142</v>
      </c>
      <c r="C1709" s="1" t="s">
        <v>142</v>
      </c>
      <c r="D1709" s="1" t="s">
        <v>5590</v>
      </c>
      <c r="E1709" s="1" t="s">
        <v>144</v>
      </c>
      <c r="F1709" s="1" t="s">
        <v>142</v>
      </c>
      <c r="G1709" s="1"/>
    </row>
    <row r="1710">
      <c r="A1710" s="1" t="s">
        <v>5591</v>
      </c>
      <c r="B1710" s="1" t="s">
        <v>142</v>
      </c>
      <c r="C1710" s="1" t="s">
        <v>142</v>
      </c>
      <c r="D1710" s="1" t="s">
        <v>5592</v>
      </c>
      <c r="E1710" s="1" t="s">
        <v>144</v>
      </c>
      <c r="F1710" s="1" t="s">
        <v>142</v>
      </c>
      <c r="G1710" s="1"/>
    </row>
    <row r="1711">
      <c r="A1711" s="1" t="s">
        <v>5593</v>
      </c>
      <c r="B1711" s="1" t="s">
        <v>142</v>
      </c>
      <c r="C1711" s="1" t="s">
        <v>142</v>
      </c>
      <c r="D1711" s="1" t="s">
        <v>5594</v>
      </c>
      <c r="E1711" s="1" t="s">
        <v>144</v>
      </c>
      <c r="F1711" s="1" t="s">
        <v>142</v>
      </c>
      <c r="G1711" s="1"/>
    </row>
    <row r="1712">
      <c r="A1712" s="1" t="s">
        <v>5595</v>
      </c>
      <c r="B1712" s="1" t="s">
        <v>142</v>
      </c>
      <c r="C1712" s="1" t="s">
        <v>142</v>
      </c>
      <c r="D1712" s="1" t="s">
        <v>5596</v>
      </c>
      <c r="E1712" s="1" t="s">
        <v>144</v>
      </c>
      <c r="F1712" s="1" t="s">
        <v>142</v>
      </c>
      <c r="G1712" s="1"/>
    </row>
    <row r="1713">
      <c r="A1713" s="1" t="s">
        <v>5597</v>
      </c>
      <c r="B1713" s="1" t="s">
        <v>142</v>
      </c>
      <c r="C1713" s="1" t="s">
        <v>142</v>
      </c>
      <c r="D1713" s="1" t="s">
        <v>5598</v>
      </c>
      <c r="E1713" s="1" t="s">
        <v>144</v>
      </c>
      <c r="F1713" s="1" t="s">
        <v>142</v>
      </c>
      <c r="G1713" s="1"/>
    </row>
    <row r="1714">
      <c r="A1714" s="1" t="s">
        <v>5599</v>
      </c>
      <c r="B1714" s="1" t="s">
        <v>142</v>
      </c>
      <c r="C1714" s="1" t="s">
        <v>142</v>
      </c>
      <c r="D1714" s="1" t="s">
        <v>5600</v>
      </c>
      <c r="E1714" s="1" t="s">
        <v>144</v>
      </c>
      <c r="F1714" s="1" t="s">
        <v>142</v>
      </c>
      <c r="G1714" s="1"/>
    </row>
    <row r="1715">
      <c r="A1715" s="1" t="s">
        <v>5601</v>
      </c>
      <c r="B1715" s="1" t="s">
        <v>142</v>
      </c>
      <c r="C1715" s="1" t="s">
        <v>142</v>
      </c>
      <c r="D1715" s="1" t="s">
        <v>5602</v>
      </c>
      <c r="E1715" s="1" t="s">
        <v>144</v>
      </c>
      <c r="F1715" s="1" t="s">
        <v>142</v>
      </c>
      <c r="G1715" s="1"/>
    </row>
    <row r="1716">
      <c r="A1716" s="1" t="s">
        <v>5603</v>
      </c>
      <c r="B1716" s="1" t="s">
        <v>142</v>
      </c>
      <c r="C1716" s="1" t="s">
        <v>142</v>
      </c>
      <c r="D1716" s="1" t="s">
        <v>5604</v>
      </c>
      <c r="E1716" s="1" t="s">
        <v>144</v>
      </c>
      <c r="F1716" s="1" t="s">
        <v>142</v>
      </c>
      <c r="G1716" s="1"/>
    </row>
    <row r="1717">
      <c r="A1717" s="1" t="s">
        <v>5605</v>
      </c>
      <c r="B1717" s="1" t="s">
        <v>142</v>
      </c>
      <c r="C1717" s="1" t="s">
        <v>142</v>
      </c>
      <c r="D1717" s="1" t="s">
        <v>5606</v>
      </c>
      <c r="E1717" s="1" t="s">
        <v>144</v>
      </c>
      <c r="F1717" s="1" t="s">
        <v>142</v>
      </c>
      <c r="G1717" s="1"/>
    </row>
    <row r="1718">
      <c r="A1718" s="1" t="s">
        <v>5607</v>
      </c>
      <c r="B1718" s="1" t="s">
        <v>142</v>
      </c>
      <c r="C1718" s="1" t="s">
        <v>142</v>
      </c>
      <c r="D1718" s="1" t="s">
        <v>5608</v>
      </c>
      <c r="E1718" s="1" t="s">
        <v>144</v>
      </c>
      <c r="F1718" s="1" t="s">
        <v>142</v>
      </c>
      <c r="G1718" s="1"/>
    </row>
    <row r="1719">
      <c r="A1719" s="1" t="s">
        <v>5609</v>
      </c>
      <c r="B1719" s="1" t="s">
        <v>142</v>
      </c>
      <c r="C1719" s="1" t="s">
        <v>142</v>
      </c>
      <c r="D1719" s="1" t="s">
        <v>5610</v>
      </c>
      <c r="E1719" s="1" t="s">
        <v>144</v>
      </c>
      <c r="F1719" s="1" t="s">
        <v>142</v>
      </c>
      <c r="G1719" s="1"/>
    </row>
    <row r="1720">
      <c r="A1720" s="1" t="s">
        <v>5611</v>
      </c>
      <c r="B1720" s="1" t="s">
        <v>142</v>
      </c>
      <c r="C1720" s="1" t="s">
        <v>142</v>
      </c>
      <c r="D1720" s="1" t="s">
        <v>5612</v>
      </c>
      <c r="E1720" s="1" t="s">
        <v>144</v>
      </c>
      <c r="F1720" s="1" t="s">
        <v>142</v>
      </c>
      <c r="G1720" s="1"/>
    </row>
    <row r="1721">
      <c r="A1721" s="1" t="s">
        <v>5613</v>
      </c>
      <c r="B1721" s="1" t="s">
        <v>142</v>
      </c>
      <c r="C1721" s="1" t="s">
        <v>142</v>
      </c>
      <c r="D1721" s="1" t="s">
        <v>5614</v>
      </c>
      <c r="E1721" s="1" t="s">
        <v>144</v>
      </c>
      <c r="F1721" s="1" t="s">
        <v>142</v>
      </c>
      <c r="G1721" s="1"/>
    </row>
    <row r="1722">
      <c r="A1722" s="1" t="s">
        <v>5615</v>
      </c>
      <c r="B1722" s="1" t="s">
        <v>142</v>
      </c>
      <c r="C1722" s="1" t="s">
        <v>142</v>
      </c>
      <c r="D1722" s="1" t="s">
        <v>5616</v>
      </c>
      <c r="E1722" s="1" t="s">
        <v>144</v>
      </c>
      <c r="F1722" s="1" t="s">
        <v>142</v>
      </c>
      <c r="G1722" s="1"/>
    </row>
    <row r="1723">
      <c r="A1723" s="1" t="s">
        <v>5617</v>
      </c>
      <c r="B1723" s="1" t="s">
        <v>142</v>
      </c>
      <c r="C1723" s="1" t="s">
        <v>142</v>
      </c>
      <c r="D1723" s="1" t="s">
        <v>5618</v>
      </c>
      <c r="E1723" s="1" t="s">
        <v>144</v>
      </c>
      <c r="F1723" s="1" t="s">
        <v>142</v>
      </c>
      <c r="G1723" s="1"/>
    </row>
    <row r="1724">
      <c r="A1724" s="1" t="s">
        <v>5619</v>
      </c>
      <c r="B1724" s="1" t="s">
        <v>142</v>
      </c>
      <c r="C1724" s="1" t="s">
        <v>142</v>
      </c>
      <c r="D1724" s="1" t="s">
        <v>5620</v>
      </c>
      <c r="E1724" s="1" t="s">
        <v>144</v>
      </c>
      <c r="F1724" s="1" t="s">
        <v>142</v>
      </c>
      <c r="G1724" s="1"/>
    </row>
    <row r="1725">
      <c r="A1725" s="1" t="s">
        <v>5621</v>
      </c>
      <c r="B1725" s="1" t="s">
        <v>142</v>
      </c>
      <c r="C1725" s="1" t="s">
        <v>142</v>
      </c>
      <c r="D1725" s="1" t="s">
        <v>5622</v>
      </c>
      <c r="E1725" s="1" t="s">
        <v>144</v>
      </c>
      <c r="F1725" s="1" t="s">
        <v>142</v>
      </c>
      <c r="G1725" s="1"/>
    </row>
    <row r="1726">
      <c r="A1726" s="1" t="s">
        <v>5623</v>
      </c>
      <c r="B1726" s="1" t="s">
        <v>142</v>
      </c>
      <c r="C1726" s="1" t="s">
        <v>142</v>
      </c>
      <c r="D1726" s="1" t="s">
        <v>5626</v>
      </c>
      <c r="E1726" s="1" t="s">
        <v>144</v>
      </c>
      <c r="F1726" s="1" t="s">
        <v>142</v>
      </c>
      <c r="G1726" s="1"/>
    </row>
    <row r="1727">
      <c r="A1727" s="1" t="s">
        <v>5627</v>
      </c>
      <c r="B1727" s="1" t="s">
        <v>142</v>
      </c>
      <c r="C1727" s="1" t="s">
        <v>142</v>
      </c>
      <c r="D1727" s="1" t="s">
        <v>5628</v>
      </c>
      <c r="E1727" s="1" t="s">
        <v>144</v>
      </c>
      <c r="F1727" s="1" t="s">
        <v>142</v>
      </c>
      <c r="G1727" s="1"/>
    </row>
    <row r="1728">
      <c r="A1728" s="1" t="s">
        <v>5629</v>
      </c>
      <c r="B1728" s="1" t="s">
        <v>142</v>
      </c>
      <c r="C1728" s="1" t="s">
        <v>142</v>
      </c>
      <c r="D1728" s="1" t="s">
        <v>5630</v>
      </c>
      <c r="E1728" s="1" t="s">
        <v>144</v>
      </c>
      <c r="F1728" s="1" t="s">
        <v>142</v>
      </c>
      <c r="G1728" s="1"/>
    </row>
    <row r="1729">
      <c r="A1729" s="1" t="s">
        <v>5631</v>
      </c>
      <c r="B1729" s="1" t="s">
        <v>142</v>
      </c>
      <c r="C1729" s="1" t="s">
        <v>142</v>
      </c>
      <c r="D1729" s="1" t="s">
        <v>5632</v>
      </c>
      <c r="E1729" s="1" t="s">
        <v>144</v>
      </c>
      <c r="F1729" s="1" t="s">
        <v>142</v>
      </c>
      <c r="G1729" s="1"/>
    </row>
    <row r="1730">
      <c r="A1730" s="1" t="s">
        <v>5633</v>
      </c>
      <c r="B1730" s="1" t="s">
        <v>142</v>
      </c>
      <c r="C1730" s="1" t="s">
        <v>142</v>
      </c>
      <c r="D1730" s="1" t="s">
        <v>5634</v>
      </c>
      <c r="E1730" s="1" t="s">
        <v>144</v>
      </c>
      <c r="F1730" s="1" t="s">
        <v>142</v>
      </c>
      <c r="G1730" s="1"/>
    </row>
    <row r="1731">
      <c r="A1731" s="1" t="s">
        <v>5635</v>
      </c>
      <c r="B1731" s="1" t="s">
        <v>142</v>
      </c>
      <c r="C1731" s="1" t="s">
        <v>142</v>
      </c>
      <c r="D1731" s="1" t="s">
        <v>5636</v>
      </c>
      <c r="E1731" s="1" t="s">
        <v>144</v>
      </c>
      <c r="F1731" s="1" t="s">
        <v>142</v>
      </c>
      <c r="G1731" s="1"/>
    </row>
    <row r="1732">
      <c r="A1732" s="1" t="s">
        <v>5637</v>
      </c>
      <c r="B1732" s="1" t="s">
        <v>142</v>
      </c>
      <c r="C1732" s="1" t="s">
        <v>142</v>
      </c>
      <c r="D1732" s="1" t="s">
        <v>5638</v>
      </c>
      <c r="E1732" s="1" t="s">
        <v>144</v>
      </c>
      <c r="F1732" s="1" t="s">
        <v>142</v>
      </c>
      <c r="G1732" s="1"/>
    </row>
    <row r="1733">
      <c r="A1733" s="1" t="s">
        <v>5639</v>
      </c>
      <c r="B1733" s="1" t="s">
        <v>142</v>
      </c>
      <c r="C1733" s="1" t="s">
        <v>142</v>
      </c>
      <c r="D1733" s="1" t="s">
        <v>5640</v>
      </c>
      <c r="E1733" s="1" t="s">
        <v>144</v>
      </c>
      <c r="F1733" s="1" t="s">
        <v>142</v>
      </c>
      <c r="G1733" s="1"/>
    </row>
    <row r="1734">
      <c r="A1734" s="1" t="s">
        <v>5641</v>
      </c>
      <c r="B1734" s="1" t="s">
        <v>142</v>
      </c>
      <c r="C1734" s="1" t="s">
        <v>142</v>
      </c>
      <c r="D1734" s="1" t="s">
        <v>5642</v>
      </c>
      <c r="E1734" s="1" t="s">
        <v>144</v>
      </c>
      <c r="F1734" s="1" t="s">
        <v>142</v>
      </c>
      <c r="G1734" s="1"/>
    </row>
    <row r="1735">
      <c r="A1735" s="1" t="s">
        <v>5643</v>
      </c>
      <c r="B1735" s="1" t="s">
        <v>142</v>
      </c>
      <c r="C1735" s="1" t="s">
        <v>142</v>
      </c>
      <c r="D1735" s="1" t="s">
        <v>5644</v>
      </c>
      <c r="E1735" s="1" t="s">
        <v>144</v>
      </c>
      <c r="F1735" s="1" t="s">
        <v>142</v>
      </c>
      <c r="G1735" s="1"/>
    </row>
    <row r="1736">
      <c r="A1736" s="1" t="s">
        <v>5645</v>
      </c>
      <c r="B1736" s="1" t="s">
        <v>142</v>
      </c>
      <c r="C1736" s="1" t="s">
        <v>142</v>
      </c>
      <c r="D1736" s="1" t="s">
        <v>5646</v>
      </c>
      <c r="E1736" s="1" t="s">
        <v>144</v>
      </c>
      <c r="F1736" s="1" t="s">
        <v>142</v>
      </c>
      <c r="G1736" s="1"/>
    </row>
    <row r="1737">
      <c r="A1737" s="1" t="s">
        <v>5647</v>
      </c>
      <c r="B1737" s="1" t="s">
        <v>142</v>
      </c>
      <c r="C1737" s="1" t="s">
        <v>142</v>
      </c>
      <c r="D1737" s="1" t="s">
        <v>5648</v>
      </c>
      <c r="E1737" s="1" t="s">
        <v>144</v>
      </c>
      <c r="F1737" s="1" t="s">
        <v>142</v>
      </c>
      <c r="G1737" s="1"/>
    </row>
    <row r="1738">
      <c r="A1738" s="1" t="s">
        <v>5649</v>
      </c>
      <c r="B1738" s="1" t="s">
        <v>142</v>
      </c>
      <c r="C1738" s="1" t="s">
        <v>142</v>
      </c>
      <c r="D1738" s="1" t="s">
        <v>5650</v>
      </c>
      <c r="E1738" s="1" t="s">
        <v>144</v>
      </c>
      <c r="F1738" s="1" t="s">
        <v>142</v>
      </c>
      <c r="G1738" s="1"/>
    </row>
    <row r="1739">
      <c r="A1739" s="1" t="s">
        <v>5651</v>
      </c>
      <c r="B1739" s="1" t="s">
        <v>142</v>
      </c>
      <c r="C1739" s="1" t="s">
        <v>142</v>
      </c>
      <c r="D1739" s="1" t="s">
        <v>5652</v>
      </c>
      <c r="E1739" s="1" t="s">
        <v>144</v>
      </c>
      <c r="F1739" s="1" t="s">
        <v>142</v>
      </c>
      <c r="G1739" s="1"/>
    </row>
    <row r="1740">
      <c r="A1740" s="1" t="s">
        <v>5653</v>
      </c>
      <c r="B1740" s="1" t="s">
        <v>142</v>
      </c>
      <c r="C1740" s="1" t="s">
        <v>142</v>
      </c>
      <c r="D1740" s="1" t="s">
        <v>5654</v>
      </c>
      <c r="E1740" s="1" t="s">
        <v>144</v>
      </c>
      <c r="F1740" s="1" t="s">
        <v>142</v>
      </c>
      <c r="G1740" s="1"/>
    </row>
    <row r="1741">
      <c r="A1741" s="1" t="s">
        <v>5655</v>
      </c>
      <c r="B1741" s="1" t="s">
        <v>142</v>
      </c>
      <c r="C1741" s="1" t="s">
        <v>142</v>
      </c>
      <c r="D1741" s="1" t="s">
        <v>5656</v>
      </c>
      <c r="E1741" s="1" t="s">
        <v>144</v>
      </c>
      <c r="F1741" s="1" t="s">
        <v>142</v>
      </c>
      <c r="G1741" s="1"/>
    </row>
    <row r="1742">
      <c r="A1742" s="1" t="s">
        <v>5657</v>
      </c>
      <c r="B1742" s="1" t="s">
        <v>142</v>
      </c>
      <c r="C1742" s="1" t="s">
        <v>142</v>
      </c>
      <c r="D1742" s="1" t="s">
        <v>5658</v>
      </c>
      <c r="E1742" s="1" t="s">
        <v>144</v>
      </c>
      <c r="F1742" s="1" t="s">
        <v>142</v>
      </c>
      <c r="G1742" s="1"/>
    </row>
    <row r="1743">
      <c r="A1743" s="1" t="s">
        <v>5659</v>
      </c>
      <c r="B1743" s="1" t="s">
        <v>142</v>
      </c>
      <c r="C1743" s="1" t="s">
        <v>142</v>
      </c>
      <c r="D1743" s="1" t="s">
        <v>5660</v>
      </c>
      <c r="E1743" s="1" t="s">
        <v>144</v>
      </c>
      <c r="F1743" s="1" t="s">
        <v>142</v>
      </c>
      <c r="G1743" s="1"/>
    </row>
    <row r="1744">
      <c r="A1744" s="1" t="s">
        <v>5661</v>
      </c>
      <c r="B1744" s="1" t="s">
        <v>142</v>
      </c>
      <c r="C1744" s="1" t="s">
        <v>142</v>
      </c>
      <c r="D1744" s="1" t="s">
        <v>5662</v>
      </c>
      <c r="E1744" s="1" t="s">
        <v>144</v>
      </c>
      <c r="F1744" s="1" t="s">
        <v>142</v>
      </c>
      <c r="G1744" s="1"/>
    </row>
    <row r="1745">
      <c r="A1745" s="1" t="s">
        <v>5663</v>
      </c>
      <c r="B1745" s="1" t="s">
        <v>142</v>
      </c>
      <c r="C1745" s="1" t="s">
        <v>142</v>
      </c>
      <c r="D1745" s="1" t="s">
        <v>5664</v>
      </c>
      <c r="E1745" s="1" t="s">
        <v>144</v>
      </c>
      <c r="F1745" s="1" t="s">
        <v>142</v>
      </c>
      <c r="G1745" s="1"/>
    </row>
    <row r="1746">
      <c r="A1746" s="1" t="s">
        <v>5665</v>
      </c>
      <c r="B1746" s="1" t="s">
        <v>142</v>
      </c>
      <c r="C1746" s="1" t="s">
        <v>142</v>
      </c>
      <c r="D1746" s="1" t="s">
        <v>5666</v>
      </c>
      <c r="E1746" s="1" t="s">
        <v>144</v>
      </c>
      <c r="F1746" s="1" t="s">
        <v>142</v>
      </c>
      <c r="G1746" s="1"/>
    </row>
    <row r="1747">
      <c r="A1747" s="1" t="s">
        <v>5667</v>
      </c>
      <c r="B1747" s="1" t="s">
        <v>142</v>
      </c>
      <c r="C1747" s="1" t="s">
        <v>142</v>
      </c>
      <c r="D1747" s="1" t="s">
        <v>5668</v>
      </c>
      <c r="E1747" s="1" t="s">
        <v>144</v>
      </c>
      <c r="F1747" s="1" t="s">
        <v>142</v>
      </c>
      <c r="G1747" s="1"/>
    </row>
    <row r="1748">
      <c r="A1748" s="1" t="s">
        <v>5669</v>
      </c>
      <c r="B1748" s="1" t="s">
        <v>142</v>
      </c>
      <c r="C1748" s="1" t="s">
        <v>142</v>
      </c>
      <c r="D1748" s="1" t="s">
        <v>5670</v>
      </c>
      <c r="E1748" s="1" t="s">
        <v>144</v>
      </c>
      <c r="F1748" s="1" t="s">
        <v>142</v>
      </c>
      <c r="G1748" s="1"/>
    </row>
    <row r="1749">
      <c r="A1749" s="1" t="s">
        <v>5671</v>
      </c>
      <c r="B1749" s="1" t="s">
        <v>142</v>
      </c>
      <c r="C1749" s="1" t="s">
        <v>142</v>
      </c>
      <c r="D1749" s="1" t="s">
        <v>5672</v>
      </c>
      <c r="E1749" s="1" t="s">
        <v>144</v>
      </c>
      <c r="F1749" s="1" t="s">
        <v>142</v>
      </c>
      <c r="G1749" s="1"/>
    </row>
    <row r="1750">
      <c r="A1750" s="1" t="s">
        <v>5673</v>
      </c>
      <c r="B1750" s="1" t="s">
        <v>5674</v>
      </c>
      <c r="C1750" s="1" t="s">
        <v>5675</v>
      </c>
      <c r="D1750" s="1" t="s">
        <v>5676</v>
      </c>
      <c r="E1750" s="1" t="s">
        <v>144</v>
      </c>
      <c r="F1750" s="1" t="s">
        <v>142</v>
      </c>
      <c r="G1750" s="1"/>
    </row>
    <row r="1751">
      <c r="A1751" s="1" t="s">
        <v>5677</v>
      </c>
      <c r="B1751" s="1" t="s">
        <v>142</v>
      </c>
      <c r="C1751" s="1" t="s">
        <v>142</v>
      </c>
      <c r="D1751" s="1" t="s">
        <v>5678</v>
      </c>
      <c r="E1751" s="1" t="s">
        <v>144</v>
      </c>
      <c r="F1751" s="1" t="s">
        <v>142</v>
      </c>
      <c r="G1751" s="1"/>
    </row>
    <row r="1752">
      <c r="A1752" s="1" t="s">
        <v>5679</v>
      </c>
      <c r="B1752" s="1" t="s">
        <v>5680</v>
      </c>
      <c r="C1752" s="1" t="s">
        <v>5681</v>
      </c>
      <c r="D1752" s="1" t="s">
        <v>5682</v>
      </c>
      <c r="E1752" s="1" t="s">
        <v>144</v>
      </c>
      <c r="F1752" s="1" t="s">
        <v>142</v>
      </c>
      <c r="G1752" s="1"/>
    </row>
    <row r="1753">
      <c r="A1753" s="1" t="s">
        <v>5683</v>
      </c>
      <c r="B1753" s="1" t="s">
        <v>142</v>
      </c>
      <c r="C1753" s="1" t="s">
        <v>142</v>
      </c>
      <c r="D1753" s="1" t="s">
        <v>5684</v>
      </c>
      <c r="E1753" s="1" t="s">
        <v>144</v>
      </c>
      <c r="F1753" s="1" t="s">
        <v>142</v>
      </c>
      <c r="G1753" s="1"/>
    </row>
    <row r="1754">
      <c r="A1754" s="1" t="s">
        <v>5685</v>
      </c>
      <c r="B1754" s="1" t="s">
        <v>142</v>
      </c>
      <c r="C1754" s="1" t="s">
        <v>142</v>
      </c>
      <c r="D1754" s="1" t="s">
        <v>5686</v>
      </c>
      <c r="E1754" s="1" t="s">
        <v>144</v>
      </c>
      <c r="F1754" s="1" t="s">
        <v>142</v>
      </c>
      <c r="G1754" s="1"/>
    </row>
    <row r="1755">
      <c r="A1755" s="1" t="s">
        <v>5687</v>
      </c>
      <c r="B1755" s="1" t="s">
        <v>142</v>
      </c>
      <c r="C1755" s="1" t="s">
        <v>142</v>
      </c>
      <c r="D1755" s="1" t="s">
        <v>5688</v>
      </c>
      <c r="E1755" s="1" t="s">
        <v>144</v>
      </c>
      <c r="F1755" s="1" t="s">
        <v>142</v>
      </c>
      <c r="G1755" s="1"/>
    </row>
    <row r="1756">
      <c r="A1756" s="1" t="s">
        <v>5689</v>
      </c>
      <c r="B1756" s="1" t="s">
        <v>142</v>
      </c>
      <c r="C1756" s="1" t="s">
        <v>142</v>
      </c>
      <c r="D1756" s="1" t="s">
        <v>5690</v>
      </c>
      <c r="E1756" s="1" t="s">
        <v>144</v>
      </c>
      <c r="F1756" s="1" t="s">
        <v>142</v>
      </c>
      <c r="G1756" s="1"/>
    </row>
    <row r="1757">
      <c r="A1757" s="1" t="s">
        <v>5691</v>
      </c>
      <c r="B1757" s="1" t="s">
        <v>142</v>
      </c>
      <c r="C1757" s="1" t="s">
        <v>142</v>
      </c>
      <c r="D1757" s="1" t="s">
        <v>5692</v>
      </c>
      <c r="E1757" s="1" t="s">
        <v>144</v>
      </c>
      <c r="F1757" s="1" t="s">
        <v>142</v>
      </c>
      <c r="G1757" s="1"/>
    </row>
    <row r="1758">
      <c r="A1758" s="1" t="s">
        <v>5693</v>
      </c>
      <c r="B1758" s="1" t="s">
        <v>142</v>
      </c>
      <c r="C1758" s="1" t="s">
        <v>142</v>
      </c>
      <c r="D1758" s="1" t="s">
        <v>5694</v>
      </c>
      <c r="E1758" s="1" t="s">
        <v>144</v>
      </c>
      <c r="F1758" s="1" t="s">
        <v>142</v>
      </c>
      <c r="G1758" s="1"/>
    </row>
    <row r="1759">
      <c r="A1759" s="1" t="s">
        <v>5695</v>
      </c>
      <c r="B1759" s="1" t="s">
        <v>142</v>
      </c>
      <c r="C1759" s="1" t="s">
        <v>142</v>
      </c>
      <c r="D1759" s="1" t="s">
        <v>5696</v>
      </c>
      <c r="E1759" s="1" t="s">
        <v>144</v>
      </c>
      <c r="F1759" s="1" t="s">
        <v>142</v>
      </c>
      <c r="G1759" s="1"/>
    </row>
    <row r="1760">
      <c r="A1760" s="1" t="s">
        <v>5697</v>
      </c>
      <c r="B1760" s="1" t="s">
        <v>142</v>
      </c>
      <c r="C1760" s="1" t="s">
        <v>142</v>
      </c>
      <c r="D1760" s="1" t="s">
        <v>5698</v>
      </c>
      <c r="E1760" s="1" t="s">
        <v>144</v>
      </c>
      <c r="F1760" s="1" t="s">
        <v>142</v>
      </c>
      <c r="G1760" s="1"/>
    </row>
    <row r="1761">
      <c r="A1761" s="1" t="s">
        <v>5699</v>
      </c>
      <c r="B1761" s="1" t="s">
        <v>142</v>
      </c>
      <c r="C1761" s="1" t="s">
        <v>142</v>
      </c>
      <c r="D1761" s="1" t="s">
        <v>5700</v>
      </c>
      <c r="E1761" s="1" t="s">
        <v>144</v>
      </c>
      <c r="F1761" s="1" t="s">
        <v>142</v>
      </c>
      <c r="G1761" s="1"/>
    </row>
    <row r="1762">
      <c r="A1762" s="1" t="s">
        <v>9</v>
      </c>
      <c r="B1762" s="1" t="s">
        <v>5701</v>
      </c>
      <c r="C1762" s="1" t="s">
        <v>5702</v>
      </c>
      <c r="D1762" s="1" t="s">
        <v>5703</v>
      </c>
      <c r="E1762" s="1" t="s">
        <v>1229</v>
      </c>
      <c r="F1762" s="1">
        <v>8.0</v>
      </c>
      <c r="G1762" s="1">
        <v>4.0</v>
      </c>
    </row>
    <row r="1763">
      <c r="A1763" s="1" t="s">
        <v>9</v>
      </c>
      <c r="B1763" s="1" t="s">
        <v>5701</v>
      </c>
      <c r="C1763" s="1" t="s">
        <v>5702</v>
      </c>
      <c r="D1763" s="1" t="s">
        <v>5704</v>
      </c>
      <c r="E1763" s="1" t="s">
        <v>144</v>
      </c>
      <c r="F1763" s="1" t="s">
        <v>142</v>
      </c>
      <c r="G1763" s="1"/>
    </row>
    <row r="1764">
      <c r="A1764" s="1" t="s">
        <v>5705</v>
      </c>
      <c r="B1764" s="1" t="s">
        <v>5706</v>
      </c>
      <c r="C1764" s="1" t="s">
        <v>5707</v>
      </c>
      <c r="D1764" s="1" t="s">
        <v>5708</v>
      </c>
      <c r="E1764" s="1" t="s">
        <v>144</v>
      </c>
      <c r="F1764" s="1" t="s">
        <v>142</v>
      </c>
      <c r="G1764" s="1"/>
    </row>
    <row r="1765">
      <c r="A1765" s="1" t="s">
        <v>5709</v>
      </c>
      <c r="B1765" s="1" t="s">
        <v>142</v>
      </c>
      <c r="C1765" s="1" t="s">
        <v>142</v>
      </c>
      <c r="D1765" s="1" t="s">
        <v>5710</v>
      </c>
      <c r="E1765" s="1" t="s">
        <v>144</v>
      </c>
      <c r="F1765" s="1" t="s">
        <v>142</v>
      </c>
      <c r="G1765" s="1"/>
    </row>
    <row r="1766">
      <c r="A1766" s="1" t="s">
        <v>5711</v>
      </c>
      <c r="B1766" s="1" t="s">
        <v>142</v>
      </c>
      <c r="C1766" s="1" t="s">
        <v>142</v>
      </c>
      <c r="D1766" s="1" t="s">
        <v>5712</v>
      </c>
      <c r="E1766" s="1" t="s">
        <v>144</v>
      </c>
      <c r="F1766" s="1" t="s">
        <v>142</v>
      </c>
      <c r="G1766" s="1"/>
    </row>
    <row r="1767">
      <c r="A1767" s="1" t="s">
        <v>5713</v>
      </c>
      <c r="B1767" s="1" t="s">
        <v>142</v>
      </c>
      <c r="C1767" s="1" t="s">
        <v>142</v>
      </c>
      <c r="D1767" s="1" t="s">
        <v>5714</v>
      </c>
      <c r="E1767" s="1" t="s">
        <v>144</v>
      </c>
      <c r="F1767" s="1" t="s">
        <v>142</v>
      </c>
      <c r="G1767" s="1"/>
    </row>
    <row r="1768">
      <c r="A1768" s="1" t="s">
        <v>5715</v>
      </c>
      <c r="B1768" s="1" t="s">
        <v>142</v>
      </c>
      <c r="C1768" s="1" t="s">
        <v>142</v>
      </c>
      <c r="D1768" s="1" t="s">
        <v>5716</v>
      </c>
      <c r="E1768" s="1" t="s">
        <v>144</v>
      </c>
      <c r="F1768" s="1" t="s">
        <v>142</v>
      </c>
      <c r="G1768" s="1"/>
    </row>
    <row r="1769">
      <c r="A1769" s="1" t="s">
        <v>5717</v>
      </c>
      <c r="B1769" s="1" t="s">
        <v>142</v>
      </c>
      <c r="C1769" s="1" t="s">
        <v>142</v>
      </c>
      <c r="D1769" s="1" t="s">
        <v>5718</v>
      </c>
      <c r="E1769" s="1" t="s">
        <v>144</v>
      </c>
      <c r="F1769" s="1" t="s">
        <v>142</v>
      </c>
      <c r="G1769" s="1"/>
    </row>
    <row r="1770">
      <c r="A1770" s="1" t="s">
        <v>5719</v>
      </c>
      <c r="B1770" s="1" t="s">
        <v>142</v>
      </c>
      <c r="C1770" s="1" t="s">
        <v>142</v>
      </c>
      <c r="D1770" s="1" t="s">
        <v>5720</v>
      </c>
      <c r="E1770" s="1" t="s">
        <v>144</v>
      </c>
      <c r="F1770" s="1" t="s">
        <v>142</v>
      </c>
      <c r="G1770" s="1"/>
    </row>
    <row r="1771">
      <c r="A1771" s="1" t="s">
        <v>5721</v>
      </c>
      <c r="B1771" s="1" t="s">
        <v>142</v>
      </c>
      <c r="C1771" s="1" t="s">
        <v>142</v>
      </c>
      <c r="D1771" s="1" t="s">
        <v>5722</v>
      </c>
      <c r="E1771" s="1" t="s">
        <v>144</v>
      </c>
      <c r="F1771" s="1" t="s">
        <v>142</v>
      </c>
      <c r="G1771" s="1"/>
    </row>
    <row r="1772">
      <c r="A1772" s="1" t="s">
        <v>5723</v>
      </c>
      <c r="B1772" s="1" t="s">
        <v>142</v>
      </c>
      <c r="C1772" s="1" t="s">
        <v>142</v>
      </c>
      <c r="D1772" s="1" t="s">
        <v>5724</v>
      </c>
      <c r="E1772" s="1" t="s">
        <v>144</v>
      </c>
      <c r="F1772" s="1" t="s">
        <v>142</v>
      </c>
      <c r="G1772" s="1"/>
    </row>
    <row r="1773">
      <c r="A1773" s="1" t="s">
        <v>5725</v>
      </c>
      <c r="B1773" s="1" t="s">
        <v>142</v>
      </c>
      <c r="C1773" s="1" t="s">
        <v>142</v>
      </c>
      <c r="D1773" s="1" t="s">
        <v>5726</v>
      </c>
      <c r="E1773" s="1" t="s">
        <v>144</v>
      </c>
      <c r="F1773" s="1" t="s">
        <v>142</v>
      </c>
      <c r="G1773" s="1"/>
    </row>
    <row r="1774">
      <c r="A1774" s="1" t="s">
        <v>5727</v>
      </c>
      <c r="B1774" s="1" t="s">
        <v>5728</v>
      </c>
      <c r="C1774" s="1" t="s">
        <v>5729</v>
      </c>
      <c r="D1774" s="1" t="s">
        <v>5730</v>
      </c>
      <c r="E1774" s="1" t="s">
        <v>144</v>
      </c>
      <c r="F1774" s="1" t="s">
        <v>142</v>
      </c>
      <c r="G1774" s="1"/>
    </row>
    <row r="1775">
      <c r="A1775" s="1" t="s">
        <v>5731</v>
      </c>
      <c r="B1775" s="1" t="s">
        <v>142</v>
      </c>
      <c r="C1775" s="1" t="s">
        <v>142</v>
      </c>
      <c r="D1775" s="1" t="s">
        <v>5732</v>
      </c>
      <c r="E1775" s="1" t="s">
        <v>144</v>
      </c>
      <c r="F1775" s="1" t="s">
        <v>142</v>
      </c>
      <c r="G1775" s="1"/>
    </row>
    <row r="1776">
      <c r="A1776" s="1" t="s">
        <v>5733</v>
      </c>
      <c r="B1776" s="1" t="s">
        <v>142</v>
      </c>
      <c r="C1776" s="1" t="s">
        <v>142</v>
      </c>
      <c r="D1776" s="1" t="s">
        <v>5734</v>
      </c>
      <c r="E1776" s="1" t="s">
        <v>144</v>
      </c>
      <c r="F1776" s="1" t="s">
        <v>142</v>
      </c>
      <c r="G1776" s="1"/>
    </row>
    <row r="1777">
      <c r="A1777" s="1" t="s">
        <v>5735</v>
      </c>
      <c r="B1777" s="1" t="s">
        <v>142</v>
      </c>
      <c r="C1777" s="1" t="s">
        <v>142</v>
      </c>
      <c r="D1777" s="1" t="s">
        <v>5736</v>
      </c>
      <c r="E1777" s="1" t="s">
        <v>144</v>
      </c>
      <c r="F1777" s="1" t="s">
        <v>142</v>
      </c>
      <c r="G1777" s="1"/>
    </row>
    <row r="1778">
      <c r="A1778" s="1" t="s">
        <v>5737</v>
      </c>
      <c r="B1778" s="1" t="s">
        <v>142</v>
      </c>
      <c r="C1778" s="1" t="s">
        <v>142</v>
      </c>
      <c r="D1778" s="1" t="s">
        <v>5738</v>
      </c>
      <c r="E1778" s="1" t="s">
        <v>144</v>
      </c>
      <c r="F1778" s="1" t="s">
        <v>142</v>
      </c>
      <c r="G1778" s="1"/>
    </row>
    <row r="1779">
      <c r="A1779" s="1" t="s">
        <v>5739</v>
      </c>
      <c r="B1779" s="1" t="s">
        <v>142</v>
      </c>
      <c r="C1779" s="1" t="s">
        <v>142</v>
      </c>
      <c r="D1779" s="1" t="s">
        <v>5740</v>
      </c>
      <c r="E1779" s="1" t="s">
        <v>144</v>
      </c>
      <c r="F1779" s="1" t="s">
        <v>142</v>
      </c>
      <c r="G1779" s="1"/>
    </row>
    <row r="1780">
      <c r="A1780" s="1" t="s">
        <v>5765</v>
      </c>
      <c r="B1780" s="1" t="s">
        <v>142</v>
      </c>
      <c r="C1780" s="1" t="s">
        <v>142</v>
      </c>
      <c r="D1780" s="1" t="s">
        <v>5767</v>
      </c>
      <c r="E1780" s="1" t="s">
        <v>144</v>
      </c>
      <c r="F1780" s="1" t="s">
        <v>142</v>
      </c>
      <c r="G1780" s="1"/>
    </row>
    <row r="1781">
      <c r="A1781" s="1" t="s">
        <v>5768</v>
      </c>
      <c r="B1781" s="1" t="s">
        <v>5769</v>
      </c>
      <c r="C1781" s="1" t="s">
        <v>5770</v>
      </c>
      <c r="D1781" s="1" t="s">
        <v>5771</v>
      </c>
      <c r="E1781" s="1" t="s">
        <v>144</v>
      </c>
      <c r="F1781" s="1" t="s">
        <v>142</v>
      </c>
      <c r="G1781" s="1"/>
    </row>
    <row r="1782">
      <c r="A1782" s="1" t="s">
        <v>5772</v>
      </c>
      <c r="B1782" s="1" t="s">
        <v>142</v>
      </c>
      <c r="C1782" s="1" t="s">
        <v>142</v>
      </c>
      <c r="D1782" s="1" t="s">
        <v>5773</v>
      </c>
      <c r="E1782" s="1" t="s">
        <v>144</v>
      </c>
      <c r="F1782" s="1" t="s">
        <v>142</v>
      </c>
      <c r="G1782" s="1"/>
    </row>
    <row r="1783">
      <c r="A1783" s="1" t="s">
        <v>5774</v>
      </c>
      <c r="B1783" s="1" t="s">
        <v>142</v>
      </c>
      <c r="C1783" s="1" t="s">
        <v>142</v>
      </c>
      <c r="D1783" s="1" t="s">
        <v>5775</v>
      </c>
      <c r="E1783" s="1" t="s">
        <v>144</v>
      </c>
      <c r="F1783" s="1" t="s">
        <v>142</v>
      </c>
      <c r="G1783" s="1"/>
    </row>
    <row r="1784">
      <c r="A1784" s="1" t="s">
        <v>5776</v>
      </c>
      <c r="B1784" s="1" t="s">
        <v>142</v>
      </c>
      <c r="C1784" s="1" t="s">
        <v>142</v>
      </c>
      <c r="D1784" s="1" t="s">
        <v>5777</v>
      </c>
      <c r="E1784" s="1" t="s">
        <v>144</v>
      </c>
      <c r="F1784" s="1" t="s">
        <v>142</v>
      </c>
      <c r="G1784" s="1"/>
    </row>
    <row r="1785">
      <c r="A1785" s="1" t="s">
        <v>5778</v>
      </c>
      <c r="B1785" s="1" t="s">
        <v>142</v>
      </c>
      <c r="C1785" s="1" t="s">
        <v>142</v>
      </c>
      <c r="D1785" s="1" t="s">
        <v>5779</v>
      </c>
      <c r="E1785" s="1" t="s">
        <v>144</v>
      </c>
      <c r="F1785" s="1" t="s">
        <v>142</v>
      </c>
      <c r="G1785" s="1"/>
    </row>
    <row r="1786">
      <c r="A1786" s="1" t="s">
        <v>5780</v>
      </c>
      <c r="B1786" s="1" t="s">
        <v>5781</v>
      </c>
      <c r="C1786" s="1" t="s">
        <v>5782</v>
      </c>
      <c r="D1786" s="1" t="s">
        <v>5783</v>
      </c>
      <c r="E1786" s="1" t="s">
        <v>144</v>
      </c>
      <c r="F1786" s="1" t="s">
        <v>142</v>
      </c>
      <c r="G1786" s="1"/>
    </row>
    <row r="1787">
      <c r="A1787" s="1" t="s">
        <v>5784</v>
      </c>
      <c r="B1787" s="1" t="s">
        <v>142</v>
      </c>
      <c r="C1787" s="1" t="s">
        <v>142</v>
      </c>
      <c r="D1787" s="1" t="s">
        <v>5785</v>
      </c>
      <c r="E1787" s="1" t="s">
        <v>144</v>
      </c>
      <c r="F1787" s="1" t="s">
        <v>142</v>
      </c>
      <c r="G1787" s="1"/>
    </row>
    <row r="1788">
      <c r="A1788" s="1" t="s">
        <v>5786</v>
      </c>
      <c r="B1788" s="1" t="s">
        <v>142</v>
      </c>
      <c r="C1788" s="1" t="s">
        <v>142</v>
      </c>
      <c r="D1788" s="1" t="s">
        <v>5787</v>
      </c>
      <c r="E1788" s="1" t="s">
        <v>144</v>
      </c>
      <c r="F1788" s="1" t="s">
        <v>142</v>
      </c>
      <c r="G1788" s="1"/>
    </row>
    <row r="1789">
      <c r="A1789" s="1" t="s">
        <v>5788</v>
      </c>
      <c r="B1789" s="1" t="s">
        <v>142</v>
      </c>
      <c r="C1789" s="1" t="s">
        <v>142</v>
      </c>
      <c r="D1789" s="1" t="s">
        <v>5789</v>
      </c>
      <c r="E1789" s="1" t="s">
        <v>144</v>
      </c>
      <c r="F1789" s="1" t="s">
        <v>142</v>
      </c>
      <c r="G1789" s="1"/>
    </row>
    <row r="1790">
      <c r="A1790" s="1" t="s">
        <v>5790</v>
      </c>
      <c r="B1790" s="1" t="s">
        <v>142</v>
      </c>
      <c r="C1790" s="1" t="s">
        <v>142</v>
      </c>
      <c r="D1790" s="1" t="s">
        <v>5791</v>
      </c>
      <c r="E1790" s="1" t="s">
        <v>144</v>
      </c>
      <c r="F1790" s="1" t="s">
        <v>142</v>
      </c>
      <c r="G1790" s="1"/>
    </row>
    <row r="1791">
      <c r="A1791" s="1" t="s">
        <v>5792</v>
      </c>
      <c r="B1791" s="1" t="s">
        <v>142</v>
      </c>
      <c r="C1791" s="1" t="s">
        <v>142</v>
      </c>
      <c r="D1791" s="1" t="s">
        <v>5793</v>
      </c>
      <c r="E1791" s="1" t="s">
        <v>144</v>
      </c>
      <c r="F1791" s="1" t="s">
        <v>142</v>
      </c>
      <c r="G1791" s="1"/>
    </row>
    <row r="1792">
      <c r="A1792" s="1" t="s">
        <v>5794</v>
      </c>
      <c r="B1792" s="1" t="s">
        <v>142</v>
      </c>
      <c r="C1792" s="1" t="s">
        <v>142</v>
      </c>
      <c r="D1792" s="1" t="s">
        <v>5795</v>
      </c>
      <c r="E1792" s="1" t="s">
        <v>144</v>
      </c>
      <c r="F1792" s="1" t="s">
        <v>142</v>
      </c>
      <c r="G1792" s="1"/>
    </row>
    <row r="1793">
      <c r="A1793" s="1" t="s">
        <v>5796</v>
      </c>
      <c r="B1793" s="1" t="s">
        <v>142</v>
      </c>
      <c r="C1793" s="1" t="s">
        <v>142</v>
      </c>
      <c r="D1793" s="1" t="s">
        <v>5797</v>
      </c>
      <c r="E1793" s="1" t="s">
        <v>144</v>
      </c>
      <c r="F1793" s="1" t="s">
        <v>142</v>
      </c>
      <c r="G1793" s="1"/>
    </row>
    <row r="1794">
      <c r="A1794" s="1" t="s">
        <v>5798</v>
      </c>
      <c r="B1794" s="1" t="s">
        <v>142</v>
      </c>
      <c r="C1794" s="1" t="s">
        <v>142</v>
      </c>
      <c r="D1794" s="1" t="s">
        <v>5799</v>
      </c>
      <c r="E1794" s="1" t="s">
        <v>144</v>
      </c>
      <c r="F1794" s="1" t="s">
        <v>142</v>
      </c>
      <c r="G1794" s="1"/>
    </row>
    <row r="1795">
      <c r="A1795" s="1" t="s">
        <v>5800</v>
      </c>
      <c r="B1795" s="1" t="s">
        <v>142</v>
      </c>
      <c r="C1795" s="1" t="s">
        <v>142</v>
      </c>
      <c r="D1795" s="1" t="s">
        <v>5801</v>
      </c>
      <c r="E1795" s="1" t="s">
        <v>144</v>
      </c>
      <c r="F1795" s="1" t="s">
        <v>142</v>
      </c>
      <c r="G1795" s="1"/>
    </row>
    <row r="1796">
      <c r="A1796" s="1" t="s">
        <v>5802</v>
      </c>
      <c r="B1796" s="1" t="s">
        <v>142</v>
      </c>
      <c r="C1796" s="1" t="s">
        <v>142</v>
      </c>
      <c r="D1796" s="1" t="s">
        <v>5803</v>
      </c>
      <c r="E1796" s="1" t="s">
        <v>144</v>
      </c>
      <c r="F1796" s="1" t="s">
        <v>142</v>
      </c>
      <c r="G1796" s="1"/>
    </row>
    <row r="1797">
      <c r="A1797" s="1" t="s">
        <v>5804</v>
      </c>
      <c r="B1797" s="1" t="s">
        <v>142</v>
      </c>
      <c r="C1797" s="1" t="s">
        <v>142</v>
      </c>
      <c r="D1797" s="1" t="s">
        <v>5805</v>
      </c>
      <c r="E1797" s="1" t="s">
        <v>144</v>
      </c>
      <c r="F1797" s="1" t="s">
        <v>142</v>
      </c>
      <c r="G1797" s="1"/>
    </row>
    <row r="1798">
      <c r="A1798" s="1" t="s">
        <v>5806</v>
      </c>
      <c r="B1798" s="1" t="s">
        <v>142</v>
      </c>
      <c r="C1798" s="1" t="s">
        <v>142</v>
      </c>
      <c r="D1798" s="1" t="s">
        <v>5807</v>
      </c>
      <c r="E1798" s="1" t="s">
        <v>144</v>
      </c>
      <c r="F1798" s="1" t="s">
        <v>142</v>
      </c>
      <c r="G1798" s="1"/>
    </row>
    <row r="1799">
      <c r="A1799" s="1" t="s">
        <v>5808</v>
      </c>
      <c r="B1799" s="1" t="s">
        <v>142</v>
      </c>
      <c r="C1799" s="1" t="s">
        <v>142</v>
      </c>
      <c r="D1799" s="1" t="s">
        <v>5809</v>
      </c>
      <c r="E1799" s="1" t="s">
        <v>144</v>
      </c>
      <c r="F1799" s="1" t="s">
        <v>142</v>
      </c>
      <c r="G1799" s="1"/>
    </row>
    <row r="1800">
      <c r="A1800" s="1" t="s">
        <v>5810</v>
      </c>
      <c r="B1800" s="1" t="s">
        <v>142</v>
      </c>
      <c r="C1800" s="1" t="s">
        <v>142</v>
      </c>
      <c r="D1800" s="1" t="s">
        <v>5811</v>
      </c>
      <c r="E1800" s="1" t="s">
        <v>144</v>
      </c>
      <c r="F1800" s="1" t="s">
        <v>142</v>
      </c>
      <c r="G1800" s="1"/>
    </row>
    <row r="1801">
      <c r="A1801" s="1" t="s">
        <v>5812</v>
      </c>
      <c r="B1801" s="1" t="s">
        <v>142</v>
      </c>
      <c r="C1801" s="1" t="s">
        <v>142</v>
      </c>
      <c r="D1801" s="1" t="s">
        <v>5813</v>
      </c>
      <c r="E1801" s="1" t="s">
        <v>144</v>
      </c>
      <c r="F1801" s="1" t="s">
        <v>142</v>
      </c>
      <c r="G1801" s="1"/>
    </row>
    <row r="1802">
      <c r="A1802" s="1" t="s">
        <v>5814</v>
      </c>
      <c r="B1802" s="1" t="s">
        <v>142</v>
      </c>
      <c r="C1802" s="1" t="s">
        <v>142</v>
      </c>
      <c r="D1802" s="1" t="s">
        <v>5815</v>
      </c>
      <c r="E1802" s="1" t="s">
        <v>144</v>
      </c>
      <c r="F1802" s="1" t="s">
        <v>142</v>
      </c>
      <c r="G1802" s="1"/>
    </row>
    <row r="1803">
      <c r="A1803" s="1" t="s">
        <v>5816</v>
      </c>
      <c r="B1803" s="1" t="s">
        <v>142</v>
      </c>
      <c r="C1803" s="1" t="s">
        <v>142</v>
      </c>
      <c r="D1803" s="1" t="s">
        <v>5817</v>
      </c>
      <c r="E1803" s="1" t="s">
        <v>144</v>
      </c>
      <c r="F1803" s="1" t="s">
        <v>142</v>
      </c>
      <c r="G1803" s="1"/>
    </row>
    <row r="1804">
      <c r="A1804" s="1" t="s">
        <v>5818</v>
      </c>
      <c r="B1804" s="1" t="s">
        <v>142</v>
      </c>
      <c r="C1804" s="1" t="s">
        <v>142</v>
      </c>
      <c r="D1804" s="1" t="s">
        <v>5819</v>
      </c>
      <c r="E1804" s="1" t="s">
        <v>144</v>
      </c>
      <c r="F1804" s="1" t="s">
        <v>142</v>
      </c>
      <c r="G1804" s="1"/>
    </row>
    <row r="1805">
      <c r="A1805" s="1" t="s">
        <v>5820</v>
      </c>
      <c r="B1805" s="1" t="s">
        <v>142</v>
      </c>
      <c r="C1805" s="1" t="s">
        <v>142</v>
      </c>
      <c r="D1805" s="1" t="s">
        <v>5821</v>
      </c>
      <c r="E1805" s="1" t="s">
        <v>144</v>
      </c>
      <c r="F1805" s="1" t="s">
        <v>142</v>
      </c>
      <c r="G1805" s="1"/>
    </row>
    <row r="1806">
      <c r="A1806" s="1" t="s">
        <v>5822</v>
      </c>
      <c r="B1806" s="1" t="s">
        <v>142</v>
      </c>
      <c r="C1806" s="1" t="s">
        <v>142</v>
      </c>
      <c r="D1806" s="1" t="s">
        <v>5823</v>
      </c>
      <c r="E1806" s="1" t="s">
        <v>144</v>
      </c>
      <c r="F1806" s="1" t="s">
        <v>142</v>
      </c>
      <c r="G1806" s="1"/>
    </row>
    <row r="1807">
      <c r="A1807" s="1" t="s">
        <v>5824</v>
      </c>
      <c r="B1807" s="1" t="s">
        <v>142</v>
      </c>
      <c r="C1807" s="1" t="s">
        <v>142</v>
      </c>
      <c r="D1807" s="1" t="s">
        <v>5825</v>
      </c>
      <c r="E1807" s="1" t="s">
        <v>144</v>
      </c>
      <c r="F1807" s="1" t="s">
        <v>142</v>
      </c>
      <c r="G1807" s="1"/>
    </row>
    <row r="1808">
      <c r="A1808" s="1" t="s">
        <v>5826</v>
      </c>
      <c r="B1808" s="1" t="s">
        <v>142</v>
      </c>
      <c r="C1808" s="1" t="s">
        <v>142</v>
      </c>
      <c r="D1808" s="1" t="s">
        <v>5827</v>
      </c>
      <c r="E1808" s="1" t="s">
        <v>144</v>
      </c>
      <c r="F1808" s="1" t="s">
        <v>142</v>
      </c>
      <c r="G1808" s="1"/>
    </row>
    <row r="1809">
      <c r="A1809" s="1" t="s">
        <v>5828</v>
      </c>
      <c r="B1809" s="1" t="s">
        <v>142</v>
      </c>
      <c r="C1809" s="1" t="s">
        <v>142</v>
      </c>
      <c r="D1809" s="1" t="s">
        <v>5829</v>
      </c>
      <c r="E1809" s="1" t="s">
        <v>144</v>
      </c>
      <c r="F1809" s="1" t="s">
        <v>142</v>
      </c>
      <c r="G1809" s="1"/>
    </row>
    <row r="1810">
      <c r="A1810" s="1" t="s">
        <v>5830</v>
      </c>
      <c r="B1810" s="1" t="s">
        <v>142</v>
      </c>
      <c r="C1810" s="1" t="s">
        <v>142</v>
      </c>
      <c r="D1810" s="1" t="s">
        <v>5831</v>
      </c>
      <c r="E1810" s="1" t="s">
        <v>144</v>
      </c>
      <c r="F1810" s="1" t="s">
        <v>142</v>
      </c>
      <c r="G1810" s="1"/>
    </row>
    <row r="1811">
      <c r="A1811" s="1" t="s">
        <v>5832</v>
      </c>
      <c r="B1811" s="1" t="s">
        <v>142</v>
      </c>
      <c r="C1811" s="1" t="s">
        <v>142</v>
      </c>
      <c r="D1811" s="1" t="s">
        <v>5833</v>
      </c>
      <c r="E1811" s="1" t="s">
        <v>144</v>
      </c>
      <c r="F1811" s="1" t="s">
        <v>142</v>
      </c>
      <c r="G1811" s="1"/>
    </row>
    <row r="1812">
      <c r="A1812" s="1" t="s">
        <v>5834</v>
      </c>
      <c r="B1812" s="1" t="s">
        <v>142</v>
      </c>
      <c r="C1812" s="1" t="s">
        <v>142</v>
      </c>
      <c r="D1812" s="1" t="s">
        <v>5835</v>
      </c>
      <c r="E1812" s="1" t="s">
        <v>144</v>
      </c>
      <c r="F1812" s="1" t="s">
        <v>142</v>
      </c>
      <c r="G1812" s="1"/>
    </row>
    <row r="1813">
      <c r="A1813" s="1" t="s">
        <v>5836</v>
      </c>
      <c r="B1813" s="1" t="s">
        <v>142</v>
      </c>
      <c r="C1813" s="1" t="s">
        <v>142</v>
      </c>
      <c r="D1813" s="1" t="s">
        <v>5837</v>
      </c>
      <c r="E1813" s="1" t="s">
        <v>144</v>
      </c>
      <c r="F1813" s="1" t="s">
        <v>142</v>
      </c>
      <c r="G1813" s="1"/>
    </row>
    <row r="1814">
      <c r="A1814" s="1" t="s">
        <v>5838</v>
      </c>
      <c r="B1814" s="1" t="s">
        <v>142</v>
      </c>
      <c r="C1814" s="1" t="s">
        <v>142</v>
      </c>
      <c r="D1814" s="1" t="s">
        <v>5839</v>
      </c>
      <c r="E1814" s="1" t="s">
        <v>144</v>
      </c>
      <c r="F1814" s="1" t="s">
        <v>142</v>
      </c>
      <c r="G1814" s="1"/>
    </row>
    <row r="1815">
      <c r="A1815" s="1" t="s">
        <v>5840</v>
      </c>
      <c r="B1815" s="1" t="s">
        <v>142</v>
      </c>
      <c r="C1815" s="1" t="s">
        <v>142</v>
      </c>
      <c r="D1815" s="1" t="s">
        <v>5841</v>
      </c>
      <c r="E1815" s="1" t="s">
        <v>144</v>
      </c>
      <c r="F1815" s="1" t="s">
        <v>142</v>
      </c>
      <c r="G1815" s="1"/>
    </row>
    <row r="1816">
      <c r="A1816" s="1" t="s">
        <v>5842</v>
      </c>
      <c r="B1816" s="1" t="s">
        <v>142</v>
      </c>
      <c r="C1816" s="1" t="s">
        <v>142</v>
      </c>
      <c r="D1816" s="1" t="s">
        <v>5843</v>
      </c>
      <c r="E1816" s="1" t="s">
        <v>144</v>
      </c>
      <c r="F1816" s="1" t="s">
        <v>142</v>
      </c>
      <c r="G1816" s="1"/>
    </row>
    <row r="1817">
      <c r="A1817" s="1" t="s">
        <v>5844</v>
      </c>
      <c r="B1817" s="1" t="s">
        <v>142</v>
      </c>
      <c r="C1817" s="1" t="s">
        <v>142</v>
      </c>
      <c r="D1817" s="1" t="s">
        <v>5845</v>
      </c>
      <c r="E1817" s="1" t="s">
        <v>144</v>
      </c>
      <c r="F1817" s="1" t="s">
        <v>142</v>
      </c>
      <c r="G1817" s="1"/>
    </row>
    <row r="1818">
      <c r="A1818" s="1" t="s">
        <v>5846</v>
      </c>
      <c r="B1818" s="1" t="s">
        <v>142</v>
      </c>
      <c r="C1818" s="1" t="s">
        <v>142</v>
      </c>
      <c r="D1818" s="1" t="s">
        <v>5847</v>
      </c>
      <c r="E1818" s="1" t="s">
        <v>144</v>
      </c>
      <c r="F1818" s="1" t="s">
        <v>142</v>
      </c>
      <c r="G1818" s="1"/>
    </row>
    <row r="1819">
      <c r="A1819" s="1" t="s">
        <v>5848</v>
      </c>
      <c r="B1819" s="1" t="s">
        <v>142</v>
      </c>
      <c r="C1819" s="1" t="s">
        <v>142</v>
      </c>
      <c r="D1819" s="1" t="s">
        <v>5857</v>
      </c>
      <c r="E1819" s="1" t="s">
        <v>144</v>
      </c>
      <c r="F1819" s="1" t="s">
        <v>142</v>
      </c>
      <c r="G1819" s="1"/>
    </row>
    <row r="1820">
      <c r="A1820" s="1" t="s">
        <v>5861</v>
      </c>
      <c r="B1820" s="1" t="s">
        <v>142</v>
      </c>
      <c r="C1820" s="1" t="s">
        <v>142</v>
      </c>
      <c r="D1820" s="1" t="s">
        <v>5864</v>
      </c>
      <c r="E1820" s="1" t="s">
        <v>144</v>
      </c>
      <c r="F1820" s="1" t="s">
        <v>142</v>
      </c>
      <c r="G1820" s="1"/>
    </row>
    <row r="1821">
      <c r="A1821" s="1" t="s">
        <v>5865</v>
      </c>
      <c r="B1821" s="1" t="s">
        <v>142</v>
      </c>
      <c r="C1821" s="1" t="s">
        <v>142</v>
      </c>
      <c r="D1821" s="1" t="s">
        <v>5867</v>
      </c>
      <c r="E1821" s="1" t="s">
        <v>144</v>
      </c>
      <c r="F1821" s="1" t="s">
        <v>142</v>
      </c>
      <c r="G1821" s="1"/>
    </row>
    <row r="1822">
      <c r="A1822" s="1" t="s">
        <v>5868</v>
      </c>
      <c r="B1822" s="1" t="s">
        <v>142</v>
      </c>
      <c r="C1822" s="1" t="s">
        <v>142</v>
      </c>
      <c r="D1822" s="1" t="s">
        <v>5869</v>
      </c>
      <c r="E1822" s="1" t="s">
        <v>144</v>
      </c>
      <c r="F1822" s="1" t="s">
        <v>142</v>
      </c>
      <c r="G1822" s="1"/>
    </row>
    <row r="1823">
      <c r="A1823" s="1" t="s">
        <v>5870</v>
      </c>
      <c r="B1823" s="1" t="s">
        <v>142</v>
      </c>
      <c r="C1823" s="1" t="s">
        <v>142</v>
      </c>
      <c r="D1823" s="1" t="s">
        <v>5871</v>
      </c>
      <c r="E1823" s="1" t="s">
        <v>144</v>
      </c>
      <c r="F1823" s="1" t="s">
        <v>142</v>
      </c>
      <c r="G1823" s="1"/>
    </row>
    <row r="1824">
      <c r="A1824" s="1" t="s">
        <v>5872</v>
      </c>
      <c r="B1824" s="1" t="s">
        <v>142</v>
      </c>
      <c r="C1824" s="1" t="s">
        <v>142</v>
      </c>
      <c r="D1824" s="1" t="s">
        <v>5873</v>
      </c>
      <c r="E1824" s="1" t="s">
        <v>144</v>
      </c>
      <c r="F1824" s="1" t="s">
        <v>142</v>
      </c>
      <c r="G1824" s="1"/>
    </row>
    <row r="1825">
      <c r="A1825" s="1" t="s">
        <v>5874</v>
      </c>
      <c r="B1825" s="1" t="s">
        <v>142</v>
      </c>
      <c r="C1825" s="1" t="s">
        <v>142</v>
      </c>
      <c r="D1825" s="1" t="s">
        <v>5875</v>
      </c>
      <c r="E1825" s="1" t="s">
        <v>144</v>
      </c>
      <c r="F1825" s="1" t="s">
        <v>142</v>
      </c>
      <c r="G1825" s="1"/>
    </row>
    <row r="1826">
      <c r="A1826" s="1" t="s">
        <v>5876</v>
      </c>
      <c r="B1826" s="1" t="s">
        <v>142</v>
      </c>
      <c r="C1826" s="1" t="s">
        <v>142</v>
      </c>
      <c r="D1826" s="1" t="s">
        <v>5877</v>
      </c>
      <c r="E1826" s="1" t="s">
        <v>144</v>
      </c>
      <c r="F1826" s="1" t="s">
        <v>142</v>
      </c>
      <c r="G1826" s="1"/>
    </row>
    <row r="1827">
      <c r="A1827" s="1" t="s">
        <v>5878</v>
      </c>
      <c r="B1827" s="1" t="s">
        <v>142</v>
      </c>
      <c r="C1827" s="1" t="s">
        <v>142</v>
      </c>
      <c r="D1827" s="1" t="s">
        <v>5879</v>
      </c>
      <c r="E1827" s="1" t="s">
        <v>144</v>
      </c>
      <c r="F1827" s="1" t="s">
        <v>142</v>
      </c>
      <c r="G1827" s="1"/>
    </row>
    <row r="1828">
      <c r="A1828" s="1" t="s">
        <v>5880</v>
      </c>
      <c r="B1828" s="1" t="s">
        <v>142</v>
      </c>
      <c r="C1828" s="1" t="s">
        <v>142</v>
      </c>
      <c r="D1828" s="1" t="s">
        <v>5881</v>
      </c>
      <c r="E1828" s="1" t="s">
        <v>144</v>
      </c>
      <c r="F1828" s="1" t="s">
        <v>142</v>
      </c>
      <c r="G1828" s="1"/>
    </row>
    <row r="1829">
      <c r="A1829" s="1" t="s">
        <v>5882</v>
      </c>
      <c r="B1829" s="1" t="s">
        <v>142</v>
      </c>
      <c r="C1829" s="1" t="s">
        <v>142</v>
      </c>
      <c r="D1829" s="1" t="s">
        <v>5883</v>
      </c>
      <c r="E1829" s="1" t="s">
        <v>144</v>
      </c>
      <c r="F1829" s="1" t="s">
        <v>142</v>
      </c>
      <c r="G1829" s="1"/>
    </row>
    <row r="1830">
      <c r="A1830" s="1" t="s">
        <v>5884</v>
      </c>
      <c r="B1830" s="1" t="s">
        <v>142</v>
      </c>
      <c r="C1830" s="1" t="s">
        <v>142</v>
      </c>
      <c r="D1830" s="1" t="s">
        <v>5885</v>
      </c>
      <c r="E1830" s="1" t="s">
        <v>144</v>
      </c>
      <c r="F1830" s="1" t="s">
        <v>142</v>
      </c>
      <c r="G1830" s="1"/>
    </row>
    <row r="1831">
      <c r="A1831" s="1" t="s">
        <v>5886</v>
      </c>
      <c r="B1831" s="1" t="s">
        <v>142</v>
      </c>
      <c r="C1831" s="1" t="s">
        <v>142</v>
      </c>
      <c r="D1831" s="1" t="s">
        <v>5887</v>
      </c>
      <c r="E1831" s="1" t="s">
        <v>144</v>
      </c>
      <c r="F1831" s="1" t="s">
        <v>142</v>
      </c>
      <c r="G1831" s="1"/>
    </row>
    <row r="1832">
      <c r="A1832" s="1" t="s">
        <v>5888</v>
      </c>
      <c r="B1832" s="1" t="s">
        <v>142</v>
      </c>
      <c r="C1832" s="1" t="s">
        <v>142</v>
      </c>
      <c r="D1832" s="1" t="s">
        <v>5889</v>
      </c>
      <c r="E1832" s="1" t="s">
        <v>144</v>
      </c>
      <c r="F1832" s="1" t="s">
        <v>142</v>
      </c>
      <c r="G1832" s="1"/>
    </row>
    <row r="1833">
      <c r="A1833" s="1" t="s">
        <v>5890</v>
      </c>
      <c r="B1833" s="1" t="s">
        <v>142</v>
      </c>
      <c r="C1833" s="1" t="s">
        <v>142</v>
      </c>
      <c r="D1833" s="1" t="s">
        <v>5891</v>
      </c>
      <c r="E1833" s="1" t="s">
        <v>144</v>
      </c>
      <c r="F1833" s="1" t="s">
        <v>142</v>
      </c>
      <c r="G1833" s="1"/>
    </row>
    <row r="1834">
      <c r="A1834" s="1" t="s">
        <v>5892</v>
      </c>
      <c r="B1834" s="1" t="s">
        <v>142</v>
      </c>
      <c r="C1834" s="1" t="s">
        <v>142</v>
      </c>
      <c r="D1834" s="1" t="s">
        <v>5893</v>
      </c>
      <c r="E1834" s="1" t="s">
        <v>144</v>
      </c>
      <c r="F1834" s="1" t="s">
        <v>142</v>
      </c>
      <c r="G1834" s="1"/>
    </row>
    <row r="1835">
      <c r="A1835" s="1" t="s">
        <v>5894</v>
      </c>
      <c r="B1835" s="1" t="s">
        <v>142</v>
      </c>
      <c r="C1835" s="1" t="s">
        <v>142</v>
      </c>
      <c r="D1835" s="1" t="s">
        <v>5895</v>
      </c>
      <c r="E1835" s="1" t="s">
        <v>144</v>
      </c>
      <c r="F1835" s="1" t="s">
        <v>142</v>
      </c>
      <c r="G1835" s="1"/>
    </row>
    <row r="1836">
      <c r="A1836" s="1" t="s">
        <v>5896</v>
      </c>
      <c r="B1836" s="1" t="s">
        <v>142</v>
      </c>
      <c r="C1836" s="1" t="s">
        <v>142</v>
      </c>
      <c r="D1836" s="1" t="s">
        <v>5897</v>
      </c>
      <c r="E1836" s="1" t="s">
        <v>144</v>
      </c>
      <c r="F1836" s="1" t="s">
        <v>142</v>
      </c>
      <c r="G1836" s="1"/>
    </row>
    <row r="1837">
      <c r="A1837" s="1" t="s">
        <v>5898</v>
      </c>
      <c r="B1837" s="1" t="s">
        <v>142</v>
      </c>
      <c r="C1837" s="1" t="s">
        <v>142</v>
      </c>
      <c r="D1837" s="1" t="s">
        <v>5899</v>
      </c>
      <c r="E1837" s="1" t="s">
        <v>144</v>
      </c>
      <c r="F1837" s="1" t="s">
        <v>142</v>
      </c>
      <c r="G1837" s="1"/>
    </row>
    <row r="1838">
      <c r="A1838" s="1" t="s">
        <v>5900</v>
      </c>
      <c r="B1838" s="1" t="s">
        <v>142</v>
      </c>
      <c r="C1838" s="1" t="s">
        <v>142</v>
      </c>
      <c r="D1838" s="1" t="s">
        <v>5901</v>
      </c>
      <c r="E1838" s="1" t="s">
        <v>144</v>
      </c>
      <c r="F1838" s="1" t="s">
        <v>142</v>
      </c>
      <c r="G1838" s="1"/>
    </row>
    <row r="1839">
      <c r="A1839" s="1" t="s">
        <v>5902</v>
      </c>
      <c r="B1839" s="1" t="s">
        <v>142</v>
      </c>
      <c r="C1839" s="1" t="s">
        <v>142</v>
      </c>
      <c r="D1839" s="1" t="s">
        <v>5903</v>
      </c>
      <c r="E1839" s="1" t="s">
        <v>144</v>
      </c>
      <c r="F1839" s="1" t="s">
        <v>142</v>
      </c>
      <c r="G1839" s="1"/>
    </row>
    <row r="1840">
      <c r="A1840" s="1" t="s">
        <v>5904</v>
      </c>
      <c r="B1840" s="1" t="s">
        <v>142</v>
      </c>
      <c r="C1840" s="1" t="s">
        <v>142</v>
      </c>
      <c r="D1840" s="1" t="s">
        <v>5905</v>
      </c>
      <c r="E1840" s="1" t="s">
        <v>144</v>
      </c>
      <c r="F1840" s="1" t="s">
        <v>142</v>
      </c>
      <c r="G1840" s="1"/>
    </row>
    <row r="1841">
      <c r="A1841" s="1" t="s">
        <v>5906</v>
      </c>
      <c r="B1841" s="1" t="s">
        <v>142</v>
      </c>
      <c r="C1841" s="1" t="s">
        <v>142</v>
      </c>
      <c r="D1841" s="1" t="s">
        <v>5907</v>
      </c>
      <c r="E1841" s="1" t="s">
        <v>144</v>
      </c>
      <c r="F1841" s="1" t="s">
        <v>142</v>
      </c>
      <c r="G1841" s="1"/>
    </row>
    <row r="1842">
      <c r="A1842" s="1" t="s">
        <v>5908</v>
      </c>
      <c r="B1842" s="1" t="s">
        <v>142</v>
      </c>
      <c r="C1842" s="1" t="s">
        <v>142</v>
      </c>
      <c r="D1842" s="1" t="s">
        <v>5909</v>
      </c>
      <c r="E1842" s="1" t="s">
        <v>144</v>
      </c>
      <c r="F1842" s="1" t="s">
        <v>142</v>
      </c>
      <c r="G1842" s="1"/>
    </row>
    <row r="1843">
      <c r="A1843" s="1" t="s">
        <v>5910</v>
      </c>
      <c r="B1843" s="1" t="s">
        <v>142</v>
      </c>
      <c r="C1843" s="1" t="s">
        <v>142</v>
      </c>
      <c r="D1843" s="1" t="s">
        <v>5911</v>
      </c>
      <c r="E1843" s="1" t="s">
        <v>144</v>
      </c>
      <c r="F1843" s="1" t="s">
        <v>142</v>
      </c>
      <c r="G1843" s="1"/>
    </row>
    <row r="1844">
      <c r="A1844" s="1" t="s">
        <v>5912</v>
      </c>
      <c r="B1844" s="1" t="s">
        <v>142</v>
      </c>
      <c r="C1844" s="1" t="s">
        <v>142</v>
      </c>
      <c r="D1844" s="1" t="s">
        <v>5913</v>
      </c>
      <c r="E1844" s="1" t="s">
        <v>144</v>
      </c>
      <c r="F1844" s="1" t="s">
        <v>142</v>
      </c>
      <c r="G1844" s="1"/>
    </row>
    <row r="1845">
      <c r="A1845" s="1" t="s">
        <v>5914</v>
      </c>
      <c r="B1845" s="1" t="s">
        <v>142</v>
      </c>
      <c r="C1845" s="1" t="s">
        <v>142</v>
      </c>
      <c r="D1845" s="1" t="s">
        <v>5915</v>
      </c>
      <c r="E1845" s="1" t="s">
        <v>144</v>
      </c>
      <c r="F1845" s="1" t="s">
        <v>142</v>
      </c>
      <c r="G1845" s="1"/>
    </row>
    <row r="1846">
      <c r="A1846" s="1" t="s">
        <v>5916</v>
      </c>
      <c r="B1846" s="1" t="s">
        <v>142</v>
      </c>
      <c r="C1846" s="1" t="s">
        <v>142</v>
      </c>
      <c r="D1846" s="1" t="s">
        <v>5917</v>
      </c>
      <c r="E1846" s="1" t="s">
        <v>144</v>
      </c>
      <c r="F1846" s="1" t="s">
        <v>142</v>
      </c>
      <c r="G1846" s="1"/>
    </row>
    <row r="1847">
      <c r="A1847" s="1" t="s">
        <v>5918</v>
      </c>
      <c r="B1847" s="1" t="s">
        <v>142</v>
      </c>
      <c r="C1847" s="1" t="s">
        <v>142</v>
      </c>
      <c r="D1847" s="1" t="s">
        <v>5919</v>
      </c>
      <c r="E1847" s="1" t="s">
        <v>144</v>
      </c>
      <c r="F1847" s="1" t="s">
        <v>142</v>
      </c>
      <c r="G1847" s="1"/>
    </row>
    <row r="1848">
      <c r="A1848" s="1" t="s">
        <v>5920</v>
      </c>
      <c r="B1848" s="1" t="s">
        <v>142</v>
      </c>
      <c r="C1848" s="1" t="s">
        <v>142</v>
      </c>
      <c r="D1848" s="1" t="s">
        <v>5921</v>
      </c>
      <c r="E1848" s="1" t="s">
        <v>144</v>
      </c>
      <c r="F1848" s="1" t="s">
        <v>142</v>
      </c>
      <c r="G1848" s="1"/>
    </row>
    <row r="1849">
      <c r="A1849" s="1" t="s">
        <v>5922</v>
      </c>
      <c r="B1849" s="1" t="s">
        <v>142</v>
      </c>
      <c r="C1849" s="1" t="s">
        <v>142</v>
      </c>
      <c r="D1849" s="1" t="s">
        <v>5923</v>
      </c>
      <c r="E1849" s="1" t="s">
        <v>144</v>
      </c>
      <c r="F1849" s="1" t="s">
        <v>142</v>
      </c>
      <c r="G1849" s="1"/>
    </row>
    <row r="1850">
      <c r="A1850" s="1" t="s">
        <v>5924</v>
      </c>
      <c r="B1850" s="1" t="s">
        <v>142</v>
      </c>
      <c r="C1850" s="1" t="s">
        <v>142</v>
      </c>
      <c r="D1850" s="1" t="s">
        <v>5925</v>
      </c>
      <c r="E1850" s="1" t="s">
        <v>144</v>
      </c>
      <c r="F1850" s="1" t="s">
        <v>142</v>
      </c>
      <c r="G1850" s="1"/>
    </row>
    <row r="1851">
      <c r="A1851" s="1" t="s">
        <v>5926</v>
      </c>
      <c r="B1851" s="1" t="s">
        <v>142</v>
      </c>
      <c r="C1851" s="1" t="s">
        <v>142</v>
      </c>
      <c r="D1851" s="1" t="s">
        <v>5927</v>
      </c>
      <c r="E1851" s="1" t="s">
        <v>144</v>
      </c>
      <c r="F1851" s="1" t="s">
        <v>142</v>
      </c>
      <c r="G1851" s="1"/>
    </row>
    <row r="1852">
      <c r="A1852" s="1" t="s">
        <v>5928</v>
      </c>
      <c r="B1852" s="1" t="s">
        <v>142</v>
      </c>
      <c r="C1852" s="1" t="s">
        <v>142</v>
      </c>
      <c r="D1852" s="1" t="s">
        <v>5929</v>
      </c>
      <c r="E1852" s="1" t="s">
        <v>144</v>
      </c>
      <c r="F1852" s="1" t="s">
        <v>142</v>
      </c>
      <c r="G1852" s="1"/>
    </row>
    <row r="1853">
      <c r="A1853" s="1" t="s">
        <v>5930</v>
      </c>
      <c r="B1853" s="1" t="s">
        <v>142</v>
      </c>
      <c r="C1853" s="1" t="s">
        <v>142</v>
      </c>
      <c r="D1853" s="1" t="s">
        <v>5931</v>
      </c>
      <c r="E1853" s="1" t="s">
        <v>144</v>
      </c>
      <c r="F1853" s="1" t="s">
        <v>142</v>
      </c>
      <c r="G1853" s="1"/>
    </row>
    <row r="1854">
      <c r="A1854" s="1" t="s">
        <v>5932</v>
      </c>
      <c r="B1854" s="1" t="s">
        <v>142</v>
      </c>
      <c r="C1854" s="1" t="s">
        <v>142</v>
      </c>
      <c r="D1854" s="1" t="s">
        <v>5933</v>
      </c>
      <c r="E1854" s="1" t="s">
        <v>144</v>
      </c>
      <c r="F1854" s="1" t="s">
        <v>142</v>
      </c>
      <c r="G1854" s="1"/>
    </row>
    <row r="1855">
      <c r="A1855" s="1" t="s">
        <v>5934</v>
      </c>
      <c r="B1855" s="1" t="s">
        <v>142</v>
      </c>
      <c r="C1855" s="1" t="s">
        <v>142</v>
      </c>
      <c r="D1855" s="1" t="s">
        <v>5935</v>
      </c>
      <c r="E1855" s="1" t="s">
        <v>144</v>
      </c>
      <c r="F1855" s="1" t="s">
        <v>142</v>
      </c>
      <c r="G1855" s="1"/>
    </row>
    <row r="1856">
      <c r="A1856" s="1" t="s">
        <v>5936</v>
      </c>
      <c r="B1856" s="1" t="s">
        <v>142</v>
      </c>
      <c r="C1856" s="1" t="s">
        <v>142</v>
      </c>
      <c r="D1856" s="1" t="s">
        <v>5937</v>
      </c>
      <c r="E1856" s="1" t="s">
        <v>144</v>
      </c>
      <c r="F1856" s="1" t="s">
        <v>142</v>
      </c>
      <c r="G1856" s="1"/>
    </row>
    <row r="1857">
      <c r="A1857" s="1" t="s">
        <v>5938</v>
      </c>
      <c r="B1857" s="1" t="s">
        <v>142</v>
      </c>
      <c r="C1857" s="1" t="s">
        <v>142</v>
      </c>
      <c r="D1857" s="1" t="s">
        <v>5939</v>
      </c>
      <c r="E1857" s="1" t="s">
        <v>144</v>
      </c>
      <c r="F1857" s="1" t="s">
        <v>142</v>
      </c>
      <c r="G1857" s="1"/>
    </row>
    <row r="1858">
      <c r="A1858" s="1" t="s">
        <v>5940</v>
      </c>
      <c r="B1858" s="1" t="s">
        <v>142</v>
      </c>
      <c r="C1858" s="1" t="s">
        <v>142</v>
      </c>
      <c r="D1858" s="1" t="s">
        <v>5941</v>
      </c>
      <c r="E1858" s="1" t="s">
        <v>144</v>
      </c>
      <c r="F1858" s="1" t="s">
        <v>142</v>
      </c>
      <c r="G1858" s="1"/>
    </row>
    <row r="1859">
      <c r="A1859" s="1" t="s">
        <v>5942</v>
      </c>
      <c r="B1859" s="1" t="s">
        <v>142</v>
      </c>
      <c r="C1859" s="1" t="s">
        <v>142</v>
      </c>
      <c r="D1859" s="1" t="s">
        <v>5943</v>
      </c>
      <c r="E1859" s="1" t="s">
        <v>144</v>
      </c>
      <c r="F1859" s="1" t="s">
        <v>142</v>
      </c>
      <c r="G1859" s="1"/>
    </row>
    <row r="1860">
      <c r="A1860" s="1" t="s">
        <v>5944</v>
      </c>
      <c r="B1860" s="1" t="s">
        <v>142</v>
      </c>
      <c r="C1860" s="1" t="s">
        <v>142</v>
      </c>
      <c r="D1860" s="1" t="s">
        <v>5945</v>
      </c>
      <c r="E1860" s="1" t="s">
        <v>144</v>
      </c>
      <c r="F1860" s="1" t="s">
        <v>142</v>
      </c>
      <c r="G1860" s="1"/>
    </row>
    <row r="1861">
      <c r="A1861" s="1" t="s">
        <v>5946</v>
      </c>
      <c r="B1861" s="1" t="s">
        <v>142</v>
      </c>
      <c r="C1861" s="1" t="s">
        <v>142</v>
      </c>
      <c r="D1861" s="1" t="s">
        <v>5947</v>
      </c>
      <c r="E1861" s="1" t="s">
        <v>144</v>
      </c>
      <c r="F1861" s="1" t="s">
        <v>142</v>
      </c>
      <c r="G1861" s="1"/>
    </row>
    <row r="1862">
      <c r="A1862" s="1" t="s">
        <v>5948</v>
      </c>
      <c r="B1862" s="1" t="s">
        <v>142</v>
      </c>
      <c r="C1862" s="1" t="s">
        <v>142</v>
      </c>
      <c r="D1862" s="1" t="s">
        <v>5949</v>
      </c>
      <c r="E1862" s="1" t="s">
        <v>144</v>
      </c>
      <c r="F1862" s="1" t="s">
        <v>142</v>
      </c>
      <c r="G1862" s="1"/>
    </row>
    <row r="1863">
      <c r="A1863" s="1" t="s">
        <v>5950</v>
      </c>
      <c r="B1863" s="1" t="s">
        <v>142</v>
      </c>
      <c r="C1863" s="1" t="s">
        <v>142</v>
      </c>
      <c r="D1863" s="1" t="s">
        <v>5951</v>
      </c>
      <c r="E1863" s="1" t="s">
        <v>144</v>
      </c>
      <c r="F1863" s="1" t="s">
        <v>142</v>
      </c>
      <c r="G1863" s="1"/>
    </row>
    <row r="1864">
      <c r="A1864" s="1" t="s">
        <v>5952</v>
      </c>
      <c r="B1864" s="1" t="s">
        <v>142</v>
      </c>
      <c r="C1864" s="1" t="s">
        <v>142</v>
      </c>
      <c r="D1864" s="1" t="s">
        <v>5953</v>
      </c>
      <c r="E1864" s="1" t="s">
        <v>144</v>
      </c>
      <c r="F1864" s="1" t="s">
        <v>142</v>
      </c>
      <c r="G1864" s="1"/>
    </row>
    <row r="1865">
      <c r="A1865" s="1" t="s">
        <v>5954</v>
      </c>
      <c r="B1865" s="1" t="s">
        <v>142</v>
      </c>
      <c r="C1865" s="1" t="s">
        <v>142</v>
      </c>
      <c r="D1865" s="1" t="s">
        <v>5955</v>
      </c>
      <c r="E1865" s="1" t="s">
        <v>144</v>
      </c>
      <c r="F1865" s="1" t="s">
        <v>142</v>
      </c>
      <c r="G1865" s="1"/>
    </row>
    <row r="1866">
      <c r="A1866" s="1" t="s">
        <v>5956</v>
      </c>
      <c r="B1866" s="1" t="s">
        <v>5957</v>
      </c>
      <c r="C1866" s="1" t="s">
        <v>5958</v>
      </c>
      <c r="D1866" s="1" t="s">
        <v>5959</v>
      </c>
      <c r="E1866" s="1" t="s">
        <v>144</v>
      </c>
      <c r="F1866" s="1" t="s">
        <v>142</v>
      </c>
      <c r="G1866" s="1"/>
    </row>
    <row r="1867">
      <c r="A1867" s="1" t="s">
        <v>5960</v>
      </c>
      <c r="B1867" s="1" t="s">
        <v>142</v>
      </c>
      <c r="C1867" s="1" t="s">
        <v>142</v>
      </c>
      <c r="D1867" s="1" t="s">
        <v>5961</v>
      </c>
      <c r="E1867" s="1" t="s">
        <v>144</v>
      </c>
      <c r="F1867" s="1" t="s">
        <v>142</v>
      </c>
      <c r="G1867" s="1"/>
    </row>
    <row r="1868">
      <c r="A1868" s="1" t="s">
        <v>5962</v>
      </c>
      <c r="B1868" s="1" t="s">
        <v>142</v>
      </c>
      <c r="C1868" s="1" t="s">
        <v>142</v>
      </c>
      <c r="D1868" s="1" t="s">
        <v>5963</v>
      </c>
      <c r="E1868" s="1" t="s">
        <v>144</v>
      </c>
      <c r="F1868" s="1" t="s">
        <v>142</v>
      </c>
      <c r="G1868" s="1"/>
    </row>
    <row r="1869">
      <c r="A1869" s="1" t="s">
        <v>5964</v>
      </c>
      <c r="B1869" s="1" t="s">
        <v>142</v>
      </c>
      <c r="C1869" s="1" t="s">
        <v>142</v>
      </c>
      <c r="D1869" s="1" t="s">
        <v>5965</v>
      </c>
      <c r="E1869" s="1" t="s">
        <v>144</v>
      </c>
      <c r="F1869" s="1" t="s">
        <v>142</v>
      </c>
      <c r="G1869" s="1"/>
    </row>
    <row r="1870">
      <c r="A1870" s="1" t="s">
        <v>4940</v>
      </c>
      <c r="B1870" s="1" t="s">
        <v>142</v>
      </c>
      <c r="C1870" s="1" t="s">
        <v>142</v>
      </c>
      <c r="D1870" s="1" t="s">
        <v>5966</v>
      </c>
      <c r="E1870" s="1" t="s">
        <v>144</v>
      </c>
      <c r="F1870" s="1" t="s">
        <v>142</v>
      </c>
      <c r="G1870" s="1"/>
    </row>
    <row r="1871">
      <c r="A1871" s="1" t="s">
        <v>5967</v>
      </c>
      <c r="B1871" s="1" t="s">
        <v>142</v>
      </c>
      <c r="C1871" s="1" t="s">
        <v>142</v>
      </c>
      <c r="D1871" s="1" t="s">
        <v>5968</v>
      </c>
      <c r="E1871" s="1" t="s">
        <v>144</v>
      </c>
      <c r="F1871" s="1" t="s">
        <v>142</v>
      </c>
      <c r="G1871" s="1"/>
    </row>
    <row r="1872">
      <c r="A1872" s="1" t="s">
        <v>5969</v>
      </c>
      <c r="B1872" s="1" t="s">
        <v>142</v>
      </c>
      <c r="C1872" s="1" t="s">
        <v>142</v>
      </c>
      <c r="D1872" s="1" t="s">
        <v>5970</v>
      </c>
      <c r="E1872" s="1" t="s">
        <v>144</v>
      </c>
      <c r="F1872" s="1" t="s">
        <v>142</v>
      </c>
      <c r="G1872" s="1"/>
    </row>
    <row r="1873">
      <c r="A1873" s="1" t="s">
        <v>5971</v>
      </c>
      <c r="B1873" s="1" t="s">
        <v>142</v>
      </c>
      <c r="C1873" s="1" t="s">
        <v>142</v>
      </c>
      <c r="D1873" s="1" t="s">
        <v>5972</v>
      </c>
      <c r="E1873" s="1" t="s">
        <v>144</v>
      </c>
      <c r="F1873" s="1" t="s">
        <v>142</v>
      </c>
      <c r="G1873" s="1"/>
    </row>
    <row r="1874">
      <c r="A1874" s="1" t="s">
        <v>5973</v>
      </c>
      <c r="B1874" s="1" t="s">
        <v>142</v>
      </c>
      <c r="C1874" s="1" t="s">
        <v>142</v>
      </c>
      <c r="D1874" s="1" t="s">
        <v>5974</v>
      </c>
      <c r="E1874" s="1" t="s">
        <v>144</v>
      </c>
      <c r="F1874" s="1" t="s">
        <v>142</v>
      </c>
      <c r="G1874" s="1"/>
    </row>
    <row r="1875">
      <c r="A1875" s="1" t="s">
        <v>5975</v>
      </c>
      <c r="B1875" s="1" t="s">
        <v>142</v>
      </c>
      <c r="C1875" s="1" t="s">
        <v>142</v>
      </c>
      <c r="D1875" s="1" t="s">
        <v>5976</v>
      </c>
      <c r="E1875" s="1" t="s">
        <v>144</v>
      </c>
      <c r="F1875" s="1" t="s">
        <v>142</v>
      </c>
      <c r="G1875" s="1"/>
    </row>
    <row r="1876">
      <c r="A1876" s="1" t="s">
        <v>5977</v>
      </c>
      <c r="B1876" s="1" t="s">
        <v>142</v>
      </c>
      <c r="C1876" s="1" t="s">
        <v>142</v>
      </c>
      <c r="D1876" s="1" t="s">
        <v>5978</v>
      </c>
      <c r="E1876" s="1" t="s">
        <v>144</v>
      </c>
      <c r="F1876" s="1" t="s">
        <v>142</v>
      </c>
      <c r="G1876" s="1"/>
    </row>
    <row r="1877">
      <c r="A1877" s="1" t="s">
        <v>5979</v>
      </c>
      <c r="B1877" s="1" t="s">
        <v>142</v>
      </c>
      <c r="C1877" s="1" t="s">
        <v>142</v>
      </c>
      <c r="D1877" s="1" t="s">
        <v>5980</v>
      </c>
      <c r="E1877" s="1" t="s">
        <v>144</v>
      </c>
      <c r="F1877" s="1" t="s">
        <v>142</v>
      </c>
      <c r="G1877" s="1"/>
    </row>
    <row r="1878">
      <c r="A1878" s="1" t="s">
        <v>5624</v>
      </c>
      <c r="B1878" s="1" t="s">
        <v>142</v>
      </c>
      <c r="C1878" s="1" t="s">
        <v>142</v>
      </c>
      <c r="D1878" s="1" t="s">
        <v>5981</v>
      </c>
      <c r="E1878" s="1" t="s">
        <v>144</v>
      </c>
      <c r="F1878" s="1" t="s">
        <v>142</v>
      </c>
      <c r="G1878" s="1"/>
    </row>
    <row r="1879">
      <c r="A1879" s="1" t="s">
        <v>5982</v>
      </c>
      <c r="B1879" s="1" t="s">
        <v>142</v>
      </c>
      <c r="C1879" s="1" t="s">
        <v>142</v>
      </c>
      <c r="D1879" s="1" t="s">
        <v>5983</v>
      </c>
      <c r="E1879" s="1" t="s">
        <v>144</v>
      </c>
      <c r="F1879" s="1" t="s">
        <v>142</v>
      </c>
      <c r="G1879" s="1"/>
    </row>
    <row r="1880">
      <c r="A1880" s="1" t="s">
        <v>5984</v>
      </c>
      <c r="B1880" s="1" t="s">
        <v>142</v>
      </c>
      <c r="C1880" s="1" t="s">
        <v>142</v>
      </c>
      <c r="D1880" s="1" t="s">
        <v>5985</v>
      </c>
      <c r="E1880" s="1" t="s">
        <v>144</v>
      </c>
      <c r="F1880" s="1" t="s">
        <v>142</v>
      </c>
      <c r="G1880" s="1"/>
    </row>
    <row r="1881">
      <c r="A1881" s="1" t="s">
        <v>1444</v>
      </c>
      <c r="B1881" s="1" t="s">
        <v>142</v>
      </c>
      <c r="C1881" s="1" t="s">
        <v>142</v>
      </c>
      <c r="D1881" s="1" t="s">
        <v>5986</v>
      </c>
      <c r="E1881" s="1" t="s">
        <v>144</v>
      </c>
      <c r="F1881" s="1" t="s">
        <v>142</v>
      </c>
      <c r="G1881" s="1"/>
    </row>
    <row r="1882">
      <c r="A1882" s="1" t="s">
        <v>5987</v>
      </c>
      <c r="B1882" s="1" t="s">
        <v>142</v>
      </c>
      <c r="C1882" s="1" t="s">
        <v>142</v>
      </c>
      <c r="D1882" s="1" t="s">
        <v>5988</v>
      </c>
      <c r="E1882" s="1" t="s">
        <v>144</v>
      </c>
      <c r="F1882" s="1" t="s">
        <v>142</v>
      </c>
      <c r="G1882" s="1"/>
    </row>
    <row r="1883">
      <c r="A1883" s="1" t="s">
        <v>5990</v>
      </c>
      <c r="B1883" s="1" t="s">
        <v>142</v>
      </c>
      <c r="C1883" s="1" t="s">
        <v>142</v>
      </c>
      <c r="D1883" s="1" t="s">
        <v>5992</v>
      </c>
      <c r="E1883" s="1" t="s">
        <v>144</v>
      </c>
      <c r="F1883" s="1" t="s">
        <v>142</v>
      </c>
      <c r="G1883" s="1"/>
    </row>
    <row r="1884">
      <c r="A1884" s="1" t="s">
        <v>5993</v>
      </c>
      <c r="B1884" s="1" t="s">
        <v>142</v>
      </c>
      <c r="C1884" s="1" t="s">
        <v>142</v>
      </c>
      <c r="D1884" s="1" t="s">
        <v>5994</v>
      </c>
      <c r="E1884" s="1" t="s">
        <v>144</v>
      </c>
      <c r="F1884" s="1" t="s">
        <v>142</v>
      </c>
      <c r="G1884" s="1"/>
    </row>
    <row r="1885">
      <c r="A1885" s="1" t="s">
        <v>5995</v>
      </c>
      <c r="B1885" s="1" t="s">
        <v>142</v>
      </c>
      <c r="C1885" s="1" t="s">
        <v>142</v>
      </c>
      <c r="D1885" s="1" t="s">
        <v>5996</v>
      </c>
      <c r="E1885" s="1" t="s">
        <v>144</v>
      </c>
      <c r="F1885" s="1" t="s">
        <v>142</v>
      </c>
      <c r="G1885" s="1"/>
    </row>
    <row r="1886">
      <c r="A1886" s="1" t="s">
        <v>5998</v>
      </c>
      <c r="B1886" s="1" t="s">
        <v>142</v>
      </c>
      <c r="C1886" s="1" t="s">
        <v>142</v>
      </c>
      <c r="D1886" s="1" t="s">
        <v>5999</v>
      </c>
      <c r="E1886" s="1" t="s">
        <v>144</v>
      </c>
      <c r="F1886" s="1" t="s">
        <v>142</v>
      </c>
      <c r="G1886" s="1"/>
    </row>
    <row r="1887">
      <c r="A1887" s="1" t="s">
        <v>6001</v>
      </c>
      <c r="B1887" s="1" t="s">
        <v>142</v>
      </c>
      <c r="C1887" s="1" t="s">
        <v>142</v>
      </c>
      <c r="D1887" s="1" t="s">
        <v>6003</v>
      </c>
      <c r="E1887" s="1" t="s">
        <v>144</v>
      </c>
      <c r="F1887" s="1" t="s">
        <v>142</v>
      </c>
      <c r="G1887" s="1"/>
    </row>
    <row r="1888">
      <c r="A1888" s="1" t="s">
        <v>6004</v>
      </c>
      <c r="B1888" s="1" t="s">
        <v>142</v>
      </c>
      <c r="C1888" s="1" t="s">
        <v>142</v>
      </c>
      <c r="D1888" s="1" t="s">
        <v>6005</v>
      </c>
      <c r="E1888" s="1" t="s">
        <v>144</v>
      </c>
      <c r="F1888" s="1" t="s">
        <v>142</v>
      </c>
      <c r="G1888" s="1"/>
    </row>
    <row r="1889">
      <c r="A1889" s="1" t="s">
        <v>6006</v>
      </c>
      <c r="B1889" s="1" t="s">
        <v>142</v>
      </c>
      <c r="C1889" s="1" t="s">
        <v>142</v>
      </c>
      <c r="D1889" s="1" t="s">
        <v>6008</v>
      </c>
      <c r="E1889" s="1" t="s">
        <v>144</v>
      </c>
      <c r="F1889" s="1" t="s">
        <v>142</v>
      </c>
      <c r="G1889" s="1"/>
    </row>
    <row r="1890">
      <c r="A1890" s="1" t="s">
        <v>6009</v>
      </c>
      <c r="B1890" s="1" t="s">
        <v>142</v>
      </c>
      <c r="C1890" s="1" t="s">
        <v>142</v>
      </c>
      <c r="D1890" s="1" t="s">
        <v>6010</v>
      </c>
      <c r="E1890" s="1" t="s">
        <v>144</v>
      </c>
      <c r="F1890" s="1" t="s">
        <v>142</v>
      </c>
      <c r="G1890" s="1"/>
    </row>
    <row r="1891">
      <c r="A1891" s="1" t="s">
        <v>6011</v>
      </c>
      <c r="B1891" s="1" t="s">
        <v>142</v>
      </c>
      <c r="C1891" s="1" t="s">
        <v>142</v>
      </c>
      <c r="D1891" s="1" t="s">
        <v>6012</v>
      </c>
      <c r="E1891" s="1" t="s">
        <v>144</v>
      </c>
      <c r="F1891" s="1" t="s">
        <v>142</v>
      </c>
      <c r="G1891" s="1"/>
    </row>
    <row r="1892">
      <c r="A1892" s="1" t="s">
        <v>6013</v>
      </c>
      <c r="B1892" s="1" t="s">
        <v>142</v>
      </c>
      <c r="C1892" s="1" t="s">
        <v>142</v>
      </c>
      <c r="D1892" s="1" t="s">
        <v>6014</v>
      </c>
      <c r="E1892" s="1" t="s">
        <v>144</v>
      </c>
      <c r="F1892" s="1" t="s">
        <v>142</v>
      </c>
      <c r="G1892" s="1"/>
    </row>
    <row r="1893">
      <c r="A1893" s="1" t="s">
        <v>6015</v>
      </c>
      <c r="B1893" s="1" t="s">
        <v>142</v>
      </c>
      <c r="C1893" s="1" t="s">
        <v>142</v>
      </c>
      <c r="D1893" s="1" t="s">
        <v>6016</v>
      </c>
      <c r="E1893" s="1" t="s">
        <v>144</v>
      </c>
      <c r="F1893" s="1" t="s">
        <v>142</v>
      </c>
      <c r="G1893" s="1"/>
    </row>
    <row r="1894">
      <c r="A1894" s="1" t="s">
        <v>6017</v>
      </c>
      <c r="B1894" s="1" t="s">
        <v>142</v>
      </c>
      <c r="C1894" s="1" t="s">
        <v>142</v>
      </c>
      <c r="D1894" s="1" t="s">
        <v>6018</v>
      </c>
      <c r="E1894" s="1" t="s">
        <v>144</v>
      </c>
      <c r="F1894" s="1" t="s">
        <v>142</v>
      </c>
      <c r="G1894" s="1"/>
    </row>
    <row r="1895">
      <c r="A1895" s="1" t="s">
        <v>6019</v>
      </c>
      <c r="B1895" s="1" t="s">
        <v>142</v>
      </c>
      <c r="C1895" s="1" t="s">
        <v>142</v>
      </c>
      <c r="D1895" s="1" t="s">
        <v>6020</v>
      </c>
      <c r="E1895" s="1" t="s">
        <v>144</v>
      </c>
      <c r="F1895" s="1" t="s">
        <v>142</v>
      </c>
      <c r="G1895" s="1"/>
    </row>
    <row r="1896">
      <c r="A1896" s="1" t="s">
        <v>6021</v>
      </c>
      <c r="B1896" s="1" t="s">
        <v>142</v>
      </c>
      <c r="C1896" s="1" t="s">
        <v>142</v>
      </c>
      <c r="D1896" s="1" t="s">
        <v>6022</v>
      </c>
      <c r="E1896" s="1" t="s">
        <v>144</v>
      </c>
      <c r="F1896" s="1" t="s">
        <v>142</v>
      </c>
      <c r="G1896" s="1"/>
    </row>
    <row r="1897">
      <c r="A1897" s="1" t="s">
        <v>6023</v>
      </c>
      <c r="B1897" s="1" t="s">
        <v>6024</v>
      </c>
      <c r="C1897" s="1" t="s">
        <v>6025</v>
      </c>
      <c r="D1897" s="1" t="s">
        <v>6026</v>
      </c>
      <c r="E1897" s="1" t="s">
        <v>144</v>
      </c>
      <c r="F1897" s="1" t="s">
        <v>142</v>
      </c>
      <c r="G1897" s="1"/>
    </row>
    <row r="1898">
      <c r="A1898" s="1" t="s">
        <v>5743</v>
      </c>
      <c r="B1898" s="1" t="s">
        <v>142</v>
      </c>
      <c r="C1898" s="1" t="s">
        <v>142</v>
      </c>
      <c r="D1898" s="1" t="s">
        <v>6027</v>
      </c>
      <c r="E1898" s="1" t="s">
        <v>144</v>
      </c>
      <c r="F1898" s="1" t="s">
        <v>142</v>
      </c>
      <c r="G1898" s="1"/>
    </row>
    <row r="1899">
      <c r="A1899" s="1" t="s">
        <v>5741</v>
      </c>
      <c r="B1899" s="1" t="s">
        <v>142</v>
      </c>
      <c r="C1899" s="1" t="s">
        <v>142</v>
      </c>
      <c r="D1899" s="1" t="s">
        <v>6028</v>
      </c>
      <c r="E1899" s="1" t="s">
        <v>144</v>
      </c>
      <c r="F1899" s="1" t="s">
        <v>142</v>
      </c>
      <c r="G1899" s="1"/>
    </row>
    <row r="1900">
      <c r="A1900" s="1" t="s">
        <v>6029</v>
      </c>
      <c r="B1900" s="1" t="s">
        <v>142</v>
      </c>
      <c r="C1900" s="1" t="s">
        <v>142</v>
      </c>
      <c r="D1900" s="1" t="s">
        <v>6030</v>
      </c>
      <c r="E1900" s="1" t="s">
        <v>144</v>
      </c>
      <c r="F1900" s="1" t="s">
        <v>142</v>
      </c>
      <c r="G1900" s="1"/>
    </row>
    <row r="1901">
      <c r="A1901" s="1" t="s">
        <v>6031</v>
      </c>
      <c r="B1901" s="1" t="s">
        <v>142</v>
      </c>
      <c r="C1901" s="1" t="s">
        <v>142</v>
      </c>
      <c r="D1901" s="1" t="s">
        <v>6032</v>
      </c>
      <c r="E1901" s="1" t="s">
        <v>144</v>
      </c>
      <c r="F1901" s="1" t="s">
        <v>142</v>
      </c>
      <c r="G1901" s="1"/>
    </row>
    <row r="1902">
      <c r="A1902" s="1" t="s">
        <v>4424</v>
      </c>
      <c r="B1902" s="1" t="s">
        <v>142</v>
      </c>
      <c r="C1902" s="1" t="s">
        <v>142</v>
      </c>
      <c r="D1902" s="1" t="s">
        <v>6033</v>
      </c>
      <c r="E1902" s="1" t="s">
        <v>144</v>
      </c>
      <c r="F1902" s="1" t="s">
        <v>142</v>
      </c>
      <c r="G1902" s="1"/>
    </row>
    <row r="1903">
      <c r="A1903" s="1" t="s">
        <v>6034</v>
      </c>
      <c r="B1903" s="1" t="s">
        <v>142</v>
      </c>
      <c r="C1903" s="1" t="s">
        <v>142</v>
      </c>
      <c r="D1903" s="1" t="s">
        <v>6035</v>
      </c>
      <c r="E1903" s="1" t="s">
        <v>144</v>
      </c>
      <c r="F1903" s="1" t="s">
        <v>142</v>
      </c>
      <c r="G1903" s="1"/>
    </row>
    <row r="1904">
      <c r="A1904" s="1" t="s">
        <v>6036</v>
      </c>
      <c r="B1904" s="1" t="s">
        <v>142</v>
      </c>
      <c r="C1904" s="1" t="s">
        <v>142</v>
      </c>
      <c r="D1904" s="1" t="s">
        <v>6037</v>
      </c>
      <c r="E1904" s="1" t="s">
        <v>144</v>
      </c>
      <c r="F1904" s="1" t="s">
        <v>142</v>
      </c>
      <c r="G1904" s="1"/>
    </row>
    <row r="1905">
      <c r="A1905" s="1" t="s">
        <v>6038</v>
      </c>
      <c r="B1905" s="1" t="s">
        <v>142</v>
      </c>
      <c r="C1905" s="1" t="s">
        <v>142</v>
      </c>
      <c r="D1905" s="1" t="s">
        <v>6039</v>
      </c>
      <c r="E1905" s="1" t="s">
        <v>144</v>
      </c>
      <c r="F1905" s="1" t="s">
        <v>142</v>
      </c>
      <c r="G1905" s="1"/>
    </row>
    <row r="1906">
      <c r="A1906" s="1" t="s">
        <v>6040</v>
      </c>
      <c r="B1906" s="1" t="s">
        <v>142</v>
      </c>
      <c r="C1906" s="1" t="s">
        <v>142</v>
      </c>
      <c r="D1906" s="1" t="s">
        <v>6041</v>
      </c>
      <c r="E1906" s="1" t="s">
        <v>144</v>
      </c>
      <c r="F1906" s="1" t="s">
        <v>142</v>
      </c>
      <c r="G1906" s="1"/>
    </row>
    <row r="1907">
      <c r="A1907" s="1" t="s">
        <v>6042</v>
      </c>
      <c r="B1907" s="1" t="s">
        <v>142</v>
      </c>
      <c r="C1907" s="1" t="s">
        <v>142</v>
      </c>
      <c r="D1907" s="1" t="s">
        <v>6043</v>
      </c>
      <c r="E1907" s="1" t="s">
        <v>144</v>
      </c>
      <c r="F1907" s="1" t="s">
        <v>142</v>
      </c>
      <c r="G1907" s="1"/>
    </row>
    <row r="1908">
      <c r="A1908" s="1" t="s">
        <v>4422</v>
      </c>
      <c r="B1908" s="1" t="s">
        <v>142</v>
      </c>
      <c r="C1908" s="1" t="s">
        <v>142</v>
      </c>
      <c r="D1908" s="1" t="s">
        <v>6044</v>
      </c>
      <c r="E1908" s="1" t="s">
        <v>144</v>
      </c>
      <c r="F1908" s="1" t="s">
        <v>142</v>
      </c>
      <c r="G1908" s="1"/>
    </row>
    <row r="1909">
      <c r="A1909" s="1" t="s">
        <v>6045</v>
      </c>
      <c r="B1909" s="1" t="s">
        <v>142</v>
      </c>
      <c r="C1909" s="1" t="s">
        <v>142</v>
      </c>
      <c r="D1909" s="1" t="s">
        <v>6046</v>
      </c>
      <c r="E1909" s="1" t="s">
        <v>144</v>
      </c>
      <c r="F1909" s="1" t="s">
        <v>142</v>
      </c>
      <c r="G1909" s="1"/>
    </row>
    <row r="1910">
      <c r="A1910" s="1" t="s">
        <v>6047</v>
      </c>
      <c r="B1910" s="1" t="s">
        <v>142</v>
      </c>
      <c r="C1910" s="1" t="s">
        <v>142</v>
      </c>
      <c r="D1910" s="1" t="s">
        <v>6048</v>
      </c>
      <c r="E1910" s="1" t="s">
        <v>144</v>
      </c>
      <c r="F1910" s="1" t="s">
        <v>142</v>
      </c>
      <c r="G1910" s="1"/>
    </row>
    <row r="1911">
      <c r="A1911" s="1" t="s">
        <v>6049</v>
      </c>
      <c r="B1911" s="1" t="s">
        <v>142</v>
      </c>
      <c r="C1911" s="1" t="s">
        <v>142</v>
      </c>
      <c r="D1911" s="1" t="s">
        <v>6050</v>
      </c>
      <c r="E1911" s="1" t="s">
        <v>144</v>
      </c>
      <c r="F1911" s="1" t="s">
        <v>142</v>
      </c>
      <c r="G1911" s="1"/>
    </row>
    <row r="1912">
      <c r="A1912" s="1" t="s">
        <v>6051</v>
      </c>
      <c r="B1912" s="1" t="s">
        <v>142</v>
      </c>
      <c r="C1912" s="1" t="s">
        <v>142</v>
      </c>
      <c r="D1912" s="1" t="s">
        <v>6052</v>
      </c>
      <c r="E1912" s="1" t="s">
        <v>144</v>
      </c>
      <c r="F1912" s="1" t="s">
        <v>142</v>
      </c>
      <c r="G1912" s="1"/>
    </row>
    <row r="1913">
      <c r="A1913" s="1" t="s">
        <v>6053</v>
      </c>
      <c r="B1913" s="1" t="s">
        <v>142</v>
      </c>
      <c r="C1913" s="1" t="s">
        <v>142</v>
      </c>
      <c r="D1913" s="1" t="s">
        <v>6054</v>
      </c>
      <c r="E1913" s="1" t="s">
        <v>144</v>
      </c>
      <c r="F1913" s="1" t="s">
        <v>142</v>
      </c>
      <c r="G1913" s="1"/>
    </row>
    <row r="1914">
      <c r="A1914" s="1" t="s">
        <v>6055</v>
      </c>
      <c r="B1914" s="1" t="s">
        <v>142</v>
      </c>
      <c r="C1914" s="1" t="s">
        <v>142</v>
      </c>
      <c r="D1914" s="1" t="s">
        <v>6056</v>
      </c>
      <c r="E1914" s="1" t="s">
        <v>144</v>
      </c>
      <c r="F1914" s="1" t="s">
        <v>142</v>
      </c>
      <c r="G1914" s="1"/>
    </row>
    <row r="1915">
      <c r="A1915" s="1" t="s">
        <v>6057</v>
      </c>
      <c r="B1915" s="1" t="s">
        <v>142</v>
      </c>
      <c r="C1915" s="1" t="s">
        <v>142</v>
      </c>
      <c r="D1915" s="1" t="s">
        <v>6058</v>
      </c>
      <c r="E1915" s="1" t="s">
        <v>144</v>
      </c>
      <c r="F1915" s="1" t="s">
        <v>142</v>
      </c>
      <c r="G1915" s="1"/>
    </row>
    <row r="1916">
      <c r="A1916" s="1" t="s">
        <v>6059</v>
      </c>
      <c r="B1916" s="1" t="s">
        <v>142</v>
      </c>
      <c r="C1916" s="1" t="s">
        <v>142</v>
      </c>
      <c r="D1916" s="1" t="s">
        <v>6060</v>
      </c>
      <c r="E1916" s="1" t="s">
        <v>144</v>
      </c>
      <c r="F1916" s="1" t="s">
        <v>142</v>
      </c>
      <c r="G1916" s="1"/>
    </row>
    <row r="1917">
      <c r="A1917" s="1" t="s">
        <v>6061</v>
      </c>
      <c r="B1917" s="1" t="s">
        <v>142</v>
      </c>
      <c r="C1917" s="1" t="s">
        <v>142</v>
      </c>
      <c r="D1917" s="1" t="s">
        <v>6062</v>
      </c>
      <c r="E1917" s="1" t="s">
        <v>144</v>
      </c>
      <c r="F1917" s="1" t="s">
        <v>142</v>
      </c>
      <c r="G1917" s="1"/>
    </row>
    <row r="1918">
      <c r="A1918" s="1" t="s">
        <v>6063</v>
      </c>
      <c r="B1918" s="1" t="s">
        <v>142</v>
      </c>
      <c r="C1918" s="1" t="s">
        <v>142</v>
      </c>
      <c r="D1918" s="1" t="s">
        <v>6064</v>
      </c>
      <c r="E1918" s="1" t="s">
        <v>144</v>
      </c>
      <c r="F1918" s="1" t="s">
        <v>142</v>
      </c>
      <c r="G1918" s="1"/>
    </row>
    <row r="1919">
      <c r="A1919" s="1" t="s">
        <v>6065</v>
      </c>
      <c r="B1919" s="1" t="s">
        <v>142</v>
      </c>
      <c r="C1919" s="1" t="s">
        <v>142</v>
      </c>
      <c r="D1919" s="1" t="s">
        <v>6066</v>
      </c>
      <c r="E1919" s="1" t="s">
        <v>144</v>
      </c>
      <c r="F1919" s="1" t="s">
        <v>142</v>
      </c>
      <c r="G1919" s="1"/>
    </row>
    <row r="1920">
      <c r="A1920" s="1" t="s">
        <v>6067</v>
      </c>
      <c r="B1920" s="1" t="s">
        <v>142</v>
      </c>
      <c r="C1920" s="1" t="s">
        <v>142</v>
      </c>
      <c r="D1920" s="1" t="s">
        <v>6068</v>
      </c>
      <c r="E1920" s="1" t="s">
        <v>144</v>
      </c>
      <c r="F1920" s="1" t="s">
        <v>142</v>
      </c>
      <c r="G1920" s="1"/>
    </row>
    <row r="1921">
      <c r="A1921" s="1" t="s">
        <v>6069</v>
      </c>
      <c r="B1921" s="1" t="s">
        <v>142</v>
      </c>
      <c r="C1921" s="1" t="s">
        <v>142</v>
      </c>
      <c r="D1921" s="1" t="s">
        <v>6070</v>
      </c>
      <c r="E1921" s="1" t="s">
        <v>144</v>
      </c>
      <c r="F1921" s="1" t="s">
        <v>142</v>
      </c>
      <c r="G1921" s="1"/>
    </row>
    <row r="1922">
      <c r="A1922" s="1" t="s">
        <v>6071</v>
      </c>
      <c r="B1922" s="1" t="s">
        <v>142</v>
      </c>
      <c r="C1922" s="1" t="s">
        <v>142</v>
      </c>
      <c r="D1922" s="1" t="s">
        <v>6072</v>
      </c>
      <c r="E1922" s="1" t="s">
        <v>144</v>
      </c>
      <c r="F1922" s="1" t="s">
        <v>142</v>
      </c>
      <c r="G1922" s="1"/>
    </row>
    <row r="1923">
      <c r="A1923" s="1" t="s">
        <v>6073</v>
      </c>
      <c r="B1923" s="1" t="s">
        <v>142</v>
      </c>
      <c r="C1923" s="1" t="s">
        <v>142</v>
      </c>
      <c r="D1923" s="1" t="s">
        <v>6074</v>
      </c>
      <c r="E1923" s="1" t="s">
        <v>144</v>
      </c>
      <c r="F1923" s="1" t="s">
        <v>142</v>
      </c>
      <c r="G1923" s="1"/>
    </row>
    <row r="1924">
      <c r="A1924" s="1" t="s">
        <v>6075</v>
      </c>
      <c r="B1924" s="1" t="s">
        <v>142</v>
      </c>
      <c r="C1924" s="1" t="s">
        <v>142</v>
      </c>
      <c r="D1924" s="1" t="s">
        <v>6076</v>
      </c>
      <c r="E1924" s="1" t="s">
        <v>144</v>
      </c>
      <c r="F1924" s="1" t="s">
        <v>142</v>
      </c>
      <c r="G1924" s="1"/>
    </row>
    <row r="1925">
      <c r="A1925" s="1" t="s">
        <v>6077</v>
      </c>
      <c r="B1925" s="1" t="s">
        <v>142</v>
      </c>
      <c r="C1925" s="1" t="s">
        <v>142</v>
      </c>
      <c r="D1925" s="1" t="s">
        <v>6078</v>
      </c>
      <c r="E1925" s="1" t="s">
        <v>144</v>
      </c>
      <c r="F1925" s="1" t="s">
        <v>142</v>
      </c>
      <c r="G1925" s="1"/>
    </row>
    <row r="1926">
      <c r="A1926" s="1" t="s">
        <v>6080</v>
      </c>
      <c r="B1926" s="1" t="s">
        <v>142</v>
      </c>
      <c r="C1926" s="1" t="s">
        <v>142</v>
      </c>
      <c r="D1926" s="1" t="s">
        <v>6081</v>
      </c>
      <c r="E1926" s="1" t="s">
        <v>144</v>
      </c>
      <c r="F1926" s="1" t="s">
        <v>142</v>
      </c>
      <c r="G1926" s="1"/>
    </row>
    <row r="1927">
      <c r="A1927" s="1" t="s">
        <v>6082</v>
      </c>
      <c r="B1927" s="1" t="s">
        <v>142</v>
      </c>
      <c r="C1927" s="1" t="s">
        <v>142</v>
      </c>
      <c r="D1927" s="1" t="s">
        <v>6083</v>
      </c>
      <c r="E1927" s="1" t="s">
        <v>144</v>
      </c>
      <c r="F1927" s="1" t="s">
        <v>142</v>
      </c>
      <c r="G1927" s="1"/>
    </row>
    <row r="1928">
      <c r="A1928" s="1" t="s">
        <v>6084</v>
      </c>
      <c r="B1928" s="1" t="s">
        <v>142</v>
      </c>
      <c r="C1928" s="1" t="s">
        <v>142</v>
      </c>
      <c r="D1928" s="1" t="s">
        <v>6093</v>
      </c>
      <c r="E1928" s="1" t="s">
        <v>144</v>
      </c>
      <c r="F1928" s="1" t="s">
        <v>142</v>
      </c>
      <c r="G1928" s="1"/>
    </row>
    <row r="1929">
      <c r="A1929" s="1" t="s">
        <v>6094</v>
      </c>
      <c r="B1929" s="1" t="s">
        <v>142</v>
      </c>
      <c r="C1929" s="1" t="s">
        <v>142</v>
      </c>
      <c r="D1929" s="1" t="s">
        <v>6095</v>
      </c>
      <c r="E1929" s="1" t="s">
        <v>144</v>
      </c>
      <c r="F1929" s="1" t="s">
        <v>142</v>
      </c>
      <c r="G1929" s="1"/>
    </row>
    <row r="1930">
      <c r="A1930" s="1" t="s">
        <v>6096</v>
      </c>
      <c r="B1930" s="1" t="s">
        <v>142</v>
      </c>
      <c r="C1930" s="1" t="s">
        <v>142</v>
      </c>
      <c r="D1930" s="1" t="s">
        <v>6097</v>
      </c>
      <c r="E1930" s="1" t="s">
        <v>144</v>
      </c>
      <c r="F1930" s="1" t="s">
        <v>142</v>
      </c>
      <c r="G1930" s="1"/>
    </row>
    <row r="1931">
      <c r="A1931" s="1" t="s">
        <v>6098</v>
      </c>
      <c r="B1931" s="1" t="s">
        <v>142</v>
      </c>
      <c r="C1931" s="1" t="s">
        <v>142</v>
      </c>
      <c r="D1931" s="1" t="s">
        <v>6099</v>
      </c>
      <c r="E1931" s="1" t="s">
        <v>144</v>
      </c>
      <c r="F1931" s="1" t="s">
        <v>142</v>
      </c>
      <c r="G1931" s="1"/>
    </row>
    <row r="1932">
      <c r="A1932" s="1" t="s">
        <v>6100</v>
      </c>
      <c r="B1932" s="1" t="s">
        <v>142</v>
      </c>
      <c r="C1932" s="1" t="s">
        <v>142</v>
      </c>
      <c r="D1932" s="1" t="s">
        <v>6101</v>
      </c>
      <c r="E1932" s="1" t="s">
        <v>144</v>
      </c>
      <c r="F1932" s="1" t="s">
        <v>142</v>
      </c>
      <c r="G1932" s="1"/>
    </row>
    <row r="1933">
      <c r="A1933" s="1" t="s">
        <v>6102</v>
      </c>
      <c r="B1933" s="1" t="s">
        <v>142</v>
      </c>
      <c r="C1933" s="1" t="s">
        <v>142</v>
      </c>
      <c r="D1933" s="1" t="s">
        <v>6103</v>
      </c>
      <c r="E1933" s="1" t="s">
        <v>144</v>
      </c>
      <c r="F1933" s="1" t="s">
        <v>142</v>
      </c>
      <c r="G1933" s="1"/>
    </row>
    <row r="1934">
      <c r="A1934" s="1" t="s">
        <v>6104</v>
      </c>
      <c r="B1934" s="1" t="s">
        <v>142</v>
      </c>
      <c r="C1934" s="1" t="s">
        <v>142</v>
      </c>
      <c r="D1934" s="1" t="s">
        <v>6105</v>
      </c>
      <c r="E1934" s="1" t="s">
        <v>144</v>
      </c>
      <c r="F1934" s="1" t="s">
        <v>142</v>
      </c>
      <c r="G1934" s="1"/>
    </row>
    <row r="1935">
      <c r="A1935" s="1" t="s">
        <v>6106</v>
      </c>
      <c r="B1935" s="1" t="s">
        <v>142</v>
      </c>
      <c r="C1935" s="1" t="s">
        <v>142</v>
      </c>
      <c r="D1935" s="1" t="s">
        <v>6107</v>
      </c>
      <c r="E1935" s="1" t="s">
        <v>144</v>
      </c>
      <c r="F1935" s="1" t="s">
        <v>142</v>
      </c>
      <c r="G1935" s="1"/>
    </row>
    <row r="1936">
      <c r="A1936" s="1" t="s">
        <v>6108</v>
      </c>
      <c r="B1936" s="1" t="s">
        <v>142</v>
      </c>
      <c r="C1936" s="1" t="s">
        <v>142</v>
      </c>
      <c r="D1936" s="1" t="s">
        <v>6109</v>
      </c>
      <c r="E1936" s="1" t="s">
        <v>144</v>
      </c>
      <c r="F1936" s="1" t="s">
        <v>142</v>
      </c>
      <c r="G1936" s="1"/>
    </row>
    <row r="1937">
      <c r="A1937" s="1" t="s">
        <v>6110</v>
      </c>
      <c r="B1937" s="1" t="s">
        <v>142</v>
      </c>
      <c r="C1937" s="1" t="s">
        <v>142</v>
      </c>
      <c r="D1937" s="1" t="s">
        <v>6111</v>
      </c>
      <c r="E1937" s="1" t="s">
        <v>144</v>
      </c>
      <c r="F1937" s="1" t="s">
        <v>142</v>
      </c>
      <c r="G1937" s="1"/>
    </row>
    <row r="1938">
      <c r="A1938" s="1" t="s">
        <v>6112</v>
      </c>
      <c r="B1938" s="1" t="s">
        <v>142</v>
      </c>
      <c r="C1938" s="1" t="s">
        <v>142</v>
      </c>
      <c r="D1938" s="1" t="s">
        <v>6113</v>
      </c>
      <c r="E1938" s="1" t="s">
        <v>144</v>
      </c>
      <c r="F1938" s="1" t="s">
        <v>142</v>
      </c>
      <c r="G1938" s="1"/>
    </row>
    <row r="1939">
      <c r="A1939" s="1" t="s">
        <v>6114</v>
      </c>
      <c r="B1939" s="1" t="s">
        <v>142</v>
      </c>
      <c r="C1939" s="1" t="s">
        <v>142</v>
      </c>
      <c r="D1939" s="1" t="s">
        <v>6115</v>
      </c>
      <c r="E1939" s="1" t="s">
        <v>144</v>
      </c>
      <c r="F1939" s="1" t="s">
        <v>142</v>
      </c>
      <c r="G1939" s="1"/>
    </row>
    <row r="1940">
      <c r="A1940" s="1" t="s">
        <v>6116</v>
      </c>
      <c r="B1940" s="1" t="s">
        <v>142</v>
      </c>
      <c r="C1940" s="1" t="s">
        <v>142</v>
      </c>
      <c r="D1940" s="1" t="s">
        <v>6117</v>
      </c>
      <c r="E1940" s="1" t="s">
        <v>144</v>
      </c>
      <c r="F1940" s="1" t="s">
        <v>142</v>
      </c>
      <c r="G1940" s="1"/>
    </row>
    <row r="1941">
      <c r="A1941" s="1" t="s">
        <v>6118</v>
      </c>
      <c r="B1941" s="1" t="s">
        <v>142</v>
      </c>
      <c r="C1941" s="1" t="s">
        <v>142</v>
      </c>
      <c r="D1941" s="1" t="s">
        <v>6119</v>
      </c>
      <c r="E1941" s="1" t="s">
        <v>144</v>
      </c>
      <c r="F1941" s="1" t="s">
        <v>142</v>
      </c>
      <c r="G1941" s="1"/>
    </row>
    <row r="1942">
      <c r="A1942" s="1" t="s">
        <v>6120</v>
      </c>
      <c r="B1942" s="1" t="s">
        <v>142</v>
      </c>
      <c r="C1942" s="1" t="s">
        <v>142</v>
      </c>
      <c r="D1942" s="1" t="s">
        <v>6121</v>
      </c>
      <c r="E1942" s="1" t="s">
        <v>144</v>
      </c>
      <c r="F1942" s="1" t="s">
        <v>142</v>
      </c>
      <c r="G1942" s="1"/>
    </row>
    <row r="1943">
      <c r="A1943" s="1" t="s">
        <v>6122</v>
      </c>
      <c r="B1943" s="1" t="s">
        <v>142</v>
      </c>
      <c r="C1943" s="1" t="s">
        <v>142</v>
      </c>
      <c r="D1943" s="1" t="s">
        <v>6123</v>
      </c>
      <c r="E1943" s="1" t="s">
        <v>144</v>
      </c>
      <c r="F1943" s="1" t="s">
        <v>142</v>
      </c>
      <c r="G1943" s="1"/>
    </row>
    <row r="1944">
      <c r="A1944" s="1" t="s">
        <v>6124</v>
      </c>
      <c r="B1944" s="1" t="s">
        <v>142</v>
      </c>
      <c r="C1944" s="1" t="s">
        <v>142</v>
      </c>
      <c r="D1944" s="1" t="s">
        <v>6125</v>
      </c>
      <c r="E1944" s="1" t="s">
        <v>144</v>
      </c>
      <c r="F1944" s="1" t="s">
        <v>142</v>
      </c>
      <c r="G1944" s="1"/>
    </row>
    <row r="1945">
      <c r="A1945" s="1" t="s">
        <v>6126</v>
      </c>
      <c r="B1945" s="1" t="s">
        <v>142</v>
      </c>
      <c r="C1945" s="1" t="s">
        <v>142</v>
      </c>
      <c r="D1945" s="1" t="s">
        <v>6127</v>
      </c>
      <c r="E1945" s="1" t="s">
        <v>144</v>
      </c>
      <c r="F1945" s="1" t="s">
        <v>142</v>
      </c>
      <c r="G1945" s="1"/>
    </row>
    <row r="1946">
      <c r="A1946" s="1" t="s">
        <v>6128</v>
      </c>
      <c r="B1946" s="1" t="s">
        <v>142</v>
      </c>
      <c r="C1946" s="1" t="s">
        <v>142</v>
      </c>
      <c r="D1946" s="1" t="s">
        <v>6129</v>
      </c>
      <c r="E1946" s="1" t="s">
        <v>144</v>
      </c>
      <c r="F1946" s="1" t="s">
        <v>142</v>
      </c>
      <c r="G1946" s="1"/>
    </row>
    <row r="1947">
      <c r="A1947" s="1" t="s">
        <v>6130</v>
      </c>
      <c r="B1947" s="1" t="s">
        <v>142</v>
      </c>
      <c r="C1947" s="1" t="s">
        <v>142</v>
      </c>
      <c r="D1947" s="1" t="s">
        <v>6131</v>
      </c>
      <c r="E1947" s="1" t="s">
        <v>144</v>
      </c>
      <c r="F1947" s="1" t="s">
        <v>142</v>
      </c>
      <c r="G1947" s="1"/>
    </row>
    <row r="1948">
      <c r="A1948" s="1" t="s">
        <v>6132</v>
      </c>
      <c r="B1948" s="1" t="s">
        <v>142</v>
      </c>
      <c r="C1948" s="1" t="s">
        <v>142</v>
      </c>
      <c r="D1948" s="1" t="s">
        <v>6133</v>
      </c>
      <c r="E1948" s="1" t="s">
        <v>144</v>
      </c>
      <c r="F1948" s="1" t="s">
        <v>142</v>
      </c>
      <c r="G1948" s="1"/>
    </row>
    <row r="1949">
      <c r="A1949" s="1" t="s">
        <v>6134</v>
      </c>
      <c r="B1949" s="1" t="s">
        <v>142</v>
      </c>
      <c r="C1949" s="1" t="s">
        <v>142</v>
      </c>
      <c r="D1949" s="1" t="s">
        <v>6135</v>
      </c>
      <c r="E1949" s="1" t="s">
        <v>144</v>
      </c>
      <c r="F1949" s="1" t="s">
        <v>142</v>
      </c>
      <c r="G1949" s="1"/>
    </row>
    <row r="1950">
      <c r="A1950" s="1" t="s">
        <v>6136</v>
      </c>
      <c r="B1950" s="1" t="s">
        <v>142</v>
      </c>
      <c r="C1950" s="1" t="s">
        <v>142</v>
      </c>
      <c r="D1950" s="1" t="s">
        <v>6137</v>
      </c>
      <c r="E1950" s="1" t="s">
        <v>144</v>
      </c>
      <c r="F1950" s="1" t="s">
        <v>142</v>
      </c>
      <c r="G1950" s="1"/>
    </row>
    <row r="1951">
      <c r="A1951" s="1" t="s">
        <v>6138</v>
      </c>
      <c r="B1951" s="1" t="s">
        <v>6139</v>
      </c>
      <c r="C1951" s="1" t="s">
        <v>6140</v>
      </c>
      <c r="D1951" s="1" t="s">
        <v>6141</v>
      </c>
      <c r="E1951" s="1" t="s">
        <v>144</v>
      </c>
      <c r="F1951" s="1" t="s">
        <v>142</v>
      </c>
      <c r="G1951" s="1"/>
    </row>
    <row r="1952">
      <c r="A1952" s="1" t="s">
        <v>6142</v>
      </c>
      <c r="B1952" s="1" t="s">
        <v>142</v>
      </c>
      <c r="C1952" s="1" t="s">
        <v>142</v>
      </c>
      <c r="D1952" s="1" t="s">
        <v>6143</v>
      </c>
      <c r="E1952" s="1" t="s">
        <v>144</v>
      </c>
      <c r="F1952" s="1" t="s">
        <v>142</v>
      </c>
      <c r="G1952" s="1"/>
    </row>
    <row r="1953">
      <c r="A1953" s="1" t="s">
        <v>6144</v>
      </c>
      <c r="B1953" s="1" t="s">
        <v>142</v>
      </c>
      <c r="C1953" s="1" t="s">
        <v>142</v>
      </c>
      <c r="D1953" s="1" t="s">
        <v>6145</v>
      </c>
      <c r="E1953" s="1" t="s">
        <v>144</v>
      </c>
      <c r="F1953" s="1" t="s">
        <v>142</v>
      </c>
      <c r="G1953" s="1"/>
    </row>
    <row r="1954">
      <c r="A1954" s="1" t="s">
        <v>6146</v>
      </c>
      <c r="B1954" s="1" t="s">
        <v>142</v>
      </c>
      <c r="C1954" s="1" t="s">
        <v>142</v>
      </c>
      <c r="D1954" s="1" t="s">
        <v>6147</v>
      </c>
      <c r="E1954" s="1" t="s">
        <v>144</v>
      </c>
      <c r="F1954" s="1" t="s">
        <v>142</v>
      </c>
      <c r="G1954" s="1"/>
    </row>
    <row r="1955">
      <c r="A1955" s="1" t="s">
        <v>6148</v>
      </c>
      <c r="B1955" s="1" t="s">
        <v>6149</v>
      </c>
      <c r="C1955" s="1" t="s">
        <v>6150</v>
      </c>
      <c r="D1955" s="1" t="s">
        <v>6151</v>
      </c>
      <c r="E1955" s="1" t="s">
        <v>144</v>
      </c>
      <c r="F1955" s="1" t="s">
        <v>142</v>
      </c>
      <c r="G1955" s="1"/>
    </row>
    <row r="1956">
      <c r="A1956" s="1" t="s">
        <v>6148</v>
      </c>
      <c r="B1956" s="1" t="s">
        <v>6152</v>
      </c>
      <c r="C1956" s="1" t="s">
        <v>6153</v>
      </c>
      <c r="D1956" s="1" t="s">
        <v>6154</v>
      </c>
      <c r="E1956" s="1" t="s">
        <v>144</v>
      </c>
      <c r="F1956" s="1" t="s">
        <v>142</v>
      </c>
      <c r="G1956" s="1"/>
    </row>
    <row r="1957">
      <c r="A1957" s="1" t="s">
        <v>6148</v>
      </c>
      <c r="B1957" s="1" t="s">
        <v>6155</v>
      </c>
      <c r="C1957" s="1" t="s">
        <v>6156</v>
      </c>
      <c r="D1957" s="1" t="s">
        <v>6157</v>
      </c>
      <c r="E1957" s="1" t="s">
        <v>144</v>
      </c>
      <c r="F1957" s="1" t="s">
        <v>142</v>
      </c>
      <c r="G1957" s="1"/>
    </row>
    <row r="1958">
      <c r="A1958" s="1" t="s">
        <v>6158</v>
      </c>
      <c r="B1958" s="1" t="s">
        <v>142</v>
      </c>
      <c r="C1958" s="1" t="s">
        <v>142</v>
      </c>
      <c r="D1958" s="1" t="s">
        <v>6159</v>
      </c>
      <c r="E1958" s="1" t="s">
        <v>144</v>
      </c>
      <c r="F1958" s="1" t="s">
        <v>142</v>
      </c>
      <c r="G1958" s="1"/>
    </row>
    <row r="1959">
      <c r="A1959" s="1" t="s">
        <v>6160</v>
      </c>
      <c r="B1959" s="1" t="s">
        <v>142</v>
      </c>
      <c r="C1959" s="1" t="s">
        <v>142</v>
      </c>
      <c r="D1959" s="1" t="s">
        <v>6161</v>
      </c>
      <c r="E1959" s="1" t="s">
        <v>144</v>
      </c>
      <c r="F1959" s="1" t="s">
        <v>142</v>
      </c>
      <c r="G1959" s="1"/>
    </row>
    <row r="1960">
      <c r="A1960" s="1" t="s">
        <v>6162</v>
      </c>
      <c r="B1960" s="1" t="s">
        <v>142</v>
      </c>
      <c r="C1960" s="1" t="s">
        <v>142</v>
      </c>
      <c r="D1960" s="1" t="s">
        <v>6163</v>
      </c>
      <c r="E1960" s="1" t="s">
        <v>144</v>
      </c>
      <c r="F1960" s="1" t="s">
        <v>142</v>
      </c>
      <c r="G1960" s="1"/>
    </row>
    <row r="1961">
      <c r="A1961" s="1" t="s">
        <v>6164</v>
      </c>
      <c r="B1961" s="1" t="s">
        <v>142</v>
      </c>
      <c r="C1961" s="1" t="s">
        <v>142</v>
      </c>
      <c r="D1961" s="1" t="s">
        <v>6165</v>
      </c>
      <c r="E1961" s="1" t="s">
        <v>144</v>
      </c>
      <c r="F1961" s="1" t="s">
        <v>142</v>
      </c>
      <c r="G1961" s="1"/>
    </row>
    <row r="1962">
      <c r="A1962" s="1" t="s">
        <v>6166</v>
      </c>
      <c r="B1962" s="1" t="s">
        <v>142</v>
      </c>
      <c r="C1962" s="1" t="s">
        <v>142</v>
      </c>
      <c r="D1962" s="1" t="s">
        <v>6167</v>
      </c>
      <c r="E1962" s="1" t="s">
        <v>144</v>
      </c>
      <c r="F1962" s="1" t="s">
        <v>142</v>
      </c>
      <c r="G1962" s="1"/>
    </row>
    <row r="1963">
      <c r="A1963" s="1" t="s">
        <v>6168</v>
      </c>
      <c r="B1963" s="1" t="s">
        <v>142</v>
      </c>
      <c r="C1963" s="1" t="s">
        <v>142</v>
      </c>
      <c r="D1963" s="1" t="s">
        <v>6169</v>
      </c>
      <c r="E1963" s="1" t="s">
        <v>144</v>
      </c>
      <c r="F1963" s="1" t="s">
        <v>142</v>
      </c>
      <c r="G1963" s="1"/>
    </row>
    <row r="1964">
      <c r="A1964" s="1" t="s">
        <v>6170</v>
      </c>
      <c r="B1964" s="1" t="s">
        <v>142</v>
      </c>
      <c r="C1964" s="1" t="s">
        <v>142</v>
      </c>
      <c r="D1964" s="1" t="s">
        <v>6171</v>
      </c>
      <c r="E1964" s="1" t="s">
        <v>144</v>
      </c>
      <c r="F1964" s="1" t="s">
        <v>142</v>
      </c>
      <c r="G1964" s="1"/>
    </row>
    <row r="1965">
      <c r="A1965" s="1" t="s">
        <v>6172</v>
      </c>
      <c r="B1965" s="1" t="s">
        <v>6173</v>
      </c>
      <c r="C1965" s="1" t="s">
        <v>6174</v>
      </c>
      <c r="D1965" s="1" t="s">
        <v>6175</v>
      </c>
      <c r="E1965" s="1" t="s">
        <v>144</v>
      </c>
      <c r="F1965" s="1" t="s">
        <v>142</v>
      </c>
      <c r="G1965" s="1"/>
    </row>
    <row r="1966">
      <c r="A1966" s="1" t="s">
        <v>6172</v>
      </c>
      <c r="B1966" s="1" t="s">
        <v>6173</v>
      </c>
      <c r="C1966" s="1" t="s">
        <v>6174</v>
      </c>
      <c r="D1966" s="1" t="s">
        <v>6176</v>
      </c>
      <c r="E1966" s="1" t="s">
        <v>144</v>
      </c>
      <c r="F1966" s="1" t="s">
        <v>142</v>
      </c>
      <c r="G1966" s="1"/>
    </row>
    <row r="1967">
      <c r="A1967" s="1" t="s">
        <v>6172</v>
      </c>
      <c r="B1967" s="1" t="s">
        <v>6177</v>
      </c>
      <c r="C1967" s="1" t="s">
        <v>6178</v>
      </c>
      <c r="D1967" s="1" t="s">
        <v>6179</v>
      </c>
      <c r="E1967" s="1" t="s">
        <v>144</v>
      </c>
      <c r="F1967" s="1" t="s">
        <v>142</v>
      </c>
      <c r="G1967" s="1"/>
    </row>
    <row r="1968">
      <c r="A1968" s="1" t="s">
        <v>6180</v>
      </c>
      <c r="B1968" s="1" t="s">
        <v>142</v>
      </c>
      <c r="C1968" s="1" t="s">
        <v>142</v>
      </c>
      <c r="D1968" s="1" t="s">
        <v>6181</v>
      </c>
      <c r="E1968" s="1" t="s">
        <v>144</v>
      </c>
      <c r="F1968" s="1" t="s">
        <v>142</v>
      </c>
      <c r="G1968" s="1"/>
    </row>
    <row r="1969">
      <c r="A1969" s="1" t="s">
        <v>6182</v>
      </c>
      <c r="B1969" s="1" t="s">
        <v>142</v>
      </c>
      <c r="C1969" s="1" t="s">
        <v>142</v>
      </c>
      <c r="D1969" s="1" t="s">
        <v>6183</v>
      </c>
      <c r="E1969" s="1" t="s">
        <v>144</v>
      </c>
      <c r="F1969" s="1" t="s">
        <v>142</v>
      </c>
      <c r="G1969" s="1"/>
    </row>
    <row r="1970">
      <c r="A1970" s="1" t="s">
        <v>6184</v>
      </c>
      <c r="B1970" s="1" t="s">
        <v>142</v>
      </c>
      <c r="C1970" s="1" t="s">
        <v>142</v>
      </c>
      <c r="D1970" s="1" t="s">
        <v>6185</v>
      </c>
      <c r="E1970" s="1" t="s">
        <v>144</v>
      </c>
      <c r="F1970" s="1" t="s">
        <v>142</v>
      </c>
      <c r="G1970" s="1"/>
    </row>
    <row r="1971">
      <c r="A1971" s="1" t="s">
        <v>6186</v>
      </c>
      <c r="B1971" s="1" t="s">
        <v>142</v>
      </c>
      <c r="C1971" s="1" t="s">
        <v>142</v>
      </c>
      <c r="D1971" s="1" t="s">
        <v>6187</v>
      </c>
      <c r="E1971" s="1" t="s">
        <v>144</v>
      </c>
      <c r="F1971" s="1" t="s">
        <v>142</v>
      </c>
      <c r="G1971" s="1"/>
    </row>
    <row r="1972">
      <c r="A1972" s="1" t="s">
        <v>6188</v>
      </c>
      <c r="B1972" s="1" t="s">
        <v>142</v>
      </c>
      <c r="C1972" s="1" t="s">
        <v>142</v>
      </c>
      <c r="D1972" s="1" t="s">
        <v>6189</v>
      </c>
      <c r="E1972" s="1" t="s">
        <v>144</v>
      </c>
      <c r="F1972" s="1" t="s">
        <v>142</v>
      </c>
      <c r="G1972" s="1"/>
    </row>
    <row r="1973">
      <c r="A1973" s="1" t="s">
        <v>6190</v>
      </c>
      <c r="B1973" s="1" t="s">
        <v>142</v>
      </c>
      <c r="C1973" s="1" t="s">
        <v>142</v>
      </c>
      <c r="D1973" s="1" t="s">
        <v>6191</v>
      </c>
      <c r="E1973" s="1" t="s">
        <v>144</v>
      </c>
      <c r="F1973" s="1" t="s">
        <v>142</v>
      </c>
      <c r="G1973" s="1"/>
    </row>
    <row r="1974">
      <c r="A1974" s="1" t="s">
        <v>6192</v>
      </c>
      <c r="B1974" s="1" t="s">
        <v>142</v>
      </c>
      <c r="C1974" s="1" t="s">
        <v>142</v>
      </c>
      <c r="D1974" s="1" t="s">
        <v>6193</v>
      </c>
      <c r="E1974" s="1" t="s">
        <v>144</v>
      </c>
      <c r="F1974" s="1" t="s">
        <v>142</v>
      </c>
      <c r="G1974" s="1"/>
    </row>
    <row r="1975">
      <c r="A1975" s="1" t="s">
        <v>848</v>
      </c>
      <c r="B1975" s="1" t="s">
        <v>142</v>
      </c>
      <c r="C1975" s="1" t="s">
        <v>142</v>
      </c>
      <c r="D1975" s="1" t="s">
        <v>6194</v>
      </c>
      <c r="E1975" s="1" t="s">
        <v>144</v>
      </c>
      <c r="F1975" s="1" t="s">
        <v>142</v>
      </c>
      <c r="G1975" s="1"/>
    </row>
    <row r="1976">
      <c r="A1976" s="1" t="s">
        <v>6195</v>
      </c>
      <c r="B1976" s="1" t="s">
        <v>142</v>
      </c>
      <c r="C1976" s="1" t="s">
        <v>142</v>
      </c>
      <c r="D1976" s="1" t="s">
        <v>6196</v>
      </c>
      <c r="E1976" s="1" t="s">
        <v>144</v>
      </c>
      <c r="F1976" s="1" t="s">
        <v>142</v>
      </c>
      <c r="G1976" s="1"/>
    </row>
    <row r="1977">
      <c r="A1977" s="1" t="s">
        <v>6197</v>
      </c>
      <c r="B1977" s="1" t="s">
        <v>142</v>
      </c>
      <c r="C1977" s="1" t="s">
        <v>142</v>
      </c>
      <c r="D1977" s="1" t="s">
        <v>6198</v>
      </c>
      <c r="E1977" s="1" t="s">
        <v>144</v>
      </c>
      <c r="F1977" s="1" t="s">
        <v>142</v>
      </c>
      <c r="G1977" s="1"/>
    </row>
    <row r="1978">
      <c r="A1978" s="1" t="s">
        <v>6199</v>
      </c>
      <c r="B1978" s="1" t="s">
        <v>142</v>
      </c>
      <c r="C1978" s="1" t="s">
        <v>142</v>
      </c>
      <c r="D1978" s="1" t="s">
        <v>6200</v>
      </c>
      <c r="E1978" s="1" t="s">
        <v>144</v>
      </c>
      <c r="F1978" s="1" t="s">
        <v>142</v>
      </c>
      <c r="G1978" s="1"/>
    </row>
    <row r="1979">
      <c r="A1979" s="1" t="s">
        <v>6201</v>
      </c>
      <c r="B1979" s="1" t="s">
        <v>142</v>
      </c>
      <c r="C1979" s="1" t="s">
        <v>142</v>
      </c>
      <c r="D1979" s="1" t="s">
        <v>6202</v>
      </c>
      <c r="E1979" s="1" t="s">
        <v>144</v>
      </c>
      <c r="F1979" s="1" t="s">
        <v>142</v>
      </c>
      <c r="G1979" s="1"/>
    </row>
    <row r="1980">
      <c r="A1980" s="1" t="s">
        <v>6203</v>
      </c>
      <c r="B1980" s="1" t="s">
        <v>142</v>
      </c>
      <c r="C1980" s="1" t="s">
        <v>142</v>
      </c>
      <c r="D1980" s="1" t="s">
        <v>6204</v>
      </c>
      <c r="E1980" s="1" t="s">
        <v>144</v>
      </c>
      <c r="F1980" s="1" t="s">
        <v>142</v>
      </c>
      <c r="G1980" s="1"/>
    </row>
    <row r="1981">
      <c r="A1981" s="1" t="s">
        <v>6205</v>
      </c>
      <c r="B1981" s="1" t="s">
        <v>142</v>
      </c>
      <c r="C1981" s="1" t="s">
        <v>142</v>
      </c>
      <c r="D1981" s="1" t="s">
        <v>6206</v>
      </c>
      <c r="E1981" s="1" t="s">
        <v>144</v>
      </c>
      <c r="F1981" s="1" t="s">
        <v>142</v>
      </c>
      <c r="G1981" s="1"/>
    </row>
    <row r="1982">
      <c r="A1982" s="1" t="s">
        <v>6207</v>
      </c>
      <c r="B1982" s="1" t="s">
        <v>142</v>
      </c>
      <c r="C1982" s="1" t="s">
        <v>142</v>
      </c>
      <c r="D1982" s="1" t="s">
        <v>6208</v>
      </c>
      <c r="E1982" s="1" t="s">
        <v>144</v>
      </c>
      <c r="F1982" s="1" t="s">
        <v>142</v>
      </c>
      <c r="G1982" s="1"/>
    </row>
    <row r="1983">
      <c r="A1983" s="1" t="s">
        <v>6209</v>
      </c>
      <c r="B1983" s="1" t="s">
        <v>142</v>
      </c>
      <c r="C1983" s="1" t="s">
        <v>142</v>
      </c>
      <c r="D1983" s="1" t="s">
        <v>6210</v>
      </c>
      <c r="E1983" s="1" t="s">
        <v>144</v>
      </c>
      <c r="F1983" s="1" t="s">
        <v>142</v>
      </c>
      <c r="G1983" s="1"/>
    </row>
    <row r="1984">
      <c r="A1984" s="1" t="s">
        <v>6211</v>
      </c>
      <c r="B1984" s="1" t="s">
        <v>142</v>
      </c>
      <c r="C1984" s="1" t="s">
        <v>142</v>
      </c>
      <c r="D1984" s="1" t="s">
        <v>6212</v>
      </c>
      <c r="E1984" s="1" t="s">
        <v>144</v>
      </c>
      <c r="F1984" s="1" t="s">
        <v>142</v>
      </c>
      <c r="G1984" s="1"/>
    </row>
    <row r="1985">
      <c r="A1985" s="1" t="s">
        <v>6213</v>
      </c>
      <c r="B1985" s="1" t="s">
        <v>142</v>
      </c>
      <c r="C1985" s="1" t="s">
        <v>142</v>
      </c>
      <c r="D1985" s="1" t="s">
        <v>6214</v>
      </c>
      <c r="E1985" s="1" t="s">
        <v>144</v>
      </c>
      <c r="F1985" s="1" t="s">
        <v>142</v>
      </c>
      <c r="G1985" s="1"/>
    </row>
    <row r="1986">
      <c r="A1986" s="1" t="s">
        <v>6215</v>
      </c>
      <c r="B1986" s="1" t="s">
        <v>142</v>
      </c>
      <c r="C1986" s="1" t="s">
        <v>142</v>
      </c>
      <c r="D1986" s="1" t="s">
        <v>6216</v>
      </c>
      <c r="E1986" s="1" t="s">
        <v>144</v>
      </c>
      <c r="F1986" s="1" t="s">
        <v>142</v>
      </c>
      <c r="G1986" s="1"/>
    </row>
    <row r="1987">
      <c r="A1987" s="1" t="s">
        <v>6217</v>
      </c>
      <c r="B1987" s="1" t="s">
        <v>142</v>
      </c>
      <c r="C1987" s="1" t="s">
        <v>142</v>
      </c>
      <c r="D1987" s="1" t="s">
        <v>6218</v>
      </c>
      <c r="E1987" s="1" t="s">
        <v>144</v>
      </c>
      <c r="F1987" s="1" t="s">
        <v>142</v>
      </c>
      <c r="G1987" s="1"/>
    </row>
    <row r="1988">
      <c r="A1988" s="1" t="s">
        <v>6219</v>
      </c>
      <c r="B1988" s="1" t="s">
        <v>142</v>
      </c>
      <c r="C1988" s="1" t="s">
        <v>142</v>
      </c>
      <c r="D1988" s="1" t="s">
        <v>6220</v>
      </c>
      <c r="E1988" s="1" t="s">
        <v>144</v>
      </c>
      <c r="F1988" s="1" t="s">
        <v>142</v>
      </c>
      <c r="G1988" s="1"/>
    </row>
    <row r="1989">
      <c r="A1989" s="1" t="s">
        <v>6221</v>
      </c>
      <c r="B1989" s="1" t="s">
        <v>142</v>
      </c>
      <c r="C1989" s="1" t="s">
        <v>142</v>
      </c>
      <c r="D1989" s="1" t="s">
        <v>6222</v>
      </c>
      <c r="E1989" s="1" t="s">
        <v>144</v>
      </c>
      <c r="F1989" s="1" t="s">
        <v>142</v>
      </c>
      <c r="G1989" s="1"/>
    </row>
    <row r="1990">
      <c r="A1990" s="1" t="s">
        <v>6223</v>
      </c>
      <c r="B1990" s="1" t="s">
        <v>142</v>
      </c>
      <c r="C1990" s="1" t="s">
        <v>142</v>
      </c>
      <c r="D1990" s="1" t="s">
        <v>6224</v>
      </c>
      <c r="E1990" s="1" t="s">
        <v>144</v>
      </c>
      <c r="F1990" s="1" t="s">
        <v>142</v>
      </c>
      <c r="G1990" s="1"/>
    </row>
    <row r="1991">
      <c r="A1991" s="1" t="s">
        <v>6225</v>
      </c>
      <c r="B1991" s="1" t="s">
        <v>142</v>
      </c>
      <c r="C1991" s="1" t="s">
        <v>142</v>
      </c>
      <c r="D1991" s="1" t="s">
        <v>6226</v>
      </c>
      <c r="E1991" s="1" t="s">
        <v>144</v>
      </c>
      <c r="F1991" s="1" t="s">
        <v>142</v>
      </c>
      <c r="G1991" s="1"/>
    </row>
    <row r="1992">
      <c r="A1992" s="1" t="s">
        <v>6227</v>
      </c>
      <c r="B1992" s="1" t="s">
        <v>142</v>
      </c>
      <c r="C1992" s="1" t="s">
        <v>142</v>
      </c>
      <c r="D1992" s="1" t="s">
        <v>6228</v>
      </c>
      <c r="E1992" s="1" t="s">
        <v>144</v>
      </c>
      <c r="F1992" s="1" t="s">
        <v>142</v>
      </c>
      <c r="G1992" s="1"/>
    </row>
    <row r="1993">
      <c r="A1993" s="1" t="s">
        <v>6229</v>
      </c>
      <c r="B1993" s="1" t="s">
        <v>142</v>
      </c>
      <c r="C1993" s="1" t="s">
        <v>142</v>
      </c>
      <c r="D1993" s="1" t="s">
        <v>6230</v>
      </c>
      <c r="E1993" s="1" t="s">
        <v>144</v>
      </c>
      <c r="F1993" s="1" t="s">
        <v>142</v>
      </c>
      <c r="G1993" s="1"/>
    </row>
    <row r="1994">
      <c r="A1994" s="1" t="s">
        <v>6231</v>
      </c>
      <c r="B1994" s="1" t="s">
        <v>142</v>
      </c>
      <c r="C1994" s="1" t="s">
        <v>142</v>
      </c>
      <c r="D1994" s="1" t="s">
        <v>6232</v>
      </c>
      <c r="E1994" s="1" t="s">
        <v>144</v>
      </c>
      <c r="F1994" s="1" t="s">
        <v>142</v>
      </c>
      <c r="G1994" s="1"/>
    </row>
    <row r="1995">
      <c r="A1995" s="1" t="s">
        <v>6233</v>
      </c>
      <c r="B1995" s="1" t="s">
        <v>142</v>
      </c>
      <c r="C1995" s="1" t="s">
        <v>142</v>
      </c>
      <c r="D1995" s="1" t="s">
        <v>6234</v>
      </c>
      <c r="E1995" s="1" t="s">
        <v>144</v>
      </c>
      <c r="F1995" s="1" t="s">
        <v>142</v>
      </c>
      <c r="G1995" s="1"/>
    </row>
    <row r="1996">
      <c r="A1996" s="1" t="s">
        <v>6235</v>
      </c>
      <c r="B1996" s="1" t="s">
        <v>6236</v>
      </c>
      <c r="C1996" s="1" t="s">
        <v>6237</v>
      </c>
      <c r="D1996" s="1" t="s">
        <v>6238</v>
      </c>
      <c r="E1996" s="1" t="s">
        <v>144</v>
      </c>
      <c r="F1996" s="1" t="s">
        <v>142</v>
      </c>
      <c r="G1996" s="1"/>
    </row>
    <row r="1997">
      <c r="A1997" s="1" t="s">
        <v>6239</v>
      </c>
      <c r="B1997" s="1" t="s">
        <v>142</v>
      </c>
      <c r="C1997" s="1" t="s">
        <v>142</v>
      </c>
      <c r="D1997" s="1" t="s">
        <v>6240</v>
      </c>
      <c r="E1997" s="1" t="s">
        <v>144</v>
      </c>
      <c r="F1997" s="1" t="s">
        <v>142</v>
      </c>
      <c r="G1997" s="1"/>
    </row>
    <row r="1998">
      <c r="A1998" s="1" t="s">
        <v>6241</v>
      </c>
      <c r="B1998" s="1" t="s">
        <v>142</v>
      </c>
      <c r="C1998" s="1" t="s">
        <v>142</v>
      </c>
      <c r="D1998" s="1" t="s">
        <v>6242</v>
      </c>
      <c r="E1998" s="1" t="s">
        <v>144</v>
      </c>
      <c r="F1998" s="1" t="s">
        <v>142</v>
      </c>
      <c r="G1998" s="1"/>
    </row>
    <row r="1999">
      <c r="A1999" s="1" t="s">
        <v>6243</v>
      </c>
      <c r="B1999" s="1" t="s">
        <v>142</v>
      </c>
      <c r="C1999" s="1" t="s">
        <v>142</v>
      </c>
      <c r="D1999" s="1" t="s">
        <v>6244</v>
      </c>
      <c r="E1999" s="1" t="s">
        <v>144</v>
      </c>
      <c r="F1999" s="1" t="s">
        <v>142</v>
      </c>
      <c r="G1999" s="1"/>
    </row>
    <row r="2000">
      <c r="A2000" s="1" t="s">
        <v>6245</v>
      </c>
      <c r="B2000" s="1" t="s">
        <v>142</v>
      </c>
      <c r="C2000" s="1" t="s">
        <v>142</v>
      </c>
      <c r="D2000" s="1" t="s">
        <v>6246</v>
      </c>
      <c r="E2000" s="1" t="s">
        <v>144</v>
      </c>
      <c r="F2000" s="1" t="s">
        <v>142</v>
      </c>
      <c r="G2000" s="1"/>
    </row>
    <row r="2001">
      <c r="A2001" s="1" t="s">
        <v>6247</v>
      </c>
      <c r="B2001" s="1" t="s">
        <v>142</v>
      </c>
      <c r="C2001" s="1" t="s">
        <v>142</v>
      </c>
      <c r="D2001" s="1" t="s">
        <v>6248</v>
      </c>
      <c r="E2001" s="1" t="s">
        <v>144</v>
      </c>
      <c r="F2001" s="1" t="s">
        <v>142</v>
      </c>
      <c r="G2001" s="1"/>
    </row>
    <row r="2002">
      <c r="A2002" s="1" t="s">
        <v>6249</v>
      </c>
      <c r="B2002" s="1" t="s">
        <v>142</v>
      </c>
      <c r="C2002" s="1" t="s">
        <v>142</v>
      </c>
      <c r="D2002" s="1" t="s">
        <v>6250</v>
      </c>
      <c r="E2002" s="1" t="s">
        <v>144</v>
      </c>
      <c r="F2002" s="1" t="s">
        <v>142</v>
      </c>
      <c r="G2002" s="1"/>
    </row>
    <row r="2003">
      <c r="A2003" s="1" t="s">
        <v>6251</v>
      </c>
      <c r="B2003" s="1" t="s">
        <v>142</v>
      </c>
      <c r="C2003" s="1" t="s">
        <v>142</v>
      </c>
      <c r="D2003" s="1" t="s">
        <v>6252</v>
      </c>
      <c r="E2003" s="1" t="s">
        <v>144</v>
      </c>
      <c r="F2003" s="1" t="s">
        <v>142</v>
      </c>
      <c r="G2003" s="1"/>
    </row>
    <row r="2004">
      <c r="A2004" s="1" t="s">
        <v>6253</v>
      </c>
      <c r="B2004" s="1" t="s">
        <v>142</v>
      </c>
      <c r="C2004" s="1" t="s">
        <v>142</v>
      </c>
      <c r="D2004" s="1" t="s">
        <v>6254</v>
      </c>
      <c r="E2004" s="1" t="s">
        <v>144</v>
      </c>
      <c r="F2004" s="1" t="s">
        <v>142</v>
      </c>
      <c r="G2004" s="1"/>
    </row>
    <row r="2005">
      <c r="A2005" s="1" t="s">
        <v>6255</v>
      </c>
      <c r="B2005" s="1" t="s">
        <v>142</v>
      </c>
      <c r="C2005" s="1" t="s">
        <v>142</v>
      </c>
      <c r="D2005" s="1" t="s">
        <v>6256</v>
      </c>
      <c r="E2005" s="1" t="s">
        <v>144</v>
      </c>
      <c r="F2005" s="1" t="s">
        <v>142</v>
      </c>
      <c r="G2005" s="1"/>
    </row>
    <row r="2006">
      <c r="A2006" s="1" t="s">
        <v>6257</v>
      </c>
      <c r="B2006" s="1" t="s">
        <v>142</v>
      </c>
      <c r="C2006" s="1" t="s">
        <v>142</v>
      </c>
      <c r="D2006" s="1" t="s">
        <v>6258</v>
      </c>
      <c r="E2006" s="1" t="s">
        <v>144</v>
      </c>
      <c r="F2006" s="1" t="s">
        <v>142</v>
      </c>
      <c r="G2006" s="1"/>
    </row>
    <row r="2007">
      <c r="A2007" s="1" t="s">
        <v>6259</v>
      </c>
      <c r="B2007" s="1" t="s">
        <v>142</v>
      </c>
      <c r="C2007" s="1" t="s">
        <v>142</v>
      </c>
      <c r="D2007" s="1" t="s">
        <v>6260</v>
      </c>
      <c r="E2007" s="1" t="s">
        <v>144</v>
      </c>
      <c r="F2007" s="1" t="s">
        <v>142</v>
      </c>
      <c r="G2007" s="1"/>
    </row>
    <row r="2008">
      <c r="A2008" s="1" t="s">
        <v>6261</v>
      </c>
      <c r="B2008" s="1" t="s">
        <v>142</v>
      </c>
      <c r="C2008" s="1" t="s">
        <v>142</v>
      </c>
      <c r="D2008" s="1" t="s">
        <v>6262</v>
      </c>
      <c r="E2008" s="1" t="s">
        <v>144</v>
      </c>
      <c r="F2008" s="1" t="s">
        <v>142</v>
      </c>
      <c r="G2008" s="1"/>
    </row>
    <row r="2009">
      <c r="A2009" s="1" t="s">
        <v>1716</v>
      </c>
      <c r="B2009" s="1" t="s">
        <v>142</v>
      </c>
      <c r="C2009" s="1" t="s">
        <v>142</v>
      </c>
      <c r="D2009" s="1" t="s">
        <v>6263</v>
      </c>
      <c r="E2009" s="1" t="s">
        <v>144</v>
      </c>
      <c r="F2009" s="1" t="s">
        <v>142</v>
      </c>
      <c r="G2009" s="1"/>
    </row>
    <row r="2010">
      <c r="A2010" s="1" t="s">
        <v>6264</v>
      </c>
      <c r="B2010" s="1" t="s">
        <v>142</v>
      </c>
      <c r="C2010" s="1" t="s">
        <v>142</v>
      </c>
      <c r="D2010" s="1" t="s">
        <v>6265</v>
      </c>
      <c r="E2010" s="1" t="s">
        <v>144</v>
      </c>
      <c r="F2010" s="1" t="s">
        <v>142</v>
      </c>
      <c r="G2010" s="1"/>
    </row>
    <row r="2011">
      <c r="A2011" s="1" t="s">
        <v>6266</v>
      </c>
      <c r="B2011" s="1" t="s">
        <v>142</v>
      </c>
      <c r="C2011" s="1" t="s">
        <v>142</v>
      </c>
      <c r="D2011" s="1" t="s">
        <v>6267</v>
      </c>
      <c r="E2011" s="1" t="s">
        <v>144</v>
      </c>
      <c r="F2011" s="1" t="s">
        <v>142</v>
      </c>
      <c r="G2011" s="1"/>
    </row>
    <row r="2012">
      <c r="A2012" s="1" t="s">
        <v>6268</v>
      </c>
      <c r="B2012" s="1" t="s">
        <v>142</v>
      </c>
      <c r="C2012" s="1" t="s">
        <v>142</v>
      </c>
      <c r="D2012" s="1" t="s">
        <v>6269</v>
      </c>
      <c r="E2012" s="1" t="s">
        <v>144</v>
      </c>
      <c r="F2012" s="1" t="s">
        <v>142</v>
      </c>
      <c r="G2012" s="1"/>
    </row>
    <row r="2013">
      <c r="A2013" s="1" t="s">
        <v>6270</v>
      </c>
      <c r="B2013" s="1" t="s">
        <v>142</v>
      </c>
      <c r="C2013" s="1" t="s">
        <v>142</v>
      </c>
      <c r="D2013" s="1" t="s">
        <v>6272</v>
      </c>
      <c r="E2013" s="1" t="s">
        <v>144</v>
      </c>
      <c r="F2013" s="1" t="s">
        <v>142</v>
      </c>
      <c r="G2013" s="1"/>
    </row>
    <row r="2014">
      <c r="A2014" s="1" t="s">
        <v>6273</v>
      </c>
      <c r="B2014" s="1" t="s">
        <v>6274</v>
      </c>
      <c r="C2014" s="1" t="s">
        <v>6275</v>
      </c>
      <c r="D2014" s="1" t="s">
        <v>6276</v>
      </c>
      <c r="E2014" s="1" t="s">
        <v>144</v>
      </c>
      <c r="F2014" s="1" t="s">
        <v>142</v>
      </c>
      <c r="G2014" s="1"/>
    </row>
    <row r="2015">
      <c r="A2015" s="1" t="s">
        <v>6277</v>
      </c>
      <c r="B2015" s="1" t="s">
        <v>142</v>
      </c>
      <c r="C2015" s="1" t="s">
        <v>142</v>
      </c>
      <c r="D2015" s="1" t="s">
        <v>6278</v>
      </c>
      <c r="E2015" s="1" t="s">
        <v>144</v>
      </c>
      <c r="F2015" s="1" t="s">
        <v>142</v>
      </c>
      <c r="G2015" s="1"/>
    </row>
    <row r="2016">
      <c r="A2016" s="1" t="s">
        <v>6279</v>
      </c>
      <c r="B2016" s="1" t="s">
        <v>142</v>
      </c>
      <c r="C2016" s="1" t="s">
        <v>142</v>
      </c>
      <c r="D2016" s="1" t="s">
        <v>6280</v>
      </c>
      <c r="E2016" s="1" t="s">
        <v>144</v>
      </c>
      <c r="F2016" s="1" t="s">
        <v>142</v>
      </c>
      <c r="G2016" s="1"/>
    </row>
    <row r="2017">
      <c r="A2017" s="1" t="s">
        <v>6281</v>
      </c>
      <c r="B2017" s="1" t="s">
        <v>142</v>
      </c>
      <c r="C2017" s="1" t="s">
        <v>142</v>
      </c>
      <c r="D2017" s="1" t="s">
        <v>6282</v>
      </c>
      <c r="E2017" s="1" t="s">
        <v>144</v>
      </c>
      <c r="F2017" s="1" t="s">
        <v>142</v>
      </c>
      <c r="G2017" s="1"/>
    </row>
    <row r="2018">
      <c r="A2018" s="1" t="s">
        <v>6283</v>
      </c>
      <c r="B2018" s="1" t="s">
        <v>142</v>
      </c>
      <c r="C2018" s="1" t="s">
        <v>142</v>
      </c>
      <c r="D2018" s="1" t="s">
        <v>6284</v>
      </c>
      <c r="E2018" s="1" t="s">
        <v>144</v>
      </c>
      <c r="F2018" s="1" t="s">
        <v>142</v>
      </c>
      <c r="G2018" s="1"/>
    </row>
    <row r="2019">
      <c r="A2019" s="1" t="s">
        <v>6285</v>
      </c>
      <c r="B2019" s="1" t="s">
        <v>142</v>
      </c>
      <c r="C2019" s="1" t="s">
        <v>142</v>
      </c>
      <c r="D2019" s="1" t="s">
        <v>6286</v>
      </c>
      <c r="E2019" s="1" t="s">
        <v>144</v>
      </c>
      <c r="F2019" s="1" t="s">
        <v>142</v>
      </c>
      <c r="G2019" s="1"/>
    </row>
    <row r="2020">
      <c r="A2020" s="1" t="s">
        <v>6287</v>
      </c>
      <c r="B2020" s="1" t="s">
        <v>142</v>
      </c>
      <c r="C2020" s="1" t="s">
        <v>142</v>
      </c>
      <c r="D2020" s="1" t="s">
        <v>6288</v>
      </c>
      <c r="E2020" s="1" t="s">
        <v>144</v>
      </c>
      <c r="F2020" s="1" t="s">
        <v>142</v>
      </c>
      <c r="G2020" s="1"/>
    </row>
    <row r="2021">
      <c r="A2021" s="1" t="s">
        <v>4955</v>
      </c>
      <c r="B2021" s="1" t="s">
        <v>142</v>
      </c>
      <c r="C2021" s="1" t="s">
        <v>142</v>
      </c>
      <c r="D2021" s="1" t="s">
        <v>6289</v>
      </c>
      <c r="E2021" s="1" t="s">
        <v>144</v>
      </c>
      <c r="F2021" s="1" t="s">
        <v>142</v>
      </c>
      <c r="G2021" s="1"/>
    </row>
    <row r="2022">
      <c r="A2022" s="1" t="s">
        <v>6290</v>
      </c>
      <c r="B2022" s="1" t="s">
        <v>142</v>
      </c>
      <c r="C2022" s="1" t="s">
        <v>142</v>
      </c>
      <c r="D2022" s="1" t="s">
        <v>6291</v>
      </c>
      <c r="E2022" s="1" t="s">
        <v>144</v>
      </c>
      <c r="F2022" s="1" t="s">
        <v>142</v>
      </c>
      <c r="G2022" s="1"/>
    </row>
    <row r="2023">
      <c r="A2023" s="1" t="s">
        <v>6301</v>
      </c>
      <c r="B2023" s="1" t="s">
        <v>142</v>
      </c>
      <c r="C2023" s="1" t="s">
        <v>142</v>
      </c>
      <c r="D2023" s="1" t="s">
        <v>6304</v>
      </c>
      <c r="E2023" s="1" t="s">
        <v>144</v>
      </c>
      <c r="F2023" s="1" t="s">
        <v>142</v>
      </c>
      <c r="G2023" s="1"/>
    </row>
    <row r="2024">
      <c r="A2024" s="1" t="s">
        <v>6305</v>
      </c>
      <c r="B2024" s="1" t="s">
        <v>142</v>
      </c>
      <c r="C2024" s="1" t="s">
        <v>142</v>
      </c>
      <c r="D2024" s="1" t="s">
        <v>6307</v>
      </c>
      <c r="E2024" s="1" t="s">
        <v>144</v>
      </c>
      <c r="F2024" s="1" t="s">
        <v>142</v>
      </c>
      <c r="G2024" s="1"/>
    </row>
    <row r="2025">
      <c r="A2025" s="1" t="s">
        <v>6309</v>
      </c>
      <c r="B2025" s="1" t="s">
        <v>142</v>
      </c>
      <c r="C2025" s="1" t="s">
        <v>142</v>
      </c>
      <c r="D2025" s="1" t="s">
        <v>6310</v>
      </c>
      <c r="E2025" s="1" t="s">
        <v>144</v>
      </c>
      <c r="F2025" s="1" t="s">
        <v>142</v>
      </c>
      <c r="G2025" s="1"/>
    </row>
    <row r="2026">
      <c r="A2026" s="1" t="s">
        <v>6311</v>
      </c>
      <c r="B2026" s="1" t="s">
        <v>142</v>
      </c>
      <c r="C2026" s="1" t="s">
        <v>142</v>
      </c>
      <c r="D2026" s="1" t="s">
        <v>6312</v>
      </c>
      <c r="E2026" s="1" t="s">
        <v>144</v>
      </c>
      <c r="F2026" s="1" t="s">
        <v>142</v>
      </c>
      <c r="G2026" s="1"/>
    </row>
    <row r="2027">
      <c r="A2027" s="1" t="s">
        <v>6314</v>
      </c>
      <c r="B2027" s="1" t="s">
        <v>142</v>
      </c>
      <c r="C2027" s="1" t="s">
        <v>142</v>
      </c>
      <c r="D2027" s="1" t="s">
        <v>6315</v>
      </c>
      <c r="E2027" s="1" t="s">
        <v>144</v>
      </c>
      <c r="F2027" s="1" t="s">
        <v>142</v>
      </c>
      <c r="G2027" s="1"/>
    </row>
    <row r="2028">
      <c r="A2028" s="1" t="s">
        <v>6316</v>
      </c>
      <c r="B2028" s="1" t="s">
        <v>142</v>
      </c>
      <c r="C2028" s="1" t="s">
        <v>142</v>
      </c>
      <c r="D2028" s="1" t="s">
        <v>6317</v>
      </c>
      <c r="E2028" s="1" t="s">
        <v>144</v>
      </c>
      <c r="F2028" s="1" t="s">
        <v>142</v>
      </c>
      <c r="G2028" s="1"/>
    </row>
    <row r="2029">
      <c r="A2029" s="1" t="s">
        <v>6318</v>
      </c>
      <c r="B2029" s="1" t="s">
        <v>142</v>
      </c>
      <c r="C2029" s="1" t="s">
        <v>142</v>
      </c>
      <c r="D2029" s="1" t="s">
        <v>6320</v>
      </c>
      <c r="E2029" s="1" t="s">
        <v>144</v>
      </c>
      <c r="F2029" s="1" t="s">
        <v>142</v>
      </c>
      <c r="G2029" s="1"/>
    </row>
    <row r="2030">
      <c r="A2030" s="1" t="s">
        <v>6321</v>
      </c>
      <c r="B2030" s="1" t="s">
        <v>142</v>
      </c>
      <c r="C2030" s="1" t="s">
        <v>142</v>
      </c>
      <c r="D2030" s="1" t="s">
        <v>6322</v>
      </c>
      <c r="E2030" s="1" t="s">
        <v>144</v>
      </c>
      <c r="F2030" s="1" t="s">
        <v>142</v>
      </c>
      <c r="G2030" s="1"/>
    </row>
    <row r="2031">
      <c r="A2031" s="1" t="s">
        <v>6323</v>
      </c>
      <c r="B2031" s="1" t="s">
        <v>142</v>
      </c>
      <c r="C2031" s="1" t="s">
        <v>142</v>
      </c>
      <c r="D2031" s="1" t="s">
        <v>6324</v>
      </c>
      <c r="E2031" s="1" t="s">
        <v>144</v>
      </c>
      <c r="F2031" s="1" t="s">
        <v>142</v>
      </c>
      <c r="G2031" s="1"/>
    </row>
    <row r="2032">
      <c r="A2032" s="1" t="s">
        <v>6325</v>
      </c>
      <c r="B2032" s="1" t="s">
        <v>142</v>
      </c>
      <c r="C2032" s="1" t="s">
        <v>142</v>
      </c>
      <c r="D2032" s="1" t="s">
        <v>6326</v>
      </c>
      <c r="E2032" s="1" t="s">
        <v>144</v>
      </c>
      <c r="F2032" s="1" t="s">
        <v>142</v>
      </c>
      <c r="G2032" s="1"/>
    </row>
    <row r="2033">
      <c r="A2033" s="1" t="s">
        <v>6327</v>
      </c>
      <c r="B2033" s="1" t="s">
        <v>142</v>
      </c>
      <c r="C2033" s="1" t="s">
        <v>142</v>
      </c>
      <c r="D2033" s="1" t="s">
        <v>6328</v>
      </c>
      <c r="E2033" s="1" t="s">
        <v>144</v>
      </c>
      <c r="F2033" s="1" t="s">
        <v>142</v>
      </c>
      <c r="G2033" s="1"/>
    </row>
    <row r="2034">
      <c r="A2034" s="1" t="s">
        <v>6329</v>
      </c>
      <c r="B2034" s="1" t="s">
        <v>142</v>
      </c>
      <c r="C2034" s="1" t="s">
        <v>142</v>
      </c>
      <c r="D2034" s="1" t="s">
        <v>6330</v>
      </c>
      <c r="E2034" s="1" t="s">
        <v>144</v>
      </c>
      <c r="F2034" s="1" t="s">
        <v>142</v>
      </c>
      <c r="G2034" s="1"/>
    </row>
    <row r="2035">
      <c r="A2035" s="1" t="s">
        <v>6331</v>
      </c>
      <c r="B2035" s="1" t="s">
        <v>142</v>
      </c>
      <c r="C2035" s="1" t="s">
        <v>142</v>
      </c>
      <c r="D2035" s="1" t="s">
        <v>6333</v>
      </c>
      <c r="E2035" s="1" t="s">
        <v>144</v>
      </c>
      <c r="F2035" s="1" t="s">
        <v>142</v>
      </c>
      <c r="G2035" s="1"/>
    </row>
    <row r="2036">
      <c r="A2036" s="1" t="s">
        <v>6335</v>
      </c>
      <c r="B2036" s="1" t="s">
        <v>142</v>
      </c>
      <c r="C2036" s="1" t="s">
        <v>142</v>
      </c>
      <c r="D2036" s="1" t="s">
        <v>6336</v>
      </c>
      <c r="E2036" s="1" t="s">
        <v>144</v>
      </c>
      <c r="F2036" s="1" t="s">
        <v>142</v>
      </c>
      <c r="G2036" s="1"/>
    </row>
    <row r="2037">
      <c r="A2037" s="1" t="s">
        <v>6337</v>
      </c>
      <c r="B2037" s="1" t="s">
        <v>142</v>
      </c>
      <c r="C2037" s="1" t="s">
        <v>142</v>
      </c>
      <c r="D2037" s="1" t="s">
        <v>6338</v>
      </c>
      <c r="E2037" s="1" t="s">
        <v>144</v>
      </c>
      <c r="F2037" s="1" t="s">
        <v>142</v>
      </c>
      <c r="G2037" s="1"/>
    </row>
    <row r="2038">
      <c r="A2038" s="1" t="s">
        <v>6340</v>
      </c>
      <c r="B2038" s="1" t="s">
        <v>142</v>
      </c>
      <c r="C2038" s="1" t="s">
        <v>142</v>
      </c>
      <c r="D2038" s="1" t="s">
        <v>6342</v>
      </c>
      <c r="E2038" s="1" t="s">
        <v>144</v>
      </c>
      <c r="F2038" s="1" t="s">
        <v>142</v>
      </c>
      <c r="G2038" s="1"/>
    </row>
    <row r="2039">
      <c r="A2039" s="1" t="s">
        <v>6343</v>
      </c>
      <c r="B2039" s="1" t="s">
        <v>142</v>
      </c>
      <c r="C2039" s="1" t="s">
        <v>142</v>
      </c>
      <c r="D2039" s="1" t="s">
        <v>6344</v>
      </c>
      <c r="E2039" s="1" t="s">
        <v>144</v>
      </c>
      <c r="F2039" s="1" t="s">
        <v>142</v>
      </c>
      <c r="G2039" s="1"/>
    </row>
    <row r="2040">
      <c r="A2040" s="1" t="s">
        <v>6346</v>
      </c>
      <c r="B2040" s="1" t="s">
        <v>142</v>
      </c>
      <c r="C2040" s="1" t="s">
        <v>142</v>
      </c>
      <c r="D2040" s="1" t="s">
        <v>6347</v>
      </c>
      <c r="E2040" s="1" t="s">
        <v>144</v>
      </c>
      <c r="F2040" s="1" t="s">
        <v>142</v>
      </c>
      <c r="G2040" s="1"/>
    </row>
    <row r="2041">
      <c r="A2041" s="1" t="s">
        <v>6348</v>
      </c>
      <c r="B2041" s="1" t="s">
        <v>142</v>
      </c>
      <c r="C2041" s="1" t="s">
        <v>142</v>
      </c>
      <c r="D2041" s="1" t="s">
        <v>6350</v>
      </c>
      <c r="E2041" s="1" t="s">
        <v>144</v>
      </c>
      <c r="F2041" s="1" t="s">
        <v>142</v>
      </c>
      <c r="G2041" s="1"/>
    </row>
    <row r="2042">
      <c r="A2042" s="1" t="s">
        <v>6351</v>
      </c>
      <c r="B2042" s="1" t="s">
        <v>142</v>
      </c>
      <c r="C2042" s="1" t="s">
        <v>142</v>
      </c>
      <c r="D2042" s="1" t="s">
        <v>6353</v>
      </c>
      <c r="E2042" s="1" t="s">
        <v>144</v>
      </c>
      <c r="F2042" s="1" t="s">
        <v>142</v>
      </c>
      <c r="G2042" s="1"/>
    </row>
    <row r="2043">
      <c r="A2043" s="1" t="s">
        <v>6354</v>
      </c>
      <c r="B2043" s="1" t="s">
        <v>142</v>
      </c>
      <c r="C2043" s="1" t="s">
        <v>142</v>
      </c>
      <c r="D2043" s="1" t="s">
        <v>6355</v>
      </c>
      <c r="E2043" s="1" t="s">
        <v>144</v>
      </c>
      <c r="F2043" s="1" t="s">
        <v>142</v>
      </c>
      <c r="G2043" s="1"/>
    </row>
    <row r="2044">
      <c r="A2044" s="1" t="s">
        <v>6357</v>
      </c>
      <c r="B2044" s="1" t="s">
        <v>142</v>
      </c>
      <c r="C2044" s="1" t="s">
        <v>142</v>
      </c>
      <c r="D2044" s="1" t="s">
        <v>6359</v>
      </c>
      <c r="E2044" s="1" t="s">
        <v>144</v>
      </c>
      <c r="F2044" s="1" t="s">
        <v>142</v>
      </c>
      <c r="G2044" s="1"/>
    </row>
    <row r="2045">
      <c r="A2045" s="1" t="s">
        <v>6360</v>
      </c>
      <c r="B2045" s="1" t="s">
        <v>142</v>
      </c>
      <c r="C2045" s="1" t="s">
        <v>142</v>
      </c>
      <c r="D2045" s="1" t="s">
        <v>6361</v>
      </c>
      <c r="E2045" s="1" t="s">
        <v>144</v>
      </c>
      <c r="F2045" s="1" t="s">
        <v>142</v>
      </c>
      <c r="G2045" s="1"/>
    </row>
    <row r="2046">
      <c r="A2046" s="1" t="s">
        <v>6362</v>
      </c>
      <c r="B2046" s="1" t="s">
        <v>142</v>
      </c>
      <c r="C2046" s="1" t="s">
        <v>142</v>
      </c>
      <c r="D2046" s="1" t="s">
        <v>6363</v>
      </c>
      <c r="E2046" s="1" t="s">
        <v>144</v>
      </c>
      <c r="F2046" s="1" t="s">
        <v>142</v>
      </c>
      <c r="G2046" s="1"/>
    </row>
    <row r="2047">
      <c r="A2047" s="1" t="s">
        <v>6364</v>
      </c>
      <c r="B2047" s="1" t="s">
        <v>142</v>
      </c>
      <c r="C2047" s="1" t="s">
        <v>142</v>
      </c>
      <c r="D2047" s="1" t="s">
        <v>6365</v>
      </c>
      <c r="E2047" s="1" t="s">
        <v>144</v>
      </c>
      <c r="F2047" s="1" t="s">
        <v>142</v>
      </c>
      <c r="G2047" s="1"/>
    </row>
    <row r="2048">
      <c r="A2048" s="1" t="s">
        <v>6366</v>
      </c>
      <c r="B2048" s="1" t="s">
        <v>142</v>
      </c>
      <c r="C2048" s="1" t="s">
        <v>142</v>
      </c>
      <c r="D2048" s="1" t="s">
        <v>6367</v>
      </c>
      <c r="E2048" s="1" t="s">
        <v>144</v>
      </c>
      <c r="F2048" s="1" t="s">
        <v>142</v>
      </c>
      <c r="G2048" s="1"/>
    </row>
    <row r="2049">
      <c r="A2049" s="1" t="s">
        <v>6368</v>
      </c>
      <c r="B2049" s="1" t="s">
        <v>142</v>
      </c>
      <c r="C2049" s="1" t="s">
        <v>142</v>
      </c>
      <c r="D2049" s="1" t="s">
        <v>6369</v>
      </c>
      <c r="E2049" s="1" t="s">
        <v>144</v>
      </c>
      <c r="F2049" s="1" t="s">
        <v>142</v>
      </c>
      <c r="G2049" s="1"/>
    </row>
    <row r="2050">
      <c r="A2050" s="1" t="s">
        <v>6370</v>
      </c>
      <c r="B2050" s="1" t="s">
        <v>142</v>
      </c>
      <c r="C2050" s="1" t="s">
        <v>142</v>
      </c>
      <c r="D2050" s="1" t="s">
        <v>6371</v>
      </c>
      <c r="E2050" s="1" t="s">
        <v>144</v>
      </c>
      <c r="F2050" s="1" t="s">
        <v>142</v>
      </c>
      <c r="G2050" s="1"/>
    </row>
    <row r="2051">
      <c r="A2051" s="1" t="s">
        <v>6372</v>
      </c>
      <c r="B2051" s="1" t="s">
        <v>142</v>
      </c>
      <c r="C2051" s="1" t="s">
        <v>142</v>
      </c>
      <c r="D2051" s="1" t="s">
        <v>6373</v>
      </c>
      <c r="E2051" s="1" t="s">
        <v>144</v>
      </c>
      <c r="F2051" s="1" t="s">
        <v>142</v>
      </c>
      <c r="G2051" s="1"/>
    </row>
    <row r="2052">
      <c r="A2052" s="1" t="s">
        <v>6374</v>
      </c>
      <c r="B2052" s="1" t="s">
        <v>142</v>
      </c>
      <c r="C2052" s="1" t="s">
        <v>142</v>
      </c>
      <c r="D2052" s="1" t="s">
        <v>6375</v>
      </c>
      <c r="E2052" s="1" t="s">
        <v>144</v>
      </c>
      <c r="F2052" s="1" t="s">
        <v>142</v>
      </c>
      <c r="G2052" s="1"/>
    </row>
    <row r="2053">
      <c r="A2053" s="1" t="s">
        <v>6376</v>
      </c>
      <c r="B2053" s="1" t="s">
        <v>142</v>
      </c>
      <c r="C2053" s="1" t="s">
        <v>142</v>
      </c>
      <c r="D2053" s="1" t="s">
        <v>6377</v>
      </c>
      <c r="E2053" s="1" t="s">
        <v>144</v>
      </c>
      <c r="F2053" s="1" t="s">
        <v>142</v>
      </c>
      <c r="G2053" s="1"/>
    </row>
    <row r="2054">
      <c r="A2054" s="1" t="s">
        <v>6378</v>
      </c>
      <c r="B2054" s="1" t="s">
        <v>142</v>
      </c>
      <c r="C2054" s="1" t="s">
        <v>142</v>
      </c>
      <c r="D2054" s="1" t="s">
        <v>6379</v>
      </c>
      <c r="E2054" s="1" t="s">
        <v>144</v>
      </c>
      <c r="F2054" s="1" t="s">
        <v>142</v>
      </c>
      <c r="G2054" s="1"/>
    </row>
    <row r="2055">
      <c r="A2055" s="1" t="s">
        <v>6380</v>
      </c>
      <c r="B2055" s="1" t="s">
        <v>142</v>
      </c>
      <c r="C2055" s="1" t="s">
        <v>142</v>
      </c>
      <c r="D2055" s="1" t="s">
        <v>6381</v>
      </c>
      <c r="E2055" s="1" t="s">
        <v>144</v>
      </c>
      <c r="F2055" s="1" t="s">
        <v>142</v>
      </c>
      <c r="G2055" s="1"/>
    </row>
    <row r="2056">
      <c r="A2056" s="1" t="s">
        <v>6382</v>
      </c>
      <c r="B2056" s="1" t="s">
        <v>142</v>
      </c>
      <c r="C2056" s="1" t="s">
        <v>142</v>
      </c>
      <c r="D2056" s="1" t="s">
        <v>6383</v>
      </c>
      <c r="E2056" s="1" t="s">
        <v>144</v>
      </c>
      <c r="F2056" s="1" t="s">
        <v>142</v>
      </c>
      <c r="G2056" s="1"/>
    </row>
    <row r="2057">
      <c r="A2057" s="1" t="s">
        <v>6384</v>
      </c>
      <c r="B2057" s="1" t="s">
        <v>142</v>
      </c>
      <c r="C2057" s="1" t="s">
        <v>142</v>
      </c>
      <c r="D2057" s="1" t="s">
        <v>6385</v>
      </c>
      <c r="E2057" s="1" t="s">
        <v>144</v>
      </c>
      <c r="F2057" s="1" t="s">
        <v>142</v>
      </c>
      <c r="G2057" s="1"/>
    </row>
    <row r="2058">
      <c r="A2058" s="1" t="s">
        <v>6386</v>
      </c>
      <c r="B2058" s="1" t="s">
        <v>142</v>
      </c>
      <c r="C2058" s="1" t="s">
        <v>142</v>
      </c>
      <c r="D2058" s="1" t="s">
        <v>6387</v>
      </c>
      <c r="E2058" s="1" t="s">
        <v>144</v>
      </c>
      <c r="F2058" s="1" t="s">
        <v>142</v>
      </c>
      <c r="G2058" s="1"/>
    </row>
    <row r="2059">
      <c r="A2059" s="1" t="s">
        <v>6388</v>
      </c>
      <c r="B2059" s="1" t="s">
        <v>142</v>
      </c>
      <c r="C2059" s="1" t="s">
        <v>142</v>
      </c>
      <c r="D2059" s="1" t="s">
        <v>6389</v>
      </c>
      <c r="E2059" s="1" t="s">
        <v>144</v>
      </c>
      <c r="F2059" s="1" t="s">
        <v>142</v>
      </c>
      <c r="G2059" s="1"/>
    </row>
    <row r="2060">
      <c r="A2060" s="1" t="s">
        <v>6390</v>
      </c>
      <c r="B2060" s="1" t="s">
        <v>142</v>
      </c>
      <c r="C2060" s="1" t="s">
        <v>142</v>
      </c>
      <c r="D2060" s="1" t="s">
        <v>6391</v>
      </c>
      <c r="E2060" s="1" t="s">
        <v>144</v>
      </c>
      <c r="F2060" s="1" t="s">
        <v>142</v>
      </c>
      <c r="G2060" s="1"/>
    </row>
    <row r="2061">
      <c r="A2061" s="1" t="s">
        <v>6392</v>
      </c>
      <c r="B2061" s="1" t="s">
        <v>142</v>
      </c>
      <c r="C2061" s="1" t="s">
        <v>142</v>
      </c>
      <c r="D2061" s="1" t="s">
        <v>6393</v>
      </c>
      <c r="E2061" s="1" t="s">
        <v>144</v>
      </c>
      <c r="F2061" s="1" t="s">
        <v>142</v>
      </c>
      <c r="G2061" s="1"/>
    </row>
    <row r="2062">
      <c r="A2062" s="1" t="s">
        <v>6394</v>
      </c>
      <c r="B2062" s="1" t="s">
        <v>142</v>
      </c>
      <c r="C2062" s="1" t="s">
        <v>142</v>
      </c>
      <c r="D2062" s="1" t="s">
        <v>6395</v>
      </c>
      <c r="E2062" s="1" t="s">
        <v>144</v>
      </c>
      <c r="F2062" s="1" t="s">
        <v>142</v>
      </c>
      <c r="G2062" s="1"/>
    </row>
    <row r="2063">
      <c r="A2063" s="1" t="s">
        <v>6396</v>
      </c>
      <c r="B2063" s="1" t="s">
        <v>142</v>
      </c>
      <c r="C2063" s="1" t="s">
        <v>142</v>
      </c>
      <c r="D2063" s="1" t="s">
        <v>6397</v>
      </c>
      <c r="E2063" s="1" t="s">
        <v>144</v>
      </c>
      <c r="F2063" s="1" t="s">
        <v>142</v>
      </c>
      <c r="G2063" s="1"/>
    </row>
    <row r="2064">
      <c r="A2064" s="1" t="s">
        <v>6398</v>
      </c>
      <c r="B2064" s="1" t="s">
        <v>142</v>
      </c>
      <c r="C2064" s="1" t="s">
        <v>142</v>
      </c>
      <c r="D2064" s="1" t="s">
        <v>6399</v>
      </c>
      <c r="E2064" s="1" t="s">
        <v>144</v>
      </c>
      <c r="F2064" s="1" t="s">
        <v>142</v>
      </c>
      <c r="G2064" s="1"/>
    </row>
    <row r="2065">
      <c r="A2065" s="1" t="s">
        <v>6400</v>
      </c>
      <c r="B2065" s="1" t="s">
        <v>142</v>
      </c>
      <c r="C2065" s="1" t="s">
        <v>142</v>
      </c>
      <c r="D2065" s="1" t="s">
        <v>6401</v>
      </c>
      <c r="E2065" s="1" t="s">
        <v>144</v>
      </c>
      <c r="F2065" s="1" t="s">
        <v>142</v>
      </c>
      <c r="G2065" s="1"/>
    </row>
    <row r="2066">
      <c r="A2066" s="1" t="s">
        <v>6402</v>
      </c>
      <c r="B2066" s="1" t="s">
        <v>142</v>
      </c>
      <c r="C2066" s="1" t="s">
        <v>142</v>
      </c>
      <c r="D2066" s="1" t="s">
        <v>6403</v>
      </c>
      <c r="E2066" s="1" t="s">
        <v>144</v>
      </c>
      <c r="F2066" s="1" t="s">
        <v>142</v>
      </c>
      <c r="G2066" s="1"/>
    </row>
    <row r="2067">
      <c r="A2067" s="1" t="s">
        <v>6404</v>
      </c>
      <c r="B2067" s="1" t="s">
        <v>142</v>
      </c>
      <c r="C2067" s="1" t="s">
        <v>142</v>
      </c>
      <c r="D2067" s="1" t="s">
        <v>6405</v>
      </c>
      <c r="E2067" s="1" t="s">
        <v>144</v>
      </c>
      <c r="F2067" s="1" t="s">
        <v>142</v>
      </c>
      <c r="G2067" s="1"/>
    </row>
    <row r="2068">
      <c r="A2068" s="1" t="s">
        <v>6406</v>
      </c>
      <c r="B2068" s="1" t="s">
        <v>142</v>
      </c>
      <c r="C2068" s="1" t="s">
        <v>142</v>
      </c>
      <c r="D2068" s="1" t="s">
        <v>6407</v>
      </c>
      <c r="E2068" s="1" t="s">
        <v>144</v>
      </c>
      <c r="F2068" s="1" t="s">
        <v>142</v>
      </c>
      <c r="G2068" s="1"/>
    </row>
    <row r="2069">
      <c r="A2069" s="1" t="s">
        <v>6408</v>
      </c>
      <c r="B2069" s="1" t="s">
        <v>142</v>
      </c>
      <c r="C2069" s="1" t="s">
        <v>142</v>
      </c>
      <c r="D2069" s="1" t="s">
        <v>6409</v>
      </c>
      <c r="E2069" s="1" t="s">
        <v>144</v>
      </c>
      <c r="F2069" s="1" t="s">
        <v>142</v>
      </c>
      <c r="G2069" s="1"/>
    </row>
    <row r="2070">
      <c r="A2070" s="1" t="s">
        <v>6410</v>
      </c>
      <c r="B2070" s="1" t="s">
        <v>142</v>
      </c>
      <c r="C2070" s="1" t="s">
        <v>142</v>
      </c>
      <c r="D2070" s="1" t="s">
        <v>6411</v>
      </c>
      <c r="E2070" s="1" t="s">
        <v>144</v>
      </c>
      <c r="F2070" s="1" t="s">
        <v>142</v>
      </c>
      <c r="G2070" s="1"/>
    </row>
    <row r="2071">
      <c r="A2071" s="1" t="s">
        <v>6412</v>
      </c>
      <c r="B2071" s="1" t="s">
        <v>142</v>
      </c>
      <c r="C2071" s="1" t="s">
        <v>142</v>
      </c>
      <c r="D2071" s="1" t="s">
        <v>6413</v>
      </c>
      <c r="E2071" s="1" t="s">
        <v>144</v>
      </c>
      <c r="F2071" s="1" t="s">
        <v>142</v>
      </c>
      <c r="G2071" s="1"/>
    </row>
    <row r="2072">
      <c r="A2072" s="1" t="s">
        <v>6414</v>
      </c>
      <c r="B2072" s="1" t="s">
        <v>142</v>
      </c>
      <c r="C2072" s="1" t="s">
        <v>142</v>
      </c>
      <c r="D2072" s="1" t="s">
        <v>6415</v>
      </c>
      <c r="E2072" s="1" t="s">
        <v>144</v>
      </c>
      <c r="F2072" s="1" t="s">
        <v>142</v>
      </c>
      <c r="G2072" s="1"/>
    </row>
    <row r="2073">
      <c r="A2073" s="1" t="s">
        <v>6416</v>
      </c>
      <c r="B2073" s="1" t="s">
        <v>142</v>
      </c>
      <c r="C2073" s="1" t="s">
        <v>142</v>
      </c>
      <c r="D2073" s="1" t="s">
        <v>6417</v>
      </c>
      <c r="E2073" s="1" t="s">
        <v>144</v>
      </c>
      <c r="F2073" s="1" t="s">
        <v>142</v>
      </c>
      <c r="G2073" s="1"/>
    </row>
    <row r="2074">
      <c r="A2074" s="1" t="s">
        <v>6418</v>
      </c>
      <c r="B2074" s="1" t="s">
        <v>142</v>
      </c>
      <c r="C2074" s="1" t="s">
        <v>142</v>
      </c>
      <c r="D2074" s="1" t="s">
        <v>6419</v>
      </c>
      <c r="E2074" s="1" t="s">
        <v>144</v>
      </c>
      <c r="F2074" s="1" t="s">
        <v>142</v>
      </c>
      <c r="G2074" s="1"/>
    </row>
    <row r="2075">
      <c r="A2075" s="1" t="s">
        <v>6420</v>
      </c>
      <c r="B2075" s="1" t="s">
        <v>142</v>
      </c>
      <c r="C2075" s="1" t="s">
        <v>142</v>
      </c>
      <c r="D2075" s="1" t="s">
        <v>6421</v>
      </c>
      <c r="E2075" s="1" t="s">
        <v>144</v>
      </c>
      <c r="F2075" s="1" t="s">
        <v>142</v>
      </c>
      <c r="G2075" s="1"/>
    </row>
    <row r="2076">
      <c r="A2076" s="1" t="s">
        <v>6422</v>
      </c>
      <c r="B2076" s="1" t="s">
        <v>142</v>
      </c>
      <c r="C2076" s="1" t="s">
        <v>142</v>
      </c>
      <c r="D2076" s="1" t="s">
        <v>6423</v>
      </c>
      <c r="E2076" s="1" t="s">
        <v>144</v>
      </c>
      <c r="F2076" s="1" t="s">
        <v>142</v>
      </c>
      <c r="G2076" s="1"/>
    </row>
    <row r="2077">
      <c r="A2077" s="1" t="s">
        <v>6424</v>
      </c>
      <c r="B2077" s="1" t="s">
        <v>142</v>
      </c>
      <c r="C2077" s="1" t="s">
        <v>142</v>
      </c>
      <c r="D2077" s="1" t="s">
        <v>6425</v>
      </c>
      <c r="E2077" s="1" t="s">
        <v>144</v>
      </c>
      <c r="F2077" s="1" t="s">
        <v>142</v>
      </c>
      <c r="G2077" s="1"/>
    </row>
    <row r="2078">
      <c r="A2078" s="1" t="s">
        <v>6426</v>
      </c>
      <c r="B2078" s="1" t="s">
        <v>142</v>
      </c>
      <c r="C2078" s="1" t="s">
        <v>142</v>
      </c>
      <c r="D2078" s="1" t="s">
        <v>6427</v>
      </c>
      <c r="E2078" s="1" t="s">
        <v>144</v>
      </c>
      <c r="F2078" s="1" t="s">
        <v>142</v>
      </c>
      <c r="G2078" s="1"/>
    </row>
    <row r="2079">
      <c r="A2079" s="1" t="s">
        <v>6428</v>
      </c>
      <c r="B2079" s="1" t="s">
        <v>142</v>
      </c>
      <c r="C2079" s="1" t="s">
        <v>142</v>
      </c>
      <c r="D2079" s="1" t="s">
        <v>6430</v>
      </c>
      <c r="E2079" s="1" t="s">
        <v>144</v>
      </c>
      <c r="F2079" s="1" t="s">
        <v>142</v>
      </c>
      <c r="G2079" s="1"/>
    </row>
    <row r="2080">
      <c r="A2080" s="1" t="s">
        <v>6431</v>
      </c>
      <c r="B2080" s="1" t="s">
        <v>142</v>
      </c>
      <c r="C2080" s="1" t="s">
        <v>142</v>
      </c>
      <c r="D2080" s="1" t="s">
        <v>6432</v>
      </c>
      <c r="E2080" s="1" t="s">
        <v>144</v>
      </c>
      <c r="F2080" s="1" t="s">
        <v>142</v>
      </c>
      <c r="G2080" s="1"/>
    </row>
    <row r="2081">
      <c r="A2081" s="1" t="s">
        <v>6433</v>
      </c>
      <c r="B2081" s="1" t="s">
        <v>142</v>
      </c>
      <c r="C2081" s="1" t="s">
        <v>142</v>
      </c>
      <c r="D2081" s="1" t="s">
        <v>6434</v>
      </c>
      <c r="E2081" s="1" t="s">
        <v>144</v>
      </c>
      <c r="F2081" s="1" t="s">
        <v>142</v>
      </c>
      <c r="G2081" s="1"/>
    </row>
    <row r="2082">
      <c r="A2082" s="1" t="s">
        <v>6436</v>
      </c>
      <c r="B2082" s="1" t="s">
        <v>142</v>
      </c>
      <c r="C2082" s="1" t="s">
        <v>142</v>
      </c>
      <c r="D2082" s="1" t="s">
        <v>6437</v>
      </c>
      <c r="E2082" s="1" t="s">
        <v>144</v>
      </c>
      <c r="F2082" s="1" t="s">
        <v>142</v>
      </c>
      <c r="G2082" s="1"/>
    </row>
    <row r="2083">
      <c r="A2083" s="1" t="s">
        <v>6438</v>
      </c>
      <c r="B2083" s="1" t="s">
        <v>142</v>
      </c>
      <c r="C2083" s="1" t="s">
        <v>142</v>
      </c>
      <c r="D2083" s="1" t="s">
        <v>6439</v>
      </c>
      <c r="E2083" s="1" t="s">
        <v>144</v>
      </c>
      <c r="F2083" s="1" t="s">
        <v>142</v>
      </c>
      <c r="G2083" s="1"/>
    </row>
    <row r="2084">
      <c r="A2084" s="1" t="s">
        <v>6440</v>
      </c>
      <c r="B2084" s="1" t="s">
        <v>142</v>
      </c>
      <c r="C2084" s="1" t="s">
        <v>142</v>
      </c>
      <c r="D2084" s="1" t="s">
        <v>6441</v>
      </c>
      <c r="E2084" s="1" t="s">
        <v>144</v>
      </c>
      <c r="F2084" s="1" t="s">
        <v>142</v>
      </c>
      <c r="G2084" s="1"/>
    </row>
    <row r="2085">
      <c r="A2085" s="1" t="s">
        <v>6442</v>
      </c>
      <c r="B2085" s="1" t="s">
        <v>142</v>
      </c>
      <c r="C2085" s="1" t="s">
        <v>142</v>
      </c>
      <c r="D2085" s="1" t="s">
        <v>6443</v>
      </c>
      <c r="E2085" s="1" t="s">
        <v>144</v>
      </c>
      <c r="F2085" s="1" t="s">
        <v>142</v>
      </c>
      <c r="G2085" s="1"/>
    </row>
    <row r="2086">
      <c r="A2086" s="1" t="s">
        <v>6444</v>
      </c>
      <c r="B2086" s="1" t="s">
        <v>142</v>
      </c>
      <c r="C2086" s="1" t="s">
        <v>142</v>
      </c>
      <c r="D2086" s="1" t="s">
        <v>6445</v>
      </c>
      <c r="E2086" s="1" t="s">
        <v>144</v>
      </c>
      <c r="F2086" s="1" t="s">
        <v>142</v>
      </c>
      <c r="G2086" s="1"/>
    </row>
    <row r="2087">
      <c r="A2087" s="1" t="s">
        <v>6446</v>
      </c>
      <c r="B2087" s="1" t="s">
        <v>142</v>
      </c>
      <c r="C2087" s="1" t="s">
        <v>142</v>
      </c>
      <c r="D2087" s="1" t="s">
        <v>6447</v>
      </c>
      <c r="E2087" s="1" t="s">
        <v>144</v>
      </c>
      <c r="F2087" s="1" t="s">
        <v>142</v>
      </c>
      <c r="G2087" s="1"/>
    </row>
    <row r="2088">
      <c r="A2088" s="1" t="s">
        <v>6448</v>
      </c>
      <c r="B2088" s="1" t="s">
        <v>142</v>
      </c>
      <c r="C2088" s="1" t="s">
        <v>142</v>
      </c>
      <c r="D2088" s="1" t="s">
        <v>6449</v>
      </c>
      <c r="E2088" s="1" t="s">
        <v>144</v>
      </c>
      <c r="F2088" s="1" t="s">
        <v>142</v>
      </c>
      <c r="G2088" s="1"/>
    </row>
    <row r="2089">
      <c r="A2089" s="1" t="s">
        <v>6450</v>
      </c>
      <c r="B2089" s="1" t="s">
        <v>6451</v>
      </c>
      <c r="C2089" s="1" t="s">
        <v>6453</v>
      </c>
      <c r="D2089" s="1" t="s">
        <v>6455</v>
      </c>
      <c r="E2089" s="1" t="s">
        <v>144</v>
      </c>
      <c r="F2089" s="1" t="s">
        <v>142</v>
      </c>
      <c r="G2089" s="1"/>
    </row>
    <row r="2090">
      <c r="A2090" s="1" t="s">
        <v>6456</v>
      </c>
      <c r="B2090" s="1" t="s">
        <v>142</v>
      </c>
      <c r="C2090" s="1" t="s">
        <v>142</v>
      </c>
      <c r="D2090" s="1" t="s">
        <v>6457</v>
      </c>
      <c r="E2090" s="1" t="s">
        <v>144</v>
      </c>
      <c r="F2090" s="1" t="s">
        <v>142</v>
      </c>
      <c r="G2090" s="1"/>
    </row>
    <row r="2091">
      <c r="A2091" s="1" t="s">
        <v>6458</v>
      </c>
      <c r="B2091" s="1" t="s">
        <v>142</v>
      </c>
      <c r="C2091" s="1" t="s">
        <v>142</v>
      </c>
      <c r="D2091" s="1" t="s">
        <v>6460</v>
      </c>
      <c r="E2091" s="1" t="s">
        <v>144</v>
      </c>
      <c r="F2091" s="1" t="s">
        <v>142</v>
      </c>
      <c r="G2091" s="1"/>
    </row>
    <row r="2092">
      <c r="A2092" s="1" t="s">
        <v>6461</v>
      </c>
      <c r="B2092" s="1" t="s">
        <v>142</v>
      </c>
      <c r="C2092" s="1" t="s">
        <v>142</v>
      </c>
      <c r="D2092" s="1" t="s">
        <v>6462</v>
      </c>
      <c r="E2092" s="1" t="s">
        <v>144</v>
      </c>
      <c r="F2092" s="1" t="s">
        <v>142</v>
      </c>
      <c r="G2092" s="1"/>
    </row>
    <row r="2093">
      <c r="A2093" s="1" t="s">
        <v>6464</v>
      </c>
      <c r="B2093" s="1" t="s">
        <v>142</v>
      </c>
      <c r="C2093" s="1" t="s">
        <v>142</v>
      </c>
      <c r="D2093" s="1" t="s">
        <v>6466</v>
      </c>
      <c r="E2093" s="1" t="s">
        <v>144</v>
      </c>
      <c r="F2093" s="1" t="s">
        <v>142</v>
      </c>
      <c r="G2093" s="1"/>
    </row>
    <row r="2094">
      <c r="A2094" s="1" t="s">
        <v>6467</v>
      </c>
      <c r="B2094" s="1" t="s">
        <v>142</v>
      </c>
      <c r="C2094" s="1" t="s">
        <v>142</v>
      </c>
      <c r="D2094" s="1" t="s">
        <v>6468</v>
      </c>
      <c r="E2094" s="1" t="s">
        <v>144</v>
      </c>
      <c r="F2094" s="1" t="s">
        <v>142</v>
      </c>
      <c r="G2094" s="1"/>
    </row>
    <row r="2095">
      <c r="A2095" s="1" t="s">
        <v>6470</v>
      </c>
      <c r="B2095" s="1" t="s">
        <v>142</v>
      </c>
      <c r="C2095" s="1" t="s">
        <v>142</v>
      </c>
      <c r="D2095" s="1" t="s">
        <v>6472</v>
      </c>
      <c r="E2095" s="1" t="s">
        <v>144</v>
      </c>
      <c r="F2095" s="1" t="s">
        <v>142</v>
      </c>
      <c r="G2095" s="1"/>
    </row>
    <row r="2096">
      <c r="A2096" s="1" t="s">
        <v>6473</v>
      </c>
      <c r="B2096" s="1" t="s">
        <v>142</v>
      </c>
      <c r="C2096" s="1" t="s">
        <v>142</v>
      </c>
      <c r="D2096" s="1" t="s">
        <v>6474</v>
      </c>
      <c r="E2096" s="1" t="s">
        <v>144</v>
      </c>
      <c r="F2096" s="1" t="s">
        <v>142</v>
      </c>
      <c r="G2096" s="1"/>
    </row>
    <row r="2097">
      <c r="A2097" s="1" t="s">
        <v>6475</v>
      </c>
      <c r="B2097" s="1" t="s">
        <v>142</v>
      </c>
      <c r="C2097" s="1" t="s">
        <v>142</v>
      </c>
      <c r="D2097" s="1" t="s">
        <v>6476</v>
      </c>
      <c r="E2097" s="1" t="s">
        <v>144</v>
      </c>
      <c r="F2097" s="1" t="s">
        <v>142</v>
      </c>
      <c r="G2097" s="1"/>
    </row>
    <row r="2098">
      <c r="A2098" s="1" t="s">
        <v>6477</v>
      </c>
      <c r="B2098" s="1" t="s">
        <v>142</v>
      </c>
      <c r="C2098" s="1" t="s">
        <v>142</v>
      </c>
      <c r="D2098" s="1" t="s">
        <v>6478</v>
      </c>
      <c r="E2098" s="1" t="s">
        <v>144</v>
      </c>
      <c r="F2098" s="1" t="s">
        <v>142</v>
      </c>
      <c r="G2098" s="1"/>
    </row>
    <row r="2099">
      <c r="A2099" s="1" t="s">
        <v>6479</v>
      </c>
      <c r="B2099" s="1" t="s">
        <v>142</v>
      </c>
      <c r="C2099" s="1" t="s">
        <v>142</v>
      </c>
      <c r="D2099" s="1" t="s">
        <v>6480</v>
      </c>
      <c r="E2099" s="1" t="s">
        <v>144</v>
      </c>
      <c r="F2099" s="1" t="s">
        <v>142</v>
      </c>
      <c r="G2099" s="1"/>
    </row>
    <row r="2100">
      <c r="A2100" s="1" t="s">
        <v>6481</v>
      </c>
      <c r="B2100" s="1" t="s">
        <v>142</v>
      </c>
      <c r="C2100" s="1" t="s">
        <v>142</v>
      </c>
      <c r="D2100" s="1" t="s">
        <v>6482</v>
      </c>
      <c r="E2100" s="1" t="s">
        <v>144</v>
      </c>
      <c r="F2100" s="1" t="s">
        <v>142</v>
      </c>
      <c r="G2100" s="1"/>
    </row>
    <row r="2101">
      <c r="A2101" s="1" t="s">
        <v>6483</v>
      </c>
      <c r="B2101" s="1" t="s">
        <v>142</v>
      </c>
      <c r="C2101" s="1" t="s">
        <v>142</v>
      </c>
      <c r="D2101" s="1" t="s">
        <v>6484</v>
      </c>
      <c r="E2101" s="1" t="s">
        <v>144</v>
      </c>
      <c r="F2101" s="1" t="s">
        <v>142</v>
      </c>
      <c r="G2101" s="1"/>
    </row>
    <row r="2102">
      <c r="A2102" s="1" t="s">
        <v>6485</v>
      </c>
      <c r="B2102" s="1" t="s">
        <v>142</v>
      </c>
      <c r="C2102" s="1" t="s">
        <v>142</v>
      </c>
      <c r="D2102" s="1" t="s">
        <v>6486</v>
      </c>
      <c r="E2102" s="1" t="s">
        <v>144</v>
      </c>
      <c r="F2102" s="1" t="s">
        <v>142</v>
      </c>
      <c r="G2102" s="1"/>
    </row>
    <row r="2103">
      <c r="A2103" s="1" t="s">
        <v>6487</v>
      </c>
      <c r="B2103" s="1" t="s">
        <v>142</v>
      </c>
      <c r="C2103" s="1" t="s">
        <v>142</v>
      </c>
      <c r="D2103" s="1" t="s">
        <v>6488</v>
      </c>
      <c r="E2103" s="1" t="s">
        <v>144</v>
      </c>
      <c r="F2103" s="1" t="s">
        <v>142</v>
      </c>
      <c r="G2103" s="1"/>
    </row>
    <row r="2104">
      <c r="A2104" s="1" t="s">
        <v>6489</v>
      </c>
      <c r="B2104" s="1" t="s">
        <v>142</v>
      </c>
      <c r="C2104" s="1" t="s">
        <v>142</v>
      </c>
      <c r="D2104" s="1" t="s">
        <v>6490</v>
      </c>
      <c r="E2104" s="1" t="s">
        <v>144</v>
      </c>
      <c r="F2104" s="1" t="s">
        <v>142</v>
      </c>
      <c r="G2104" s="1"/>
    </row>
    <row r="2105">
      <c r="A2105" s="1" t="s">
        <v>6491</v>
      </c>
      <c r="B2105" s="1" t="s">
        <v>142</v>
      </c>
      <c r="C2105" s="1" t="s">
        <v>142</v>
      </c>
      <c r="D2105" s="1" t="s">
        <v>6492</v>
      </c>
      <c r="E2105" s="1" t="s">
        <v>144</v>
      </c>
      <c r="F2105" s="1" t="s">
        <v>142</v>
      </c>
      <c r="G2105" s="1"/>
    </row>
    <row r="2106">
      <c r="A2106" s="1" t="s">
        <v>6493</v>
      </c>
      <c r="B2106" s="1" t="s">
        <v>142</v>
      </c>
      <c r="C2106" s="1" t="s">
        <v>142</v>
      </c>
      <c r="D2106" s="1" t="s">
        <v>6494</v>
      </c>
      <c r="E2106" s="1" t="s">
        <v>144</v>
      </c>
      <c r="F2106" s="1" t="s">
        <v>142</v>
      </c>
      <c r="G2106" s="1"/>
    </row>
    <row r="2107">
      <c r="A2107" s="1" t="s">
        <v>6495</v>
      </c>
      <c r="B2107" s="1" t="s">
        <v>142</v>
      </c>
      <c r="C2107" s="1" t="s">
        <v>142</v>
      </c>
      <c r="D2107" s="1" t="s">
        <v>6496</v>
      </c>
      <c r="E2107" s="1" t="s">
        <v>144</v>
      </c>
      <c r="F2107" s="1" t="s">
        <v>142</v>
      </c>
      <c r="G2107" s="1"/>
    </row>
    <row r="2108">
      <c r="A2108" s="1" t="s">
        <v>6497</v>
      </c>
      <c r="B2108" s="1" t="s">
        <v>142</v>
      </c>
      <c r="C2108" s="1" t="s">
        <v>142</v>
      </c>
      <c r="D2108" s="1" t="s">
        <v>6498</v>
      </c>
      <c r="E2108" s="1" t="s">
        <v>144</v>
      </c>
      <c r="F2108" s="1" t="s">
        <v>142</v>
      </c>
      <c r="G2108" s="1"/>
    </row>
    <row r="2109">
      <c r="A2109" s="1" t="s">
        <v>6499</v>
      </c>
      <c r="B2109" s="1" t="s">
        <v>142</v>
      </c>
      <c r="C2109" s="1" t="s">
        <v>142</v>
      </c>
      <c r="D2109" s="1" t="s">
        <v>6500</v>
      </c>
      <c r="E2109" s="1" t="s">
        <v>144</v>
      </c>
      <c r="F2109" s="1" t="s">
        <v>142</v>
      </c>
      <c r="G2109" s="1"/>
    </row>
    <row r="2110">
      <c r="A2110" s="1" t="s">
        <v>6501</v>
      </c>
      <c r="B2110" s="1" t="s">
        <v>142</v>
      </c>
      <c r="C2110" s="1" t="s">
        <v>142</v>
      </c>
      <c r="D2110" s="1" t="s">
        <v>6502</v>
      </c>
      <c r="E2110" s="1" t="s">
        <v>144</v>
      </c>
      <c r="F2110" s="1" t="s">
        <v>142</v>
      </c>
      <c r="G2110" s="1"/>
    </row>
    <row r="2111">
      <c r="A2111" s="1" t="s">
        <v>6503</v>
      </c>
      <c r="B2111" s="1" t="s">
        <v>142</v>
      </c>
      <c r="C2111" s="1" t="s">
        <v>142</v>
      </c>
      <c r="D2111" s="1" t="s">
        <v>6504</v>
      </c>
      <c r="E2111" s="1" t="s">
        <v>144</v>
      </c>
      <c r="F2111" s="1" t="s">
        <v>142</v>
      </c>
      <c r="G2111" s="1"/>
    </row>
    <row r="2112">
      <c r="A2112" s="1" t="s">
        <v>6505</v>
      </c>
      <c r="B2112" s="1" t="s">
        <v>142</v>
      </c>
      <c r="C2112" s="1" t="s">
        <v>142</v>
      </c>
      <c r="D2112" s="1" t="s">
        <v>6506</v>
      </c>
      <c r="E2112" s="1" t="s">
        <v>144</v>
      </c>
      <c r="F2112" s="1" t="s">
        <v>142</v>
      </c>
      <c r="G2112" s="1"/>
    </row>
    <row r="2113">
      <c r="A2113" s="1" t="s">
        <v>6507</v>
      </c>
      <c r="B2113" s="1" t="s">
        <v>142</v>
      </c>
      <c r="C2113" s="1" t="s">
        <v>142</v>
      </c>
      <c r="D2113" s="1" t="s">
        <v>6508</v>
      </c>
      <c r="E2113" s="1" t="s">
        <v>144</v>
      </c>
      <c r="F2113" s="1" t="s">
        <v>142</v>
      </c>
      <c r="G2113" s="1"/>
    </row>
    <row r="2114">
      <c r="A2114" s="1" t="s">
        <v>6509</v>
      </c>
      <c r="B2114" s="1" t="s">
        <v>142</v>
      </c>
      <c r="C2114" s="1" t="s">
        <v>142</v>
      </c>
      <c r="D2114" s="1" t="s">
        <v>6510</v>
      </c>
      <c r="E2114" s="1" t="s">
        <v>144</v>
      </c>
      <c r="F2114" s="1" t="s">
        <v>142</v>
      </c>
      <c r="G2114" s="1"/>
    </row>
    <row r="2115">
      <c r="A2115" s="1" t="s">
        <v>6511</v>
      </c>
      <c r="B2115" s="1" t="s">
        <v>142</v>
      </c>
      <c r="C2115" s="1" t="s">
        <v>142</v>
      </c>
      <c r="D2115" s="1" t="s">
        <v>6512</v>
      </c>
      <c r="E2115" s="1" t="s">
        <v>144</v>
      </c>
      <c r="F2115" s="1" t="s">
        <v>142</v>
      </c>
      <c r="G2115" s="1"/>
    </row>
    <row r="2116">
      <c r="A2116" s="1" t="s">
        <v>6513</v>
      </c>
      <c r="B2116" s="1" t="s">
        <v>6514</v>
      </c>
      <c r="C2116" s="1" t="s">
        <v>6515</v>
      </c>
      <c r="D2116" s="1" t="s">
        <v>6516</v>
      </c>
      <c r="E2116" s="1" t="s">
        <v>144</v>
      </c>
      <c r="F2116" s="1" t="s">
        <v>142</v>
      </c>
      <c r="G2116" s="1"/>
    </row>
    <row r="2117">
      <c r="A2117" s="1" t="s">
        <v>6517</v>
      </c>
      <c r="B2117" s="1" t="s">
        <v>142</v>
      </c>
      <c r="C2117" s="1" t="s">
        <v>142</v>
      </c>
      <c r="D2117" s="1" t="s">
        <v>6518</v>
      </c>
      <c r="E2117" s="1" t="s">
        <v>144</v>
      </c>
      <c r="F2117" s="1" t="s">
        <v>142</v>
      </c>
      <c r="G2117" s="1"/>
    </row>
    <row r="2118">
      <c r="A2118" s="1" t="s">
        <v>6519</v>
      </c>
      <c r="B2118" s="1" t="s">
        <v>142</v>
      </c>
      <c r="C2118" s="1" t="s">
        <v>142</v>
      </c>
      <c r="D2118" s="1" t="s">
        <v>6520</v>
      </c>
      <c r="E2118" s="1" t="s">
        <v>144</v>
      </c>
      <c r="F2118" s="1" t="s">
        <v>142</v>
      </c>
      <c r="G2118" s="1"/>
    </row>
    <row r="2119">
      <c r="A2119" s="1" t="s">
        <v>6521</v>
      </c>
      <c r="B2119" s="1" t="s">
        <v>142</v>
      </c>
      <c r="C2119" s="1" t="s">
        <v>142</v>
      </c>
      <c r="D2119" s="1" t="s">
        <v>6522</v>
      </c>
      <c r="E2119" s="1" t="s">
        <v>144</v>
      </c>
      <c r="F2119" s="1" t="s">
        <v>142</v>
      </c>
      <c r="G2119" s="1"/>
    </row>
    <row r="2120">
      <c r="A2120" s="1" t="s">
        <v>6523</v>
      </c>
      <c r="B2120" s="1" t="s">
        <v>142</v>
      </c>
      <c r="C2120" s="1" t="s">
        <v>142</v>
      </c>
      <c r="D2120" s="1" t="s">
        <v>6524</v>
      </c>
      <c r="E2120" s="1" t="s">
        <v>144</v>
      </c>
      <c r="F2120" s="1" t="s">
        <v>142</v>
      </c>
      <c r="G2120" s="1"/>
    </row>
    <row r="2121">
      <c r="A2121" s="1" t="s">
        <v>6525</v>
      </c>
      <c r="B2121" s="1" t="s">
        <v>142</v>
      </c>
      <c r="C2121" s="1" t="s">
        <v>142</v>
      </c>
      <c r="D2121" s="1" t="s">
        <v>6526</v>
      </c>
      <c r="E2121" s="1" t="s">
        <v>144</v>
      </c>
      <c r="F2121" s="1" t="s">
        <v>142</v>
      </c>
      <c r="G2121" s="1"/>
    </row>
    <row r="2122">
      <c r="A2122" s="1" t="s">
        <v>6527</v>
      </c>
      <c r="B2122" s="1" t="s">
        <v>142</v>
      </c>
      <c r="C2122" s="1" t="s">
        <v>142</v>
      </c>
      <c r="D2122" s="1" t="s">
        <v>6528</v>
      </c>
      <c r="E2122" s="1" t="s">
        <v>144</v>
      </c>
      <c r="F2122" s="1" t="s">
        <v>142</v>
      </c>
      <c r="G2122" s="1"/>
    </row>
    <row r="2123">
      <c r="A2123" s="1" t="s">
        <v>6529</v>
      </c>
      <c r="B2123" s="1" t="s">
        <v>6530</v>
      </c>
      <c r="C2123" s="1" t="s">
        <v>6531</v>
      </c>
      <c r="D2123" s="1" t="s">
        <v>6532</v>
      </c>
      <c r="E2123" s="1" t="s">
        <v>144</v>
      </c>
      <c r="F2123" s="1" t="s">
        <v>142</v>
      </c>
      <c r="G2123" s="1"/>
    </row>
    <row r="2124">
      <c r="A2124" s="1" t="s">
        <v>6533</v>
      </c>
      <c r="B2124" s="1" t="s">
        <v>142</v>
      </c>
      <c r="C2124" s="1" t="s">
        <v>142</v>
      </c>
      <c r="D2124" s="1" t="s">
        <v>6534</v>
      </c>
      <c r="E2124" s="1" t="s">
        <v>144</v>
      </c>
      <c r="F2124" s="1" t="s">
        <v>142</v>
      </c>
      <c r="G2124" s="1"/>
    </row>
    <row r="2125">
      <c r="A2125" s="1" t="s">
        <v>6535</v>
      </c>
      <c r="B2125" s="1" t="s">
        <v>142</v>
      </c>
      <c r="C2125" s="1" t="s">
        <v>142</v>
      </c>
      <c r="D2125" s="1" t="s">
        <v>6536</v>
      </c>
      <c r="E2125" s="1" t="s">
        <v>144</v>
      </c>
      <c r="F2125" s="1" t="s">
        <v>142</v>
      </c>
      <c r="G2125" s="1"/>
    </row>
    <row r="2126">
      <c r="A2126" s="1" t="s">
        <v>6537</v>
      </c>
      <c r="B2126" s="1" t="s">
        <v>6538</v>
      </c>
      <c r="C2126" s="1" t="s">
        <v>6539</v>
      </c>
      <c r="D2126" s="1" t="s">
        <v>6540</v>
      </c>
      <c r="E2126" s="1" t="s">
        <v>144</v>
      </c>
      <c r="F2126" s="1" t="s">
        <v>142</v>
      </c>
      <c r="G2126" s="1"/>
    </row>
    <row r="2127">
      <c r="A2127" s="1" t="s">
        <v>6541</v>
      </c>
      <c r="B2127" s="1" t="s">
        <v>6542</v>
      </c>
      <c r="C2127" s="1" t="s">
        <v>6543</v>
      </c>
      <c r="D2127" s="1" t="s">
        <v>6544</v>
      </c>
      <c r="E2127" s="1" t="s">
        <v>144</v>
      </c>
      <c r="F2127" s="1" t="s">
        <v>142</v>
      </c>
      <c r="G2127" s="1"/>
    </row>
    <row r="2128">
      <c r="A2128" s="1" t="s">
        <v>6545</v>
      </c>
      <c r="B2128" s="1" t="s">
        <v>142</v>
      </c>
      <c r="C2128" s="1" t="s">
        <v>142</v>
      </c>
      <c r="D2128" s="1" t="s">
        <v>6546</v>
      </c>
      <c r="E2128" s="1" t="s">
        <v>144</v>
      </c>
      <c r="F2128" s="1" t="s">
        <v>142</v>
      </c>
      <c r="G2128" s="1"/>
    </row>
    <row r="2129">
      <c r="A2129" s="1" t="s">
        <v>6547</v>
      </c>
      <c r="B2129" s="1" t="s">
        <v>142</v>
      </c>
      <c r="C2129" s="1" t="s">
        <v>142</v>
      </c>
      <c r="D2129" s="1" t="s">
        <v>6548</v>
      </c>
      <c r="E2129" s="1" t="s">
        <v>144</v>
      </c>
      <c r="F2129" s="1" t="s">
        <v>142</v>
      </c>
      <c r="G2129" s="1"/>
    </row>
    <row r="2130">
      <c r="A2130" s="1" t="s">
        <v>6549</v>
      </c>
      <c r="B2130" s="1" t="s">
        <v>142</v>
      </c>
      <c r="C2130" s="1" t="s">
        <v>142</v>
      </c>
      <c r="D2130" s="1" t="s">
        <v>6550</v>
      </c>
      <c r="E2130" s="1" t="s">
        <v>144</v>
      </c>
      <c r="F2130" s="1" t="s">
        <v>142</v>
      </c>
      <c r="G2130" s="1"/>
    </row>
    <row r="2131">
      <c r="A2131" s="1" t="s">
        <v>6551</v>
      </c>
      <c r="B2131" s="1" t="s">
        <v>142</v>
      </c>
      <c r="C2131" s="1" t="s">
        <v>142</v>
      </c>
      <c r="D2131" s="1" t="s">
        <v>6552</v>
      </c>
      <c r="E2131" s="1" t="s">
        <v>144</v>
      </c>
      <c r="F2131" s="1" t="s">
        <v>142</v>
      </c>
      <c r="G2131" s="1"/>
    </row>
    <row r="2132">
      <c r="A2132" s="1" t="s">
        <v>6553</v>
      </c>
      <c r="B2132" s="1" t="s">
        <v>6554</v>
      </c>
      <c r="C2132" s="1" t="s">
        <v>6555</v>
      </c>
      <c r="D2132" s="1" t="s">
        <v>4074</v>
      </c>
      <c r="E2132" s="1" t="s">
        <v>144</v>
      </c>
      <c r="F2132" s="1" t="s">
        <v>142</v>
      </c>
      <c r="G2132" s="1"/>
    </row>
    <row r="2133">
      <c r="A2133" s="1" t="s">
        <v>6553</v>
      </c>
      <c r="B2133" s="1" t="s">
        <v>6554</v>
      </c>
      <c r="C2133" s="1" t="s">
        <v>6555</v>
      </c>
      <c r="D2133" s="1" t="s">
        <v>4074</v>
      </c>
      <c r="E2133" s="1" t="s">
        <v>144</v>
      </c>
      <c r="F2133" s="1" t="s">
        <v>142</v>
      </c>
      <c r="G2133" s="1"/>
    </row>
    <row r="2134">
      <c r="A2134" s="1" t="s">
        <v>4072</v>
      </c>
      <c r="B2134" s="1" t="s">
        <v>6558</v>
      </c>
      <c r="C2134" s="1" t="s">
        <v>6559</v>
      </c>
      <c r="D2134" s="1" t="s">
        <v>4074</v>
      </c>
      <c r="E2134" s="1" t="s">
        <v>144</v>
      </c>
      <c r="F2134" s="1" t="s">
        <v>142</v>
      </c>
      <c r="G2134" s="1"/>
    </row>
    <row r="2135">
      <c r="A2135" s="1" t="s">
        <v>6560</v>
      </c>
      <c r="B2135" s="1" t="s">
        <v>142</v>
      </c>
      <c r="C2135" s="1" t="s">
        <v>142</v>
      </c>
      <c r="D2135" s="1" t="s">
        <v>6561</v>
      </c>
      <c r="E2135" s="1" t="s">
        <v>144</v>
      </c>
      <c r="F2135" s="1" t="s">
        <v>142</v>
      </c>
      <c r="G2135" s="1"/>
    </row>
    <row r="2136">
      <c r="A2136" s="1" t="s">
        <v>6563</v>
      </c>
      <c r="B2136" s="1" t="s">
        <v>142</v>
      </c>
      <c r="C2136" s="1" t="s">
        <v>142</v>
      </c>
      <c r="D2136" s="1" t="s">
        <v>6564</v>
      </c>
      <c r="E2136" s="1" t="s">
        <v>144</v>
      </c>
      <c r="F2136" s="1" t="s">
        <v>142</v>
      </c>
      <c r="G2136" s="1"/>
    </row>
    <row r="2137">
      <c r="A2137" s="1" t="s">
        <v>6565</v>
      </c>
      <c r="B2137" s="1" t="s">
        <v>142</v>
      </c>
      <c r="C2137" s="1" t="s">
        <v>142</v>
      </c>
      <c r="D2137" s="1" t="s">
        <v>6567</v>
      </c>
      <c r="E2137" s="1" t="s">
        <v>144</v>
      </c>
      <c r="F2137" s="1" t="s">
        <v>142</v>
      </c>
      <c r="G2137" s="1"/>
    </row>
    <row r="2138">
      <c r="A2138" s="1" t="s">
        <v>6568</v>
      </c>
      <c r="B2138" s="1" t="s">
        <v>142</v>
      </c>
      <c r="C2138" s="1" t="s">
        <v>142</v>
      </c>
      <c r="D2138" s="1" t="s">
        <v>6569</v>
      </c>
      <c r="E2138" s="1" t="s">
        <v>144</v>
      </c>
      <c r="F2138" s="1" t="s">
        <v>142</v>
      </c>
      <c r="G2138" s="1"/>
    </row>
    <row r="2139">
      <c r="A2139" s="1" t="s">
        <v>6570</v>
      </c>
      <c r="B2139" s="1" t="s">
        <v>142</v>
      </c>
      <c r="C2139" s="1" t="s">
        <v>142</v>
      </c>
      <c r="D2139" s="1" t="s">
        <v>6571</v>
      </c>
      <c r="E2139" s="1" t="s">
        <v>144</v>
      </c>
      <c r="F2139" s="1" t="s">
        <v>142</v>
      </c>
      <c r="G2139" s="1"/>
    </row>
    <row r="2140">
      <c r="A2140" s="1" t="s">
        <v>6573</v>
      </c>
      <c r="B2140" s="1" t="s">
        <v>142</v>
      </c>
      <c r="C2140" s="1" t="s">
        <v>142</v>
      </c>
      <c r="D2140" s="1" t="s">
        <v>6574</v>
      </c>
      <c r="E2140" s="1" t="s">
        <v>144</v>
      </c>
      <c r="F2140" s="1" t="s">
        <v>142</v>
      </c>
      <c r="G2140" s="1"/>
    </row>
    <row r="2141">
      <c r="A2141" s="1" t="s">
        <v>6575</v>
      </c>
      <c r="B2141" s="1" t="s">
        <v>142</v>
      </c>
      <c r="C2141" s="1" t="s">
        <v>142</v>
      </c>
      <c r="D2141" s="1" t="s">
        <v>6576</v>
      </c>
      <c r="E2141" s="1" t="s">
        <v>144</v>
      </c>
      <c r="F2141" s="1" t="s">
        <v>142</v>
      </c>
      <c r="G2141" s="1"/>
    </row>
    <row r="2142">
      <c r="A2142" s="1" t="s">
        <v>6577</v>
      </c>
      <c r="B2142" s="1" t="s">
        <v>6579</v>
      </c>
      <c r="C2142" s="1" t="s">
        <v>6580</v>
      </c>
      <c r="D2142" s="1" t="s">
        <v>6581</v>
      </c>
      <c r="E2142" s="1" t="s">
        <v>144</v>
      </c>
      <c r="F2142" s="1" t="s">
        <v>142</v>
      </c>
      <c r="G2142" s="1"/>
    </row>
    <row r="2143">
      <c r="A2143" s="1" t="s">
        <v>6582</v>
      </c>
      <c r="B2143" s="1" t="s">
        <v>142</v>
      </c>
      <c r="C2143" s="1" t="s">
        <v>142</v>
      </c>
      <c r="D2143" s="1" t="s">
        <v>6583</v>
      </c>
      <c r="E2143" s="1" t="s">
        <v>144</v>
      </c>
      <c r="F2143" s="1" t="s">
        <v>142</v>
      </c>
      <c r="G2143" s="1"/>
    </row>
    <row r="2144">
      <c r="A2144" s="1" t="s">
        <v>6585</v>
      </c>
      <c r="B2144" s="1" t="s">
        <v>142</v>
      </c>
      <c r="C2144" s="1" t="s">
        <v>142</v>
      </c>
      <c r="D2144" s="1" t="s">
        <v>6586</v>
      </c>
      <c r="E2144" s="1" t="s">
        <v>144</v>
      </c>
      <c r="F2144" s="1" t="s">
        <v>142</v>
      </c>
      <c r="G2144" s="1"/>
    </row>
    <row r="2145">
      <c r="A2145" s="1" t="s">
        <v>6587</v>
      </c>
      <c r="B2145" s="1" t="s">
        <v>142</v>
      </c>
      <c r="C2145" s="1" t="s">
        <v>142</v>
      </c>
      <c r="D2145" s="1" t="s">
        <v>6588</v>
      </c>
      <c r="E2145" s="1" t="s">
        <v>144</v>
      </c>
      <c r="F2145" s="1" t="s">
        <v>142</v>
      </c>
      <c r="G2145" s="1"/>
    </row>
    <row r="2146">
      <c r="A2146" s="1" t="s">
        <v>6589</v>
      </c>
      <c r="B2146" s="1" t="s">
        <v>142</v>
      </c>
      <c r="C2146" s="1" t="s">
        <v>142</v>
      </c>
      <c r="D2146" s="1" t="s">
        <v>6590</v>
      </c>
      <c r="E2146" s="1" t="s">
        <v>144</v>
      </c>
      <c r="F2146" s="1" t="s">
        <v>142</v>
      </c>
      <c r="G2146" s="1"/>
    </row>
    <row r="2147">
      <c r="A2147" s="1" t="s">
        <v>6591</v>
      </c>
      <c r="B2147" s="1" t="s">
        <v>6592</v>
      </c>
      <c r="C2147" s="1" t="s">
        <v>6593</v>
      </c>
      <c r="D2147" s="1" t="s">
        <v>6594</v>
      </c>
      <c r="E2147" s="1" t="s">
        <v>144</v>
      </c>
      <c r="F2147" s="1" t="s">
        <v>142</v>
      </c>
      <c r="G2147" s="1"/>
    </row>
    <row r="2148">
      <c r="A2148" s="1" t="s">
        <v>6595</v>
      </c>
      <c r="B2148" s="1" t="s">
        <v>142</v>
      </c>
      <c r="C2148" s="1" t="s">
        <v>142</v>
      </c>
      <c r="D2148" s="1" t="s">
        <v>6596</v>
      </c>
      <c r="E2148" s="1" t="s">
        <v>144</v>
      </c>
      <c r="F2148" s="1" t="s">
        <v>142</v>
      </c>
      <c r="G2148" s="1"/>
    </row>
    <row r="2149">
      <c r="A2149" s="1" t="s">
        <v>6597</v>
      </c>
      <c r="B2149" s="1" t="s">
        <v>142</v>
      </c>
      <c r="C2149" s="1" t="s">
        <v>142</v>
      </c>
      <c r="D2149" s="1" t="s">
        <v>6598</v>
      </c>
      <c r="E2149" s="1" t="s">
        <v>144</v>
      </c>
      <c r="F2149" s="1" t="s">
        <v>142</v>
      </c>
      <c r="G2149" s="1"/>
    </row>
    <row r="2150">
      <c r="A2150" s="1" t="s">
        <v>6599</v>
      </c>
      <c r="B2150" s="1" t="s">
        <v>142</v>
      </c>
      <c r="C2150" s="1" t="s">
        <v>142</v>
      </c>
      <c r="D2150" s="1" t="s">
        <v>6601</v>
      </c>
      <c r="E2150" s="1" t="s">
        <v>144</v>
      </c>
      <c r="F2150" s="1" t="s">
        <v>142</v>
      </c>
      <c r="G2150" s="1"/>
    </row>
    <row r="2151">
      <c r="A2151" s="1" t="s">
        <v>6602</v>
      </c>
      <c r="B2151" s="1" t="s">
        <v>142</v>
      </c>
      <c r="C2151" s="1" t="s">
        <v>142</v>
      </c>
      <c r="D2151" s="1" t="s">
        <v>6603</v>
      </c>
      <c r="E2151" s="1" t="s">
        <v>144</v>
      </c>
      <c r="F2151" s="1" t="s">
        <v>142</v>
      </c>
      <c r="G2151" s="1"/>
    </row>
    <row r="2152">
      <c r="A2152" s="1" t="s">
        <v>6606</v>
      </c>
      <c r="B2152" s="1" t="s">
        <v>142</v>
      </c>
      <c r="C2152" s="1" t="s">
        <v>142</v>
      </c>
      <c r="D2152" s="1" t="s">
        <v>6608</v>
      </c>
      <c r="E2152" s="1" t="s">
        <v>144</v>
      </c>
      <c r="F2152" s="1" t="s">
        <v>142</v>
      </c>
      <c r="G2152" s="1"/>
    </row>
    <row r="2153">
      <c r="A2153" s="1" t="s">
        <v>6609</v>
      </c>
      <c r="B2153" s="1" t="s">
        <v>142</v>
      </c>
      <c r="C2153" s="1" t="s">
        <v>142</v>
      </c>
      <c r="D2153" s="1" t="s">
        <v>6610</v>
      </c>
      <c r="E2153" s="1" t="s">
        <v>144</v>
      </c>
      <c r="F2153" s="1" t="s">
        <v>142</v>
      </c>
      <c r="G2153" s="1"/>
    </row>
    <row r="2154">
      <c r="A2154" s="1" t="s">
        <v>6611</v>
      </c>
      <c r="B2154" s="1" t="s">
        <v>142</v>
      </c>
      <c r="C2154" s="1" t="s">
        <v>142</v>
      </c>
      <c r="D2154" s="1" t="s">
        <v>6612</v>
      </c>
      <c r="E2154" s="1" t="s">
        <v>144</v>
      </c>
      <c r="F2154" s="1" t="s">
        <v>142</v>
      </c>
      <c r="G2154" s="1"/>
    </row>
    <row r="2155">
      <c r="A2155" s="1" t="s">
        <v>6613</v>
      </c>
      <c r="B2155" s="1" t="s">
        <v>142</v>
      </c>
      <c r="C2155" s="1" t="s">
        <v>142</v>
      </c>
      <c r="D2155" s="1" t="s">
        <v>6614</v>
      </c>
      <c r="E2155" s="1" t="s">
        <v>144</v>
      </c>
      <c r="F2155" s="1" t="s">
        <v>142</v>
      </c>
      <c r="G2155" s="1"/>
    </row>
    <row r="2156">
      <c r="A2156" s="1" t="s">
        <v>6616</v>
      </c>
      <c r="B2156" s="1" t="s">
        <v>142</v>
      </c>
      <c r="C2156" s="1" t="s">
        <v>142</v>
      </c>
      <c r="D2156" s="1" t="s">
        <v>6617</v>
      </c>
      <c r="E2156" s="1" t="s">
        <v>144</v>
      </c>
      <c r="F2156" s="1" t="s">
        <v>142</v>
      </c>
      <c r="G2156" s="1"/>
    </row>
    <row r="2157">
      <c r="A2157" s="1" t="s">
        <v>6618</v>
      </c>
      <c r="B2157" s="1" t="s">
        <v>142</v>
      </c>
      <c r="C2157" s="1" t="s">
        <v>142</v>
      </c>
      <c r="D2157" s="1" t="s">
        <v>6619</v>
      </c>
      <c r="E2157" s="1" t="s">
        <v>144</v>
      </c>
      <c r="F2157" s="1" t="s">
        <v>142</v>
      </c>
      <c r="G2157" s="1"/>
    </row>
    <row r="2158">
      <c r="A2158" s="1" t="s">
        <v>6620</v>
      </c>
      <c r="B2158" s="1" t="s">
        <v>142</v>
      </c>
      <c r="C2158" s="1" t="s">
        <v>142</v>
      </c>
      <c r="D2158" s="1" t="s">
        <v>6621</v>
      </c>
      <c r="E2158" s="1" t="s">
        <v>144</v>
      </c>
      <c r="F2158" s="1" t="s">
        <v>142</v>
      </c>
      <c r="G2158" s="1"/>
    </row>
    <row r="2159">
      <c r="A2159" s="1" t="s">
        <v>6622</v>
      </c>
      <c r="B2159" s="1" t="s">
        <v>142</v>
      </c>
      <c r="C2159" s="1" t="s">
        <v>142</v>
      </c>
      <c r="D2159" s="1" t="s">
        <v>6624</v>
      </c>
      <c r="E2159" s="1" t="s">
        <v>144</v>
      </c>
      <c r="F2159" s="1" t="s">
        <v>142</v>
      </c>
      <c r="G2159" s="1"/>
    </row>
    <row r="2160">
      <c r="A2160" s="1" t="s">
        <v>6625</v>
      </c>
      <c r="B2160" s="1" t="s">
        <v>142</v>
      </c>
      <c r="C2160" s="1" t="s">
        <v>142</v>
      </c>
      <c r="D2160" s="1" t="s">
        <v>6626</v>
      </c>
      <c r="E2160" s="1" t="s">
        <v>144</v>
      </c>
      <c r="F2160" s="1" t="s">
        <v>142</v>
      </c>
      <c r="G2160" s="1"/>
    </row>
    <row r="2161">
      <c r="A2161" s="1" t="s">
        <v>6627</v>
      </c>
      <c r="B2161" s="1" t="s">
        <v>142</v>
      </c>
      <c r="C2161" s="1" t="s">
        <v>142</v>
      </c>
      <c r="D2161" s="1" t="s">
        <v>6629</v>
      </c>
      <c r="E2161" s="1" t="s">
        <v>144</v>
      </c>
      <c r="F2161" s="1" t="s">
        <v>142</v>
      </c>
      <c r="G2161" s="1"/>
    </row>
    <row r="2162">
      <c r="A2162" s="1" t="s">
        <v>6630</v>
      </c>
      <c r="B2162" s="1" t="s">
        <v>142</v>
      </c>
      <c r="C2162" s="1" t="s">
        <v>142</v>
      </c>
      <c r="D2162" s="1" t="s">
        <v>6631</v>
      </c>
      <c r="E2162" s="1" t="s">
        <v>144</v>
      </c>
      <c r="F2162" s="1" t="s">
        <v>142</v>
      </c>
      <c r="G2162" s="1"/>
    </row>
    <row r="2163">
      <c r="A2163" s="1" t="s">
        <v>6632</v>
      </c>
      <c r="B2163" s="1" t="s">
        <v>142</v>
      </c>
      <c r="C2163" s="1" t="s">
        <v>142</v>
      </c>
      <c r="D2163" s="1" t="s">
        <v>6634</v>
      </c>
      <c r="E2163" s="1" t="s">
        <v>144</v>
      </c>
      <c r="F2163" s="1" t="s">
        <v>142</v>
      </c>
      <c r="G2163" s="1"/>
    </row>
    <row r="2164">
      <c r="A2164" s="1" t="s">
        <v>6635</v>
      </c>
      <c r="B2164" s="1" t="s">
        <v>142</v>
      </c>
      <c r="C2164" s="1" t="s">
        <v>142</v>
      </c>
      <c r="D2164" s="1" t="s">
        <v>6636</v>
      </c>
      <c r="E2164" s="1" t="s">
        <v>144</v>
      </c>
      <c r="F2164" s="1" t="s">
        <v>142</v>
      </c>
      <c r="G2164" s="1"/>
    </row>
    <row r="2165">
      <c r="A2165" s="1" t="s">
        <v>6637</v>
      </c>
      <c r="B2165" s="1" t="s">
        <v>142</v>
      </c>
      <c r="C2165" s="1" t="s">
        <v>142</v>
      </c>
      <c r="D2165" s="1" t="s">
        <v>6638</v>
      </c>
      <c r="E2165" s="1" t="s">
        <v>144</v>
      </c>
      <c r="F2165" s="1" t="s">
        <v>142</v>
      </c>
      <c r="G2165" s="1"/>
    </row>
    <row r="2166">
      <c r="A2166" s="1" t="s">
        <v>6639</v>
      </c>
      <c r="B2166" s="1" t="s">
        <v>142</v>
      </c>
      <c r="C2166" s="1" t="s">
        <v>142</v>
      </c>
      <c r="D2166" s="1" t="s">
        <v>6640</v>
      </c>
      <c r="E2166" s="1" t="s">
        <v>144</v>
      </c>
      <c r="F2166" s="1" t="s">
        <v>142</v>
      </c>
      <c r="G2166" s="1"/>
    </row>
    <row r="2167">
      <c r="A2167" s="1" t="s">
        <v>6641</v>
      </c>
      <c r="B2167" s="1" t="s">
        <v>142</v>
      </c>
      <c r="C2167" s="1" t="s">
        <v>142</v>
      </c>
      <c r="D2167" s="1" t="s">
        <v>6642</v>
      </c>
      <c r="E2167" s="1" t="s">
        <v>144</v>
      </c>
      <c r="F2167" s="1" t="s">
        <v>142</v>
      </c>
      <c r="G2167" s="1"/>
    </row>
    <row r="2168">
      <c r="A2168" s="1" t="s">
        <v>6643</v>
      </c>
      <c r="B2168" s="1" t="s">
        <v>142</v>
      </c>
      <c r="C2168" s="1" t="s">
        <v>142</v>
      </c>
      <c r="D2168" s="1" t="s">
        <v>6644</v>
      </c>
      <c r="E2168" s="1" t="s">
        <v>144</v>
      </c>
      <c r="F2168" s="1" t="s">
        <v>142</v>
      </c>
      <c r="G2168" s="1"/>
    </row>
    <row r="2169">
      <c r="A2169" s="1" t="s">
        <v>6646</v>
      </c>
      <c r="B2169" s="1" t="s">
        <v>142</v>
      </c>
      <c r="C2169" s="1" t="s">
        <v>142</v>
      </c>
      <c r="D2169" s="1" t="s">
        <v>6647</v>
      </c>
      <c r="E2169" s="1" t="s">
        <v>144</v>
      </c>
      <c r="F2169" s="1" t="s">
        <v>142</v>
      </c>
      <c r="G2169" s="1"/>
    </row>
    <row r="2170">
      <c r="A2170" s="1" t="s">
        <v>6648</v>
      </c>
      <c r="B2170" s="1" t="s">
        <v>142</v>
      </c>
      <c r="C2170" s="1" t="s">
        <v>142</v>
      </c>
      <c r="D2170" s="1" t="s">
        <v>6650</v>
      </c>
      <c r="E2170" s="1" t="s">
        <v>144</v>
      </c>
      <c r="F2170" s="1" t="s">
        <v>142</v>
      </c>
      <c r="G2170" s="1"/>
    </row>
    <row r="2171">
      <c r="A2171" s="1" t="s">
        <v>6653</v>
      </c>
      <c r="B2171" s="1" t="s">
        <v>142</v>
      </c>
      <c r="C2171" s="1" t="s">
        <v>142</v>
      </c>
      <c r="D2171" s="1" t="s">
        <v>6654</v>
      </c>
      <c r="E2171" s="1" t="s">
        <v>144</v>
      </c>
      <c r="F2171" s="1" t="s">
        <v>142</v>
      </c>
      <c r="G2171" s="1"/>
    </row>
    <row r="2172">
      <c r="A2172" s="1" t="s">
        <v>6655</v>
      </c>
      <c r="B2172" s="1" t="s">
        <v>142</v>
      </c>
      <c r="C2172" s="1" t="s">
        <v>142</v>
      </c>
      <c r="D2172" s="1" t="s">
        <v>6656</v>
      </c>
      <c r="E2172" s="1" t="s">
        <v>144</v>
      </c>
      <c r="F2172" s="1" t="s">
        <v>142</v>
      </c>
      <c r="G2172" s="1"/>
    </row>
    <row r="2173">
      <c r="A2173" s="1" t="s">
        <v>6658</v>
      </c>
      <c r="B2173" s="1" t="s">
        <v>142</v>
      </c>
      <c r="C2173" s="1" t="s">
        <v>142</v>
      </c>
      <c r="D2173" s="1" t="s">
        <v>6659</v>
      </c>
      <c r="E2173" s="1" t="s">
        <v>144</v>
      </c>
      <c r="F2173" s="1" t="s">
        <v>142</v>
      </c>
      <c r="G2173" s="1"/>
    </row>
    <row r="2174">
      <c r="A2174" s="1" t="s">
        <v>6669</v>
      </c>
      <c r="B2174" s="1" t="s">
        <v>142</v>
      </c>
      <c r="C2174" s="1" t="s">
        <v>142</v>
      </c>
      <c r="D2174" s="1" t="s">
        <v>6670</v>
      </c>
      <c r="E2174" s="1" t="s">
        <v>144</v>
      </c>
      <c r="F2174" s="1" t="s">
        <v>142</v>
      </c>
      <c r="G2174" s="1"/>
    </row>
    <row r="2175">
      <c r="A2175" s="1" t="s">
        <v>6671</v>
      </c>
      <c r="B2175" s="1" t="s">
        <v>142</v>
      </c>
      <c r="C2175" s="1" t="s">
        <v>142</v>
      </c>
      <c r="D2175" s="1" t="s">
        <v>6672</v>
      </c>
      <c r="E2175" s="1" t="s">
        <v>144</v>
      </c>
      <c r="F2175" s="1" t="s">
        <v>142</v>
      </c>
      <c r="G2175" s="1"/>
    </row>
    <row r="2176">
      <c r="A2176" s="1" t="s">
        <v>6673</v>
      </c>
      <c r="B2176" s="1" t="s">
        <v>142</v>
      </c>
      <c r="C2176" s="1" t="s">
        <v>142</v>
      </c>
      <c r="D2176" s="1" t="s">
        <v>6674</v>
      </c>
      <c r="E2176" s="1" t="s">
        <v>144</v>
      </c>
      <c r="F2176" s="1" t="s">
        <v>142</v>
      </c>
      <c r="G2176" s="1"/>
    </row>
    <row r="2177">
      <c r="A2177" s="1" t="s">
        <v>6675</v>
      </c>
      <c r="B2177" s="1" t="s">
        <v>142</v>
      </c>
      <c r="C2177" s="1" t="s">
        <v>142</v>
      </c>
      <c r="D2177" s="1" t="s">
        <v>6676</v>
      </c>
      <c r="E2177" s="1" t="s">
        <v>144</v>
      </c>
      <c r="F2177" s="1" t="s">
        <v>142</v>
      </c>
      <c r="G2177" s="1"/>
    </row>
    <row r="2178">
      <c r="A2178" s="1" t="s">
        <v>6677</v>
      </c>
      <c r="B2178" s="1" t="s">
        <v>142</v>
      </c>
      <c r="C2178" s="1" t="s">
        <v>142</v>
      </c>
      <c r="D2178" s="1" t="s">
        <v>6678</v>
      </c>
      <c r="E2178" s="1" t="s">
        <v>144</v>
      </c>
      <c r="F2178" s="1" t="s">
        <v>142</v>
      </c>
      <c r="G2178" s="1"/>
    </row>
    <row r="2179">
      <c r="A2179" s="1" t="s">
        <v>6679</v>
      </c>
      <c r="B2179" s="1" t="s">
        <v>142</v>
      </c>
      <c r="C2179" s="1" t="s">
        <v>142</v>
      </c>
      <c r="D2179" s="1" t="s">
        <v>6680</v>
      </c>
      <c r="E2179" s="1" t="s">
        <v>144</v>
      </c>
      <c r="F2179" s="1" t="s">
        <v>142</v>
      </c>
      <c r="G2179" s="1"/>
    </row>
    <row r="2180">
      <c r="A2180" s="1" t="s">
        <v>6681</v>
      </c>
      <c r="B2180" s="1" t="s">
        <v>142</v>
      </c>
      <c r="C2180" s="1" t="s">
        <v>142</v>
      </c>
      <c r="D2180" s="1" t="s">
        <v>6682</v>
      </c>
      <c r="E2180" s="1" t="s">
        <v>144</v>
      </c>
      <c r="F2180" s="1" t="s">
        <v>142</v>
      </c>
      <c r="G2180" s="1"/>
    </row>
    <row r="2181">
      <c r="A2181" s="1" t="s">
        <v>6683</v>
      </c>
      <c r="B2181" s="1" t="s">
        <v>142</v>
      </c>
      <c r="C2181" s="1" t="s">
        <v>142</v>
      </c>
      <c r="D2181" s="1" t="s">
        <v>6684</v>
      </c>
      <c r="E2181" s="1" t="s">
        <v>144</v>
      </c>
      <c r="F2181" s="1" t="s">
        <v>142</v>
      </c>
      <c r="G2181" s="1"/>
    </row>
    <row r="2182">
      <c r="A2182" s="1" t="s">
        <v>6685</v>
      </c>
      <c r="B2182" s="1" t="s">
        <v>142</v>
      </c>
      <c r="C2182" s="1" t="s">
        <v>142</v>
      </c>
      <c r="D2182" s="1" t="s">
        <v>6686</v>
      </c>
      <c r="E2182" s="1" t="s">
        <v>144</v>
      </c>
      <c r="F2182" s="1" t="s">
        <v>142</v>
      </c>
      <c r="G2182" s="1"/>
    </row>
    <row r="2183">
      <c r="A2183" s="1" t="s">
        <v>6687</v>
      </c>
      <c r="B2183" s="1" t="s">
        <v>142</v>
      </c>
      <c r="C2183" s="1" t="s">
        <v>142</v>
      </c>
      <c r="D2183" s="1" t="s">
        <v>6688</v>
      </c>
      <c r="E2183" s="1" t="s">
        <v>144</v>
      </c>
      <c r="F2183" s="1" t="s">
        <v>142</v>
      </c>
      <c r="G2183" s="1"/>
    </row>
    <row r="2184">
      <c r="A2184" s="1" t="s">
        <v>6689</v>
      </c>
      <c r="B2184" s="1" t="s">
        <v>142</v>
      </c>
      <c r="C2184" s="1" t="s">
        <v>142</v>
      </c>
      <c r="D2184" s="1" t="s">
        <v>6690</v>
      </c>
      <c r="E2184" s="1" t="s">
        <v>144</v>
      </c>
      <c r="F2184" s="1" t="s">
        <v>142</v>
      </c>
      <c r="G2184" s="1"/>
    </row>
    <row r="2185">
      <c r="A2185" s="1" t="s">
        <v>6691</v>
      </c>
      <c r="B2185" s="1" t="s">
        <v>142</v>
      </c>
      <c r="C2185" s="1" t="s">
        <v>142</v>
      </c>
      <c r="D2185" s="1" t="s">
        <v>6692</v>
      </c>
      <c r="E2185" s="1" t="s">
        <v>144</v>
      </c>
      <c r="F2185" s="1" t="s">
        <v>142</v>
      </c>
      <c r="G2185" s="1"/>
    </row>
    <row r="2186">
      <c r="A2186" s="1" t="s">
        <v>6693</v>
      </c>
      <c r="B2186" s="1" t="s">
        <v>142</v>
      </c>
      <c r="C2186" s="1" t="s">
        <v>142</v>
      </c>
      <c r="D2186" s="1" t="s">
        <v>6694</v>
      </c>
      <c r="E2186" s="1" t="s">
        <v>144</v>
      </c>
      <c r="F2186" s="1" t="s">
        <v>142</v>
      </c>
      <c r="G2186" s="1"/>
    </row>
    <row r="2187">
      <c r="A2187" s="1" t="s">
        <v>6695</v>
      </c>
      <c r="B2187" s="1" t="s">
        <v>142</v>
      </c>
      <c r="C2187" s="1" t="s">
        <v>142</v>
      </c>
      <c r="D2187" s="1" t="s">
        <v>6696</v>
      </c>
      <c r="E2187" s="1" t="s">
        <v>144</v>
      </c>
      <c r="F2187" s="1" t="s">
        <v>142</v>
      </c>
      <c r="G2187" s="1"/>
    </row>
    <row r="2188">
      <c r="A2188" s="1" t="s">
        <v>6697</v>
      </c>
      <c r="B2188" s="1" t="s">
        <v>6698</v>
      </c>
      <c r="C2188" s="1" t="s">
        <v>6699</v>
      </c>
      <c r="D2188" s="1" t="s">
        <v>6700</v>
      </c>
      <c r="E2188" s="1" t="s">
        <v>144</v>
      </c>
      <c r="F2188" s="1" t="s">
        <v>142</v>
      </c>
      <c r="G2188" s="1"/>
    </row>
    <row r="2189">
      <c r="A2189" s="1" t="s">
        <v>6701</v>
      </c>
      <c r="B2189" s="1" t="s">
        <v>142</v>
      </c>
      <c r="C2189" s="1" t="s">
        <v>142</v>
      </c>
      <c r="D2189" s="1" t="s">
        <v>6702</v>
      </c>
      <c r="E2189" s="1" t="s">
        <v>144</v>
      </c>
      <c r="F2189" s="1" t="s">
        <v>142</v>
      </c>
      <c r="G2189" s="1"/>
    </row>
    <row r="2190">
      <c r="A2190" s="1" t="s">
        <v>6703</v>
      </c>
      <c r="B2190" s="1" t="s">
        <v>142</v>
      </c>
      <c r="C2190" s="1" t="s">
        <v>142</v>
      </c>
      <c r="D2190" s="1" t="s">
        <v>6704</v>
      </c>
      <c r="E2190" s="1" t="s">
        <v>144</v>
      </c>
      <c r="F2190" s="1" t="s">
        <v>142</v>
      </c>
      <c r="G2190" s="1"/>
    </row>
    <row r="2191">
      <c r="A2191" s="1" t="s">
        <v>6705</v>
      </c>
      <c r="B2191" s="1" t="s">
        <v>142</v>
      </c>
      <c r="C2191" s="1" t="s">
        <v>142</v>
      </c>
      <c r="D2191" s="1" t="s">
        <v>6706</v>
      </c>
      <c r="E2191" s="1" t="s">
        <v>144</v>
      </c>
      <c r="F2191" s="1" t="s">
        <v>142</v>
      </c>
      <c r="G2191" s="1"/>
    </row>
    <row r="2192">
      <c r="A2192" s="1" t="s">
        <v>6707</v>
      </c>
      <c r="B2192" s="1" t="s">
        <v>142</v>
      </c>
      <c r="C2192" s="1" t="s">
        <v>142</v>
      </c>
      <c r="D2192" s="1" t="s">
        <v>6708</v>
      </c>
      <c r="E2192" s="1" t="s">
        <v>144</v>
      </c>
      <c r="F2192" s="1" t="s">
        <v>142</v>
      </c>
      <c r="G2192" s="1"/>
    </row>
    <row r="2193">
      <c r="A2193" s="1" t="s">
        <v>6709</v>
      </c>
      <c r="B2193" s="1" t="s">
        <v>142</v>
      </c>
      <c r="C2193" s="1" t="s">
        <v>142</v>
      </c>
      <c r="D2193" s="1" t="s">
        <v>6710</v>
      </c>
      <c r="E2193" s="1" t="s">
        <v>144</v>
      </c>
      <c r="F2193" s="1" t="s">
        <v>142</v>
      </c>
      <c r="G2193" s="1"/>
    </row>
    <row r="2194">
      <c r="A2194" s="1" t="s">
        <v>6711</v>
      </c>
      <c r="B2194" s="1" t="s">
        <v>142</v>
      </c>
      <c r="C2194" s="1" t="s">
        <v>142</v>
      </c>
      <c r="D2194" s="1" t="s">
        <v>6712</v>
      </c>
      <c r="E2194" s="1" t="s">
        <v>144</v>
      </c>
      <c r="F2194" s="1" t="s">
        <v>142</v>
      </c>
      <c r="G2194" s="1"/>
    </row>
    <row r="2195">
      <c r="A2195" s="1" t="s">
        <v>6713</v>
      </c>
      <c r="B2195" s="1" t="s">
        <v>142</v>
      </c>
      <c r="C2195" s="1" t="s">
        <v>142</v>
      </c>
      <c r="D2195" s="1" t="s">
        <v>6714</v>
      </c>
      <c r="E2195" s="1" t="s">
        <v>144</v>
      </c>
      <c r="F2195" s="1" t="s">
        <v>142</v>
      </c>
      <c r="G2195" s="1"/>
    </row>
    <row r="2196">
      <c r="A2196" s="1" t="s">
        <v>6715</v>
      </c>
      <c r="B2196" s="1" t="s">
        <v>142</v>
      </c>
      <c r="C2196" s="1" t="s">
        <v>142</v>
      </c>
      <c r="D2196" s="1" t="s">
        <v>6716</v>
      </c>
      <c r="E2196" s="1" t="s">
        <v>144</v>
      </c>
      <c r="F2196" s="1" t="s">
        <v>142</v>
      </c>
      <c r="G2196" s="1"/>
    </row>
    <row r="2197">
      <c r="A2197" s="1" t="s">
        <v>6717</v>
      </c>
      <c r="B2197" s="1" t="s">
        <v>142</v>
      </c>
      <c r="C2197" s="1" t="s">
        <v>142</v>
      </c>
      <c r="D2197" s="1" t="s">
        <v>6718</v>
      </c>
      <c r="E2197" s="1" t="s">
        <v>144</v>
      </c>
      <c r="F2197" s="1" t="s">
        <v>142</v>
      </c>
      <c r="G2197" s="1"/>
    </row>
    <row r="2198">
      <c r="A2198" s="1" t="s">
        <v>6719</v>
      </c>
      <c r="B2198" s="1" t="s">
        <v>142</v>
      </c>
      <c r="C2198" s="1" t="s">
        <v>142</v>
      </c>
      <c r="D2198" s="1" t="s">
        <v>6720</v>
      </c>
      <c r="E2198" s="1" t="s">
        <v>144</v>
      </c>
      <c r="F2198" s="1" t="s">
        <v>142</v>
      </c>
      <c r="G2198" s="1"/>
    </row>
    <row r="2199">
      <c r="A2199" s="1" t="s">
        <v>6721</v>
      </c>
      <c r="B2199" s="1" t="s">
        <v>142</v>
      </c>
      <c r="C2199" s="1" t="s">
        <v>142</v>
      </c>
      <c r="D2199" s="1" t="s">
        <v>6723</v>
      </c>
      <c r="E2199" s="1" t="s">
        <v>144</v>
      </c>
      <c r="F2199" s="1" t="s">
        <v>142</v>
      </c>
      <c r="G2199" s="1"/>
    </row>
    <row r="2200">
      <c r="A2200" s="1" t="s">
        <v>6724</v>
      </c>
      <c r="B2200" s="1" t="s">
        <v>142</v>
      </c>
      <c r="C2200" s="1" t="s">
        <v>142</v>
      </c>
      <c r="D2200" s="1" t="s">
        <v>6725</v>
      </c>
      <c r="E2200" s="1" t="s">
        <v>144</v>
      </c>
      <c r="F2200" s="1" t="s">
        <v>142</v>
      </c>
      <c r="G2200" s="1"/>
    </row>
    <row r="2201">
      <c r="A2201" s="1" t="s">
        <v>6726</v>
      </c>
      <c r="B2201" s="1" t="s">
        <v>142</v>
      </c>
      <c r="C2201" s="1" t="s">
        <v>142</v>
      </c>
      <c r="D2201" s="1" t="s">
        <v>6728</v>
      </c>
      <c r="E2201" s="1" t="s">
        <v>144</v>
      </c>
      <c r="F2201" s="1" t="s">
        <v>142</v>
      </c>
      <c r="G2201" s="1"/>
    </row>
    <row r="2202">
      <c r="A2202" s="1" t="s">
        <v>6730</v>
      </c>
      <c r="B2202" s="1" t="s">
        <v>142</v>
      </c>
      <c r="C2202" s="1" t="s">
        <v>142</v>
      </c>
      <c r="D2202" s="1" t="s">
        <v>6731</v>
      </c>
      <c r="E2202" s="1" t="s">
        <v>144</v>
      </c>
      <c r="F2202" s="1" t="s">
        <v>142</v>
      </c>
      <c r="G2202" s="1"/>
    </row>
    <row r="2203">
      <c r="A2203" s="1" t="s">
        <v>6732</v>
      </c>
      <c r="B2203" s="1" t="s">
        <v>142</v>
      </c>
      <c r="C2203" s="1" t="s">
        <v>142</v>
      </c>
      <c r="D2203" s="1" t="s">
        <v>6733</v>
      </c>
      <c r="E2203" s="1" t="s">
        <v>144</v>
      </c>
      <c r="F2203" s="1" t="s">
        <v>142</v>
      </c>
      <c r="G2203" s="1"/>
    </row>
    <row r="2204">
      <c r="A2204" s="1" t="s">
        <v>6734</v>
      </c>
      <c r="B2204" s="1" t="s">
        <v>142</v>
      </c>
      <c r="C2204" s="1" t="s">
        <v>142</v>
      </c>
      <c r="D2204" s="1" t="s">
        <v>6735</v>
      </c>
      <c r="E2204" s="1" t="s">
        <v>144</v>
      </c>
      <c r="F2204" s="1" t="s">
        <v>142</v>
      </c>
      <c r="G2204" s="1"/>
    </row>
    <row r="2205">
      <c r="A2205" s="1" t="s">
        <v>6736</v>
      </c>
      <c r="B2205" s="1" t="s">
        <v>142</v>
      </c>
      <c r="C2205" s="1" t="s">
        <v>142</v>
      </c>
      <c r="D2205" s="1" t="s">
        <v>6737</v>
      </c>
      <c r="E2205" s="1" t="s">
        <v>144</v>
      </c>
      <c r="F2205" s="1" t="s">
        <v>142</v>
      </c>
      <c r="G2205" s="1"/>
    </row>
    <row r="2206">
      <c r="A2206" s="1" t="s">
        <v>6738</v>
      </c>
      <c r="B2206" s="1" t="s">
        <v>142</v>
      </c>
      <c r="C2206" s="1" t="s">
        <v>142</v>
      </c>
      <c r="D2206" s="1" t="s">
        <v>6739</v>
      </c>
      <c r="E2206" s="1" t="s">
        <v>144</v>
      </c>
      <c r="F2206" s="1" t="s">
        <v>142</v>
      </c>
      <c r="G2206" s="1"/>
    </row>
    <row r="2207">
      <c r="A2207" s="1" t="s">
        <v>6740</v>
      </c>
      <c r="B2207" s="1" t="s">
        <v>142</v>
      </c>
      <c r="C2207" s="1" t="s">
        <v>142</v>
      </c>
      <c r="D2207" s="1" t="s">
        <v>6741</v>
      </c>
      <c r="E2207" s="1" t="s">
        <v>144</v>
      </c>
      <c r="F2207" s="1" t="s">
        <v>142</v>
      </c>
      <c r="G2207" s="1"/>
    </row>
    <row r="2208">
      <c r="A2208" s="1" t="s">
        <v>6742</v>
      </c>
      <c r="B2208" s="1" t="s">
        <v>142</v>
      </c>
      <c r="C2208" s="1" t="s">
        <v>142</v>
      </c>
      <c r="D2208" s="1" t="s">
        <v>6743</v>
      </c>
      <c r="E2208" s="1" t="s">
        <v>144</v>
      </c>
      <c r="F2208" s="1" t="s">
        <v>142</v>
      </c>
      <c r="G2208" s="1"/>
    </row>
    <row r="2209">
      <c r="A2209" s="1" t="s">
        <v>6744</v>
      </c>
      <c r="B2209" s="1" t="s">
        <v>142</v>
      </c>
      <c r="C2209" s="1" t="s">
        <v>142</v>
      </c>
      <c r="D2209" s="1" t="s">
        <v>6745</v>
      </c>
      <c r="E2209" s="1" t="s">
        <v>144</v>
      </c>
      <c r="F2209" s="1" t="s">
        <v>142</v>
      </c>
      <c r="G2209" s="1"/>
    </row>
    <row r="2210">
      <c r="A2210" s="1" t="s">
        <v>6746</v>
      </c>
      <c r="B2210" s="1" t="s">
        <v>142</v>
      </c>
      <c r="C2210" s="1" t="s">
        <v>142</v>
      </c>
      <c r="D2210" s="1" t="s">
        <v>6747</v>
      </c>
      <c r="E2210" s="1" t="s">
        <v>144</v>
      </c>
      <c r="F2210" s="1" t="s">
        <v>142</v>
      </c>
      <c r="G2210" s="1"/>
    </row>
    <row r="2211">
      <c r="A2211" s="1" t="s">
        <v>6748</v>
      </c>
      <c r="B2211" s="1" t="s">
        <v>142</v>
      </c>
      <c r="C2211" s="1" t="s">
        <v>142</v>
      </c>
      <c r="D2211" s="1" t="s">
        <v>6749</v>
      </c>
      <c r="E2211" s="1" t="s">
        <v>144</v>
      </c>
      <c r="F2211" s="1" t="s">
        <v>142</v>
      </c>
      <c r="G2211" s="1"/>
    </row>
    <row r="2212">
      <c r="A2212" s="1" t="s">
        <v>6750</v>
      </c>
      <c r="B2212" s="1" t="s">
        <v>142</v>
      </c>
      <c r="C2212" s="1" t="s">
        <v>142</v>
      </c>
      <c r="D2212" s="1" t="s">
        <v>6751</v>
      </c>
      <c r="E2212" s="1" t="s">
        <v>144</v>
      </c>
      <c r="F2212" s="1" t="s">
        <v>142</v>
      </c>
      <c r="G2212" s="1"/>
    </row>
    <row r="2213">
      <c r="A2213" s="1" t="s">
        <v>6752</v>
      </c>
      <c r="B2213" s="1" t="s">
        <v>6753</v>
      </c>
      <c r="C2213" s="1" t="s">
        <v>6754</v>
      </c>
      <c r="D2213" s="1" t="s">
        <v>6755</v>
      </c>
      <c r="E2213" s="1" t="s">
        <v>810</v>
      </c>
      <c r="F2213" s="1">
        <v>5.0</v>
      </c>
      <c r="G2213" s="1">
        <v>11.0</v>
      </c>
    </row>
    <row r="2214">
      <c r="A2214" s="1" t="s">
        <v>6756</v>
      </c>
      <c r="B2214" s="1" t="s">
        <v>142</v>
      </c>
      <c r="C2214" s="1" t="s">
        <v>142</v>
      </c>
      <c r="D2214" s="1" t="s">
        <v>6757</v>
      </c>
      <c r="E2214" s="1" t="s">
        <v>144</v>
      </c>
      <c r="F2214" s="1" t="s">
        <v>142</v>
      </c>
      <c r="G2214" s="1"/>
    </row>
    <row r="2215">
      <c r="A2215" s="1" t="s">
        <v>6758</v>
      </c>
      <c r="B2215" s="1" t="s">
        <v>142</v>
      </c>
      <c r="C2215" s="1" t="s">
        <v>142</v>
      </c>
      <c r="D2215" s="1" t="s">
        <v>6759</v>
      </c>
      <c r="E2215" s="1" t="s">
        <v>144</v>
      </c>
      <c r="F2215" s="1" t="s">
        <v>142</v>
      </c>
      <c r="G2215" s="1"/>
    </row>
    <row r="2216">
      <c r="A2216" s="1" t="s">
        <v>6760</v>
      </c>
      <c r="B2216" s="1" t="s">
        <v>142</v>
      </c>
      <c r="C2216" s="1" t="s">
        <v>142</v>
      </c>
      <c r="D2216" s="1" t="s">
        <v>6761</v>
      </c>
      <c r="E2216" s="1" t="s">
        <v>144</v>
      </c>
      <c r="F2216" s="1" t="s">
        <v>142</v>
      </c>
      <c r="G2216" s="1"/>
    </row>
    <row r="2217">
      <c r="A2217" s="1" t="s">
        <v>6762</v>
      </c>
      <c r="B2217" s="1" t="s">
        <v>142</v>
      </c>
      <c r="C2217" s="1" t="s">
        <v>142</v>
      </c>
      <c r="D2217" s="1" t="s">
        <v>6763</v>
      </c>
      <c r="E2217" s="1" t="s">
        <v>144</v>
      </c>
      <c r="F2217" s="1" t="s">
        <v>142</v>
      </c>
      <c r="G2217" s="1"/>
    </row>
    <row r="2218">
      <c r="A2218" s="1" t="s">
        <v>6764</v>
      </c>
      <c r="B2218" s="1" t="s">
        <v>142</v>
      </c>
      <c r="C2218" s="1" t="s">
        <v>142</v>
      </c>
      <c r="D2218" s="1" t="s">
        <v>6765</v>
      </c>
      <c r="E2218" s="1" t="s">
        <v>144</v>
      </c>
      <c r="F2218" s="1" t="s">
        <v>142</v>
      </c>
      <c r="G2218" s="1"/>
    </row>
    <row r="2219">
      <c r="A2219" s="1" t="s">
        <v>6766</v>
      </c>
      <c r="B2219" s="1" t="s">
        <v>142</v>
      </c>
      <c r="C2219" s="1" t="s">
        <v>142</v>
      </c>
      <c r="D2219" s="1" t="s">
        <v>6767</v>
      </c>
      <c r="E2219" s="1" t="s">
        <v>144</v>
      </c>
      <c r="F2219" s="1" t="s">
        <v>142</v>
      </c>
      <c r="G2219" s="1"/>
    </row>
    <row r="2220">
      <c r="A2220" s="1" t="s">
        <v>6768</v>
      </c>
      <c r="B2220" s="1" t="s">
        <v>6769</v>
      </c>
      <c r="C2220" s="1" t="s">
        <v>6770</v>
      </c>
      <c r="D2220" s="1" t="s">
        <v>6771</v>
      </c>
      <c r="E2220" s="1" t="s">
        <v>144</v>
      </c>
      <c r="F2220" s="1" t="s">
        <v>142</v>
      </c>
      <c r="G2220" s="1"/>
    </row>
    <row r="2221">
      <c r="A2221" s="1" t="s">
        <v>6768</v>
      </c>
      <c r="B2221" s="1" t="s">
        <v>142</v>
      </c>
      <c r="C2221" s="1" t="s">
        <v>142</v>
      </c>
      <c r="D2221" s="1" t="s">
        <v>6772</v>
      </c>
      <c r="E2221" s="1" t="s">
        <v>144</v>
      </c>
      <c r="F2221" s="1" t="s">
        <v>142</v>
      </c>
      <c r="G2221" s="1"/>
    </row>
    <row r="2222">
      <c r="A2222" s="1" t="s">
        <v>6773</v>
      </c>
      <c r="B2222" s="1" t="s">
        <v>142</v>
      </c>
      <c r="C2222" s="1" t="s">
        <v>142</v>
      </c>
      <c r="D2222" s="1" t="s">
        <v>6774</v>
      </c>
      <c r="E2222" s="1" t="s">
        <v>144</v>
      </c>
      <c r="F2222" s="1" t="s">
        <v>142</v>
      </c>
      <c r="G2222" s="1"/>
    </row>
    <row r="2223">
      <c r="A2223" s="1" t="s">
        <v>6775</v>
      </c>
      <c r="B2223" s="1" t="s">
        <v>142</v>
      </c>
      <c r="C2223" s="1" t="s">
        <v>142</v>
      </c>
      <c r="D2223" s="1" t="s">
        <v>6776</v>
      </c>
      <c r="E2223" s="1" t="s">
        <v>144</v>
      </c>
      <c r="F2223" s="1" t="s">
        <v>142</v>
      </c>
      <c r="G2223" s="1"/>
    </row>
    <row r="2224">
      <c r="A2224" s="1" t="s">
        <v>6777</v>
      </c>
      <c r="B2224" s="1" t="s">
        <v>142</v>
      </c>
      <c r="C2224" s="1" t="s">
        <v>142</v>
      </c>
      <c r="D2224" s="1" t="s">
        <v>6778</v>
      </c>
      <c r="E2224" s="1" t="s">
        <v>144</v>
      </c>
      <c r="F2224" s="1" t="s">
        <v>142</v>
      </c>
      <c r="G2224" s="1"/>
    </row>
    <row r="2225">
      <c r="A2225" s="1" t="s">
        <v>6779</v>
      </c>
      <c r="B2225" s="1" t="s">
        <v>142</v>
      </c>
      <c r="C2225" s="1" t="s">
        <v>142</v>
      </c>
      <c r="D2225" s="1" t="s">
        <v>6780</v>
      </c>
      <c r="E2225" s="1" t="s">
        <v>144</v>
      </c>
      <c r="F2225" s="1" t="s">
        <v>142</v>
      </c>
      <c r="G2225" s="1"/>
    </row>
    <row r="2226">
      <c r="A2226" s="1" t="s">
        <v>6781</v>
      </c>
      <c r="B2226" s="1" t="s">
        <v>142</v>
      </c>
      <c r="C2226" s="1" t="s">
        <v>142</v>
      </c>
      <c r="D2226" s="1" t="s">
        <v>6782</v>
      </c>
      <c r="E2226" s="1" t="s">
        <v>144</v>
      </c>
      <c r="F2226" s="1" t="s">
        <v>142</v>
      </c>
      <c r="G2226" s="1"/>
    </row>
    <row r="2227">
      <c r="A2227" s="1" t="s">
        <v>6783</v>
      </c>
      <c r="B2227" s="1" t="s">
        <v>142</v>
      </c>
      <c r="C2227" s="1" t="s">
        <v>142</v>
      </c>
      <c r="D2227" s="1" t="s">
        <v>6784</v>
      </c>
      <c r="E2227" s="1" t="s">
        <v>144</v>
      </c>
      <c r="F2227" s="1" t="s">
        <v>142</v>
      </c>
      <c r="G2227" s="1"/>
    </row>
    <row r="2228">
      <c r="A2228" s="1" t="s">
        <v>6785</v>
      </c>
      <c r="B2228" s="1" t="s">
        <v>142</v>
      </c>
      <c r="C2228" s="1" t="s">
        <v>142</v>
      </c>
      <c r="D2228" s="1" t="s">
        <v>6786</v>
      </c>
      <c r="E2228" s="1" t="s">
        <v>144</v>
      </c>
      <c r="F2228" s="1" t="s">
        <v>142</v>
      </c>
      <c r="G2228" s="1"/>
    </row>
    <row r="2229">
      <c r="A2229" s="1" t="s">
        <v>6787</v>
      </c>
      <c r="B2229" s="1" t="s">
        <v>142</v>
      </c>
      <c r="C2229" s="1" t="s">
        <v>142</v>
      </c>
      <c r="D2229" s="1" t="s">
        <v>6788</v>
      </c>
      <c r="E2229" s="1" t="s">
        <v>144</v>
      </c>
      <c r="F2229" s="1" t="s">
        <v>142</v>
      </c>
      <c r="G2229" s="1"/>
    </row>
    <row r="2230">
      <c r="A2230" s="1" t="s">
        <v>6789</v>
      </c>
      <c r="B2230" s="1" t="s">
        <v>142</v>
      </c>
      <c r="C2230" s="1" t="s">
        <v>142</v>
      </c>
      <c r="D2230" s="1" t="s">
        <v>6790</v>
      </c>
      <c r="E2230" s="1" t="s">
        <v>144</v>
      </c>
      <c r="F2230" s="1" t="s">
        <v>142</v>
      </c>
      <c r="G2230" s="1"/>
    </row>
    <row r="2231">
      <c r="A2231" s="1" t="s">
        <v>6791</v>
      </c>
      <c r="B2231" s="1" t="s">
        <v>142</v>
      </c>
      <c r="C2231" s="1" t="s">
        <v>142</v>
      </c>
      <c r="D2231" s="1" t="s">
        <v>6792</v>
      </c>
      <c r="E2231" s="1" t="s">
        <v>144</v>
      </c>
      <c r="F2231" s="1" t="s">
        <v>142</v>
      </c>
      <c r="G2231" s="1"/>
    </row>
    <row r="2232">
      <c r="A2232" s="1" t="s">
        <v>6793</v>
      </c>
      <c r="B2232" s="1" t="s">
        <v>142</v>
      </c>
      <c r="C2232" s="1" t="s">
        <v>142</v>
      </c>
      <c r="D2232" s="1" t="s">
        <v>6794</v>
      </c>
      <c r="E2232" s="1" t="s">
        <v>144</v>
      </c>
      <c r="F2232" s="1" t="s">
        <v>142</v>
      </c>
      <c r="G2232" s="1"/>
    </row>
    <row r="2233">
      <c r="A2233" s="1" t="s">
        <v>6795</v>
      </c>
      <c r="B2233" s="1" t="s">
        <v>142</v>
      </c>
      <c r="C2233" s="1" t="s">
        <v>142</v>
      </c>
      <c r="D2233" s="1" t="s">
        <v>6796</v>
      </c>
      <c r="E2233" s="1" t="s">
        <v>144</v>
      </c>
      <c r="F2233" s="1" t="s">
        <v>142</v>
      </c>
      <c r="G2233" s="1"/>
    </row>
    <row r="2234">
      <c r="A2234" s="1" t="s">
        <v>6797</v>
      </c>
      <c r="B2234" s="1" t="s">
        <v>142</v>
      </c>
      <c r="C2234" s="1" t="s">
        <v>142</v>
      </c>
      <c r="D2234" s="1" t="s">
        <v>6798</v>
      </c>
      <c r="E2234" s="1" t="s">
        <v>144</v>
      </c>
      <c r="F2234" s="1" t="s">
        <v>142</v>
      </c>
      <c r="G2234" s="1"/>
    </row>
    <row r="2235">
      <c r="A2235" s="1" t="s">
        <v>6799</v>
      </c>
      <c r="B2235" s="1" t="s">
        <v>142</v>
      </c>
      <c r="C2235" s="1" t="s">
        <v>142</v>
      </c>
      <c r="D2235" s="1" t="s">
        <v>6800</v>
      </c>
      <c r="E2235" s="1" t="s">
        <v>144</v>
      </c>
      <c r="F2235" s="1" t="s">
        <v>142</v>
      </c>
      <c r="G2235" s="1"/>
    </row>
    <row r="2236">
      <c r="A2236" s="1" t="s">
        <v>6801</v>
      </c>
      <c r="B2236" s="1" t="s">
        <v>6802</v>
      </c>
      <c r="C2236" s="1" t="s">
        <v>6803</v>
      </c>
      <c r="D2236" s="1" t="s">
        <v>6804</v>
      </c>
      <c r="E2236" s="1" t="s">
        <v>144</v>
      </c>
      <c r="F2236" s="1" t="s">
        <v>142</v>
      </c>
      <c r="G2236" s="1"/>
    </row>
    <row r="2237">
      <c r="A2237" s="1" t="s">
        <v>6805</v>
      </c>
      <c r="B2237" s="1" t="s">
        <v>142</v>
      </c>
      <c r="C2237" s="1" t="s">
        <v>142</v>
      </c>
      <c r="D2237" s="1" t="s">
        <v>6806</v>
      </c>
      <c r="E2237" s="1" t="s">
        <v>144</v>
      </c>
      <c r="F2237" s="1" t="s">
        <v>142</v>
      </c>
      <c r="G2237" s="1"/>
    </row>
    <row r="2238">
      <c r="A2238" s="1" t="s">
        <v>6807</v>
      </c>
      <c r="B2238" s="1" t="s">
        <v>142</v>
      </c>
      <c r="C2238" s="1" t="s">
        <v>142</v>
      </c>
      <c r="D2238" s="1" t="s">
        <v>6808</v>
      </c>
      <c r="E2238" s="1" t="s">
        <v>144</v>
      </c>
      <c r="F2238" s="1" t="s">
        <v>142</v>
      </c>
      <c r="G2238" s="1"/>
    </row>
    <row r="2239">
      <c r="A2239" s="1" t="s">
        <v>6809</v>
      </c>
      <c r="B2239" s="1" t="s">
        <v>142</v>
      </c>
      <c r="C2239" s="1" t="s">
        <v>142</v>
      </c>
      <c r="D2239" s="1" t="s">
        <v>6810</v>
      </c>
      <c r="E2239" s="1" t="s">
        <v>144</v>
      </c>
      <c r="F2239" s="1" t="s">
        <v>142</v>
      </c>
      <c r="G2239" s="1"/>
    </row>
    <row r="2240">
      <c r="A2240" s="1" t="s">
        <v>6811</v>
      </c>
      <c r="B2240" s="1" t="s">
        <v>6812</v>
      </c>
      <c r="C2240" s="1" t="s">
        <v>6813</v>
      </c>
      <c r="D2240" s="1" t="s">
        <v>6814</v>
      </c>
      <c r="E2240" s="1" t="s">
        <v>144</v>
      </c>
      <c r="F2240" s="1" t="s">
        <v>142</v>
      </c>
      <c r="G2240" s="1"/>
    </row>
    <row r="2241">
      <c r="A2241" s="1" t="s">
        <v>6811</v>
      </c>
      <c r="B2241" s="1" t="s">
        <v>6815</v>
      </c>
      <c r="C2241" s="1" t="s">
        <v>6816</v>
      </c>
      <c r="D2241" s="1" t="s">
        <v>6814</v>
      </c>
      <c r="E2241" s="1" t="s">
        <v>144</v>
      </c>
      <c r="F2241" s="1" t="s">
        <v>142</v>
      </c>
      <c r="G2241" s="1"/>
    </row>
    <row r="2242">
      <c r="A2242" s="1" t="s">
        <v>6811</v>
      </c>
      <c r="B2242" s="1" t="s">
        <v>6815</v>
      </c>
      <c r="C2242" s="1" t="s">
        <v>6816</v>
      </c>
      <c r="D2242" s="1" t="s">
        <v>6814</v>
      </c>
      <c r="E2242" s="1" t="s">
        <v>144</v>
      </c>
      <c r="F2242" s="1" t="s">
        <v>142</v>
      </c>
      <c r="G2242" s="1"/>
    </row>
    <row r="2243">
      <c r="A2243" s="1" t="s">
        <v>6817</v>
      </c>
      <c r="B2243" s="1" t="s">
        <v>142</v>
      </c>
      <c r="C2243" s="1" t="s">
        <v>142</v>
      </c>
      <c r="D2243" s="1" t="s">
        <v>6818</v>
      </c>
      <c r="E2243" s="1" t="s">
        <v>144</v>
      </c>
      <c r="F2243" s="1" t="s">
        <v>142</v>
      </c>
      <c r="G2243" s="1"/>
    </row>
    <row r="2244">
      <c r="A2244" s="1" t="s">
        <v>6819</v>
      </c>
      <c r="B2244" s="1" t="s">
        <v>142</v>
      </c>
      <c r="C2244" s="1" t="s">
        <v>142</v>
      </c>
      <c r="D2244" s="1" t="s">
        <v>6820</v>
      </c>
      <c r="E2244" s="1" t="s">
        <v>144</v>
      </c>
      <c r="F2244" s="1" t="s">
        <v>142</v>
      </c>
      <c r="G2244" s="1"/>
    </row>
  </sheetData>
  <autoFilter ref="$A$1:$G$2244">
    <sortState ref="A1:G2244">
      <sortCondition ref="A1:A2244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3.38"/>
    <col customWidth="1" min="3" max="3" width="5.75"/>
    <col customWidth="1" min="4" max="4" width="5.88"/>
    <col customWidth="1" min="5" max="5" width="4.0"/>
    <col customWidth="1" min="6" max="6" width="6.13"/>
    <col customWidth="1" min="7" max="9" width="2.88"/>
    <col customWidth="1" min="10" max="10" width="3.0"/>
    <col customWidth="1" min="11" max="11" width="2.88"/>
    <col customWidth="1" min="12" max="12" width="6.13"/>
    <col customWidth="1" min="13" max="15" width="2.88"/>
    <col customWidth="1" min="16" max="16" width="3.0"/>
    <col customWidth="1" min="17" max="17" width="2.88"/>
    <col customWidth="1" min="18" max="18" width="6.13"/>
    <col customWidth="1" min="19" max="21" width="2.88"/>
    <col customWidth="1" min="22" max="22" width="3.0"/>
    <col customWidth="1" min="23" max="23" width="2.88"/>
    <col customWidth="1" min="24" max="24" width="6.13"/>
    <col customWidth="1" min="25" max="27" width="2.88"/>
    <col customWidth="1" min="28" max="28" width="3.0"/>
    <col customWidth="1" min="29" max="29" width="2.88"/>
    <col customWidth="1" min="30" max="30" width="7.13"/>
    <col customWidth="1" min="31" max="34" width="2.88"/>
    <col customWidth="1" min="35" max="36" width="3.0"/>
    <col customWidth="1" min="37" max="37" width="2.88"/>
    <col customWidth="1" min="38" max="38" width="3.0"/>
    <col customWidth="1" min="39" max="39" width="5.5"/>
    <col customWidth="1" min="40" max="41" width="3.0"/>
    <col customWidth="1" min="42" max="42" width="2.88"/>
    <col customWidth="1" min="43" max="43" width="3.0"/>
    <col customWidth="1" min="44" max="44" width="5.5"/>
    <col customWidth="1" min="45" max="46" width="3.0"/>
    <col customWidth="1" min="47" max="47" width="2.88"/>
    <col customWidth="1" min="48" max="48" width="3.0"/>
    <col customWidth="1" min="49" max="49" width="5.5"/>
    <col customWidth="1" min="50" max="51" width="3.0"/>
    <col customWidth="1" min="52" max="52" width="6.0"/>
    <col customWidth="1" min="53" max="53" width="3.0"/>
    <col customWidth="1" min="54" max="54" width="5.5"/>
    <col customWidth="1" min="55" max="56" width="3.0"/>
  </cols>
  <sheetData>
    <row r="1">
      <c r="AI1" s="6"/>
      <c r="AJ1" s="6"/>
      <c r="AK1" s="6"/>
      <c r="AL1" s="7"/>
      <c r="AM1" s="6"/>
      <c r="AN1" s="7"/>
      <c r="AO1" s="7"/>
      <c r="AP1" s="7"/>
      <c r="AQ1" s="7"/>
      <c r="AR1" s="6"/>
      <c r="AS1" s="6"/>
      <c r="AT1" s="6"/>
      <c r="AU1" s="6"/>
      <c r="AV1" s="7"/>
      <c r="AW1" s="6"/>
      <c r="AX1" s="8"/>
      <c r="AY1" s="6"/>
      <c r="AZ1" s="6"/>
      <c r="BA1" s="6"/>
      <c r="BB1" s="6"/>
      <c r="BC1" s="6"/>
      <c r="BD1" s="6"/>
    </row>
    <row r="2">
      <c r="AI2" s="6"/>
      <c r="AL2" s="2">
        <v>4.0</v>
      </c>
      <c r="AN2" s="2"/>
      <c r="AO2" s="2"/>
      <c r="AP2" s="2"/>
      <c r="AQ2" s="2">
        <v>3.0</v>
      </c>
      <c r="AV2" s="2">
        <v>2.0</v>
      </c>
      <c r="AX2" s="9"/>
      <c r="BD2" s="6"/>
    </row>
    <row r="3">
      <c r="AI3" s="6"/>
      <c r="AL3" s="11" t="s">
        <v>426</v>
      </c>
      <c r="AM3" s="12" t="s">
        <v>426</v>
      </c>
      <c r="AN3" s="12" t="s">
        <v>426</v>
      </c>
      <c r="AO3" s="12" t="s">
        <v>426</v>
      </c>
      <c r="AP3" s="12" t="s">
        <v>426</v>
      </c>
      <c r="AQ3" s="11" t="s">
        <v>426</v>
      </c>
      <c r="AR3" s="12" t="s">
        <v>426</v>
      </c>
      <c r="AS3" s="12" t="s">
        <v>426</v>
      </c>
      <c r="AT3" s="12" t="s">
        <v>426</v>
      </c>
      <c r="AU3" s="12" t="s">
        <v>426</v>
      </c>
      <c r="AV3" s="11" t="s">
        <v>426</v>
      </c>
      <c r="AW3" s="12" t="s">
        <v>426</v>
      </c>
      <c r="AX3" s="12" t="s">
        <v>426</v>
      </c>
      <c r="AY3" s="12" t="s">
        <v>426</v>
      </c>
      <c r="AZ3" s="12" t="s">
        <v>426</v>
      </c>
      <c r="BA3" s="11" t="s">
        <v>426</v>
      </c>
      <c r="BB3" s="12" t="s">
        <v>426</v>
      </c>
      <c r="BC3" s="12" t="s">
        <v>426</v>
      </c>
      <c r="BD3" s="13"/>
    </row>
    <row r="4">
      <c r="AI4" s="6"/>
      <c r="AJ4" s="14" t="s">
        <v>439</v>
      </c>
      <c r="AK4" s="15">
        <v>31.0</v>
      </c>
      <c r="AL4" s="11" t="s">
        <v>426</v>
      </c>
      <c r="AM4" s="15">
        <v>31.0</v>
      </c>
      <c r="AN4" s="14" t="s">
        <v>443</v>
      </c>
      <c r="AO4" s="16" t="s">
        <v>439</v>
      </c>
      <c r="AP4" s="17">
        <v>31.0</v>
      </c>
      <c r="AQ4" s="11" t="s">
        <v>426</v>
      </c>
      <c r="AR4" s="17">
        <v>31.0</v>
      </c>
      <c r="AS4" s="18" t="s">
        <v>443</v>
      </c>
      <c r="AT4" s="19" t="s">
        <v>439</v>
      </c>
      <c r="AU4" s="20">
        <v>31.0</v>
      </c>
      <c r="AV4" s="11" t="s">
        <v>426</v>
      </c>
      <c r="AW4" s="20">
        <v>31.0</v>
      </c>
      <c r="AX4" s="19" t="s">
        <v>443</v>
      </c>
      <c r="AY4" s="21" t="s">
        <v>439</v>
      </c>
      <c r="AZ4" s="22">
        <v>31.0</v>
      </c>
      <c r="BA4" s="11" t="s">
        <v>426</v>
      </c>
      <c r="BB4" s="22">
        <v>31.0</v>
      </c>
      <c r="BC4" s="21" t="s">
        <v>443</v>
      </c>
      <c r="BD4" s="6"/>
    </row>
    <row r="5">
      <c r="AI5" s="6"/>
      <c r="AK5" s="15">
        <v>32.0</v>
      </c>
      <c r="AL5" s="11" t="s">
        <v>426</v>
      </c>
      <c r="AM5" s="15">
        <v>30.0</v>
      </c>
      <c r="AP5" s="17">
        <v>32.0</v>
      </c>
      <c r="AQ5" s="11" t="s">
        <v>426</v>
      </c>
      <c r="AR5" s="17">
        <v>30.0</v>
      </c>
      <c r="AU5" s="20">
        <v>32.0</v>
      </c>
      <c r="AV5" s="11" t="s">
        <v>426</v>
      </c>
      <c r="AW5" s="20">
        <v>30.0</v>
      </c>
      <c r="AZ5" s="22">
        <v>32.0</v>
      </c>
      <c r="BA5" s="11" t="s">
        <v>426</v>
      </c>
      <c r="BB5" s="22">
        <v>30.0</v>
      </c>
      <c r="BD5" s="6"/>
    </row>
    <row r="6">
      <c r="AI6" s="6"/>
      <c r="AK6" s="15">
        <v>33.0</v>
      </c>
      <c r="AL6" s="11" t="s">
        <v>426</v>
      </c>
      <c r="AM6" s="15">
        <v>29.0</v>
      </c>
      <c r="AP6" s="17">
        <v>33.0</v>
      </c>
      <c r="AQ6" s="11" t="s">
        <v>426</v>
      </c>
      <c r="AR6" s="17">
        <v>29.0</v>
      </c>
      <c r="AU6" s="20">
        <v>33.0</v>
      </c>
      <c r="AV6" s="11" t="s">
        <v>426</v>
      </c>
      <c r="AW6" s="20">
        <v>29.0</v>
      </c>
      <c r="AZ6" s="22">
        <v>33.0</v>
      </c>
      <c r="BA6" s="11" t="s">
        <v>426</v>
      </c>
      <c r="BB6" s="22">
        <v>29.0</v>
      </c>
      <c r="BD6" s="6"/>
    </row>
    <row r="7">
      <c r="M7" s="1"/>
      <c r="AI7" s="6"/>
      <c r="AK7" s="23">
        <v>34.0</v>
      </c>
      <c r="AL7" s="11" t="s">
        <v>426</v>
      </c>
      <c r="AM7" s="23">
        <v>28.0</v>
      </c>
      <c r="AP7" s="24">
        <v>34.0</v>
      </c>
      <c r="AQ7" s="11" t="s">
        <v>426</v>
      </c>
      <c r="AR7" s="24">
        <v>28.0</v>
      </c>
      <c r="AU7" s="20">
        <v>34.0</v>
      </c>
      <c r="AV7" s="11" t="s">
        <v>426</v>
      </c>
      <c r="AW7" s="20">
        <v>28.0</v>
      </c>
      <c r="AZ7" s="22">
        <v>34.0</v>
      </c>
      <c r="BA7" s="11" t="s">
        <v>426</v>
      </c>
      <c r="BB7" s="22">
        <v>28.0</v>
      </c>
      <c r="BD7" s="6"/>
    </row>
    <row r="8">
      <c r="AI8" s="6"/>
      <c r="AK8" s="23">
        <v>35.0</v>
      </c>
      <c r="AL8" s="11" t="s">
        <v>426</v>
      </c>
      <c r="AM8" s="23">
        <v>27.0</v>
      </c>
      <c r="AP8" s="24">
        <v>35.0</v>
      </c>
      <c r="AQ8" s="11" t="s">
        <v>426</v>
      </c>
      <c r="AR8" s="24">
        <v>27.0</v>
      </c>
      <c r="AU8" s="20">
        <v>35.0</v>
      </c>
      <c r="AV8" s="11" t="s">
        <v>426</v>
      </c>
      <c r="AW8" s="20">
        <v>27.0</v>
      </c>
      <c r="AZ8" s="22">
        <v>35.0</v>
      </c>
      <c r="BA8" s="11" t="s">
        <v>426</v>
      </c>
      <c r="BB8" s="22">
        <v>27.0</v>
      </c>
      <c r="BD8" s="6"/>
    </row>
    <row r="9">
      <c r="AI9" s="6"/>
      <c r="AK9" s="23">
        <v>36.0</v>
      </c>
      <c r="AL9" s="11" t="s">
        <v>426</v>
      </c>
      <c r="AM9" s="23">
        <v>26.0</v>
      </c>
      <c r="AP9" s="24">
        <v>36.0</v>
      </c>
      <c r="AQ9" s="11" t="s">
        <v>426</v>
      </c>
      <c r="AR9" s="24">
        <v>26.0</v>
      </c>
      <c r="AU9" s="20">
        <v>36.0</v>
      </c>
      <c r="AV9" s="11" t="s">
        <v>426</v>
      </c>
      <c r="AW9" s="20">
        <v>26.0</v>
      </c>
      <c r="AZ9" s="22">
        <v>36.0</v>
      </c>
      <c r="BA9" s="11" t="s">
        <v>426</v>
      </c>
      <c r="BB9" s="22">
        <v>26.0</v>
      </c>
      <c r="BD9" s="6"/>
    </row>
    <row r="10">
      <c r="AI10" s="6"/>
      <c r="AJ10" s="25" t="s">
        <v>458</v>
      </c>
      <c r="AK10" s="23">
        <v>37.0</v>
      </c>
      <c r="AL10" s="11" t="s">
        <v>426</v>
      </c>
      <c r="AM10" s="23">
        <v>25.0</v>
      </c>
      <c r="AN10" s="25" t="s">
        <v>460</v>
      </c>
      <c r="AO10" s="18" t="s">
        <v>458</v>
      </c>
      <c r="AP10" s="24">
        <v>37.0</v>
      </c>
      <c r="AQ10" s="11" t="s">
        <v>426</v>
      </c>
      <c r="AR10" s="24">
        <v>25.0</v>
      </c>
      <c r="AS10" s="18" t="s">
        <v>460</v>
      </c>
      <c r="AT10" s="19" t="s">
        <v>458</v>
      </c>
      <c r="AU10" s="20">
        <v>37.0</v>
      </c>
      <c r="AV10" s="11" t="s">
        <v>426</v>
      </c>
      <c r="AW10" s="20">
        <v>25.0</v>
      </c>
      <c r="AX10" s="19" t="s">
        <v>460</v>
      </c>
      <c r="AY10" s="21" t="s">
        <v>458</v>
      </c>
      <c r="AZ10" s="22">
        <v>37.0</v>
      </c>
      <c r="BA10" s="11" t="s">
        <v>426</v>
      </c>
      <c r="BB10" s="22">
        <v>25.0</v>
      </c>
      <c r="BC10" s="21" t="s">
        <v>460</v>
      </c>
      <c r="BD10" s="6"/>
    </row>
    <row r="11">
      <c r="AI11" s="6"/>
      <c r="AK11" s="23">
        <v>38.0</v>
      </c>
      <c r="AL11" s="11" t="s">
        <v>426</v>
      </c>
      <c r="AM11" s="23">
        <v>24.0</v>
      </c>
      <c r="AP11" s="24">
        <v>38.0</v>
      </c>
      <c r="AQ11" s="11" t="s">
        <v>426</v>
      </c>
      <c r="AR11" s="24">
        <v>24.0</v>
      </c>
      <c r="AU11" s="20">
        <v>38.0</v>
      </c>
      <c r="AV11" s="11" t="s">
        <v>426</v>
      </c>
      <c r="AW11" s="20">
        <v>24.0</v>
      </c>
      <c r="AZ11" s="22">
        <v>38.0</v>
      </c>
      <c r="BA11" s="11" t="s">
        <v>426</v>
      </c>
      <c r="BB11" s="22">
        <v>24.0</v>
      </c>
      <c r="BD11" s="6"/>
    </row>
    <row r="12">
      <c r="AI12" s="6"/>
      <c r="AK12" s="23">
        <v>39.0</v>
      </c>
      <c r="AL12" s="11" t="s">
        <v>426</v>
      </c>
      <c r="AM12" s="23">
        <v>23.0</v>
      </c>
      <c r="AP12" s="24">
        <v>39.0</v>
      </c>
      <c r="AQ12" s="11" t="s">
        <v>426</v>
      </c>
      <c r="AR12" s="24">
        <v>23.0</v>
      </c>
      <c r="AU12" s="20">
        <v>39.0</v>
      </c>
      <c r="AV12" s="11" t="s">
        <v>426</v>
      </c>
      <c r="AW12" s="20">
        <v>23.0</v>
      </c>
      <c r="AZ12" s="22">
        <v>39.0</v>
      </c>
      <c r="BA12" s="11" t="s">
        <v>426</v>
      </c>
      <c r="BB12" s="22">
        <v>23.0</v>
      </c>
      <c r="BD12" s="6"/>
    </row>
    <row r="13">
      <c r="A13" s="1"/>
      <c r="B13" s="8" t="s">
        <v>467</v>
      </c>
      <c r="C13" s="8" t="s">
        <v>467</v>
      </c>
      <c r="D13" s="8" t="s">
        <v>467</v>
      </c>
      <c r="E13" s="8" t="s">
        <v>467</v>
      </c>
      <c r="F13" s="8" t="s">
        <v>467</v>
      </c>
      <c r="G13" s="8" t="s">
        <v>467</v>
      </c>
      <c r="H13" s="8" t="s">
        <v>467</v>
      </c>
      <c r="I13" s="8" t="s">
        <v>467</v>
      </c>
      <c r="J13" s="8" t="s">
        <v>467</v>
      </c>
      <c r="K13" s="8" t="s">
        <v>467</v>
      </c>
      <c r="L13" s="8" t="s">
        <v>467</v>
      </c>
      <c r="M13" s="8" t="s">
        <v>467</v>
      </c>
      <c r="N13" s="8" t="s">
        <v>467</v>
      </c>
      <c r="O13" s="8" t="s">
        <v>467</v>
      </c>
      <c r="P13" s="8" t="s">
        <v>467</v>
      </c>
      <c r="Q13" s="8" t="s">
        <v>467</v>
      </c>
      <c r="R13" s="8" t="s">
        <v>467</v>
      </c>
      <c r="S13" s="8" t="s">
        <v>467</v>
      </c>
      <c r="T13" s="8" t="s">
        <v>467</v>
      </c>
      <c r="U13" s="8" t="s">
        <v>467</v>
      </c>
      <c r="V13" s="8" t="s">
        <v>467</v>
      </c>
      <c r="W13" s="8" t="s">
        <v>467</v>
      </c>
      <c r="X13" s="8" t="s">
        <v>467</v>
      </c>
      <c r="Y13" s="8" t="s">
        <v>467</v>
      </c>
      <c r="Z13" s="8" t="s">
        <v>467</v>
      </c>
      <c r="AA13" s="8" t="s">
        <v>467</v>
      </c>
      <c r="AB13" s="8" t="s">
        <v>467</v>
      </c>
      <c r="AC13" s="8" t="s">
        <v>467</v>
      </c>
      <c r="AD13" s="8" t="s">
        <v>467</v>
      </c>
      <c r="AE13" s="8" t="s">
        <v>467</v>
      </c>
      <c r="AF13" s="8" t="s">
        <v>467</v>
      </c>
      <c r="AG13" s="8" t="s">
        <v>467</v>
      </c>
      <c r="AH13" s="8" t="s">
        <v>467</v>
      </c>
      <c r="AI13" s="8" t="s">
        <v>467</v>
      </c>
      <c r="AK13" s="23">
        <v>40.0</v>
      </c>
      <c r="AL13" s="11" t="s">
        <v>426</v>
      </c>
      <c r="AM13" s="23">
        <v>22.0</v>
      </c>
      <c r="AP13" s="24">
        <v>40.0</v>
      </c>
      <c r="AQ13" s="11" t="s">
        <v>426</v>
      </c>
      <c r="AR13" s="24">
        <v>22.0</v>
      </c>
      <c r="AU13" s="20">
        <v>40.0</v>
      </c>
      <c r="AV13" s="11" t="s">
        <v>426</v>
      </c>
      <c r="AW13" s="20">
        <v>22.0</v>
      </c>
      <c r="AZ13" s="22">
        <v>40.0</v>
      </c>
      <c r="BA13" s="11" t="s">
        <v>426</v>
      </c>
      <c r="BB13" s="22">
        <v>22.0</v>
      </c>
      <c r="BD13" s="6"/>
    </row>
    <row r="14">
      <c r="A14" s="1"/>
      <c r="B14" s="8" t="s">
        <v>467</v>
      </c>
      <c r="C14" s="1" t="s">
        <v>473</v>
      </c>
      <c r="F14" s="26" t="s">
        <v>443</v>
      </c>
      <c r="L14" s="26" t="s">
        <v>460</v>
      </c>
      <c r="R14" s="26" t="s">
        <v>477</v>
      </c>
      <c r="X14" s="26" t="s">
        <v>478</v>
      </c>
      <c r="AD14" s="26" t="s">
        <v>479</v>
      </c>
      <c r="AK14" s="23">
        <v>41.0</v>
      </c>
      <c r="AL14" s="11" t="s">
        <v>426</v>
      </c>
      <c r="AM14" s="23">
        <v>21.0</v>
      </c>
      <c r="AP14" s="24">
        <v>41.0</v>
      </c>
      <c r="AQ14" s="11" t="s">
        <v>426</v>
      </c>
      <c r="AR14" s="24">
        <v>21.0</v>
      </c>
      <c r="AU14" s="20">
        <v>41.0</v>
      </c>
      <c r="AV14" s="11" t="s">
        <v>426</v>
      </c>
      <c r="AW14" s="20">
        <v>21.0</v>
      </c>
      <c r="AZ14" s="22">
        <v>41.0</v>
      </c>
      <c r="BA14" s="11" t="s">
        <v>426</v>
      </c>
      <c r="BB14" s="22">
        <v>21.0</v>
      </c>
      <c r="BD14" s="6"/>
    </row>
    <row r="15">
      <c r="A15" s="1"/>
      <c r="B15" s="8" t="s">
        <v>467</v>
      </c>
      <c r="E15" s="27">
        <v>31.0</v>
      </c>
      <c r="F15" s="27">
        <v>30.0</v>
      </c>
      <c r="G15" s="27">
        <v>29.0</v>
      </c>
      <c r="H15" s="27">
        <v>28.0</v>
      </c>
      <c r="I15" s="27">
        <v>27.0</v>
      </c>
      <c r="J15" s="27">
        <v>26.0</v>
      </c>
      <c r="K15" s="27">
        <v>25.0</v>
      </c>
      <c r="L15" s="27">
        <v>24.0</v>
      </c>
      <c r="M15" s="27">
        <v>23.0</v>
      </c>
      <c r="N15" s="27">
        <v>22.0</v>
      </c>
      <c r="O15" s="27">
        <v>21.0</v>
      </c>
      <c r="P15" s="27">
        <v>20.0</v>
      </c>
      <c r="Q15" s="27">
        <v>19.0</v>
      </c>
      <c r="R15" s="27">
        <v>18.0</v>
      </c>
      <c r="S15" s="27">
        <v>17.0</v>
      </c>
      <c r="T15" s="27">
        <v>16.0</v>
      </c>
      <c r="U15" s="27">
        <v>15.0</v>
      </c>
      <c r="V15" s="27">
        <v>14.0</v>
      </c>
      <c r="W15" s="27">
        <v>13.0</v>
      </c>
      <c r="X15" s="27">
        <v>12.0</v>
      </c>
      <c r="Y15" s="27">
        <v>11.0</v>
      </c>
      <c r="Z15" s="27">
        <v>10.0</v>
      </c>
      <c r="AA15" s="27">
        <v>9.0</v>
      </c>
      <c r="AB15" s="27">
        <v>8.0</v>
      </c>
      <c r="AC15" s="27">
        <v>7.0</v>
      </c>
      <c r="AD15" s="27">
        <v>6.0</v>
      </c>
      <c r="AE15" s="27">
        <v>5.0</v>
      </c>
      <c r="AF15" s="27">
        <v>4.0</v>
      </c>
      <c r="AG15" s="27">
        <v>3.0</v>
      </c>
      <c r="AH15" s="27">
        <v>2.0</v>
      </c>
      <c r="AI15" s="27">
        <v>1.0</v>
      </c>
      <c r="AK15" s="23">
        <v>42.0</v>
      </c>
      <c r="AL15" s="11" t="s">
        <v>426</v>
      </c>
      <c r="AM15" s="23">
        <v>20.0</v>
      </c>
      <c r="AP15" s="24">
        <v>42.0</v>
      </c>
      <c r="AQ15" s="11" t="s">
        <v>426</v>
      </c>
      <c r="AR15" s="24">
        <v>20.0</v>
      </c>
      <c r="AU15" s="20">
        <v>42.0</v>
      </c>
      <c r="AV15" s="11" t="s">
        <v>426</v>
      </c>
      <c r="AW15" s="20">
        <v>20.0</v>
      </c>
      <c r="AZ15" s="22">
        <v>42.0</v>
      </c>
      <c r="BA15" s="11" t="s">
        <v>426</v>
      </c>
      <c r="BB15" s="22">
        <v>20.0</v>
      </c>
      <c r="BD15" s="6"/>
    </row>
    <row r="16">
      <c r="A16" s="1"/>
      <c r="B16" s="8" t="s">
        <v>467</v>
      </c>
      <c r="D16" s="11" t="s">
        <v>426</v>
      </c>
      <c r="E16" s="11" t="s">
        <v>426</v>
      </c>
      <c r="F16" s="11" t="s">
        <v>426</v>
      </c>
      <c r="G16" s="11" t="s">
        <v>426</v>
      </c>
      <c r="H16" s="11" t="s">
        <v>426</v>
      </c>
      <c r="I16" s="11" t="s">
        <v>426</v>
      </c>
      <c r="J16" s="11" t="s">
        <v>426</v>
      </c>
      <c r="K16" s="11" t="s">
        <v>426</v>
      </c>
      <c r="L16" s="11" t="s">
        <v>426</v>
      </c>
      <c r="M16" s="11" t="s">
        <v>426</v>
      </c>
      <c r="N16" s="11" t="s">
        <v>426</v>
      </c>
      <c r="O16" s="11" t="s">
        <v>426</v>
      </c>
      <c r="P16" s="11" t="s">
        <v>426</v>
      </c>
      <c r="Q16" s="11" t="s">
        <v>426</v>
      </c>
      <c r="R16" s="11" t="s">
        <v>426</v>
      </c>
      <c r="S16" s="11" t="s">
        <v>426</v>
      </c>
      <c r="T16" s="11" t="s">
        <v>426</v>
      </c>
      <c r="U16" s="11" t="s">
        <v>426</v>
      </c>
      <c r="V16" s="11" t="s">
        <v>426</v>
      </c>
      <c r="W16" s="11" t="s">
        <v>426</v>
      </c>
      <c r="X16" s="11" t="s">
        <v>426</v>
      </c>
      <c r="Y16" s="11" t="s">
        <v>426</v>
      </c>
      <c r="Z16" s="11" t="s">
        <v>426</v>
      </c>
      <c r="AA16" s="11" t="s">
        <v>426</v>
      </c>
      <c r="AB16" s="11" t="s">
        <v>426</v>
      </c>
      <c r="AC16" s="11" t="s">
        <v>426</v>
      </c>
      <c r="AD16" s="11" t="s">
        <v>426</v>
      </c>
      <c r="AE16" s="11" t="s">
        <v>426</v>
      </c>
      <c r="AF16" s="11" t="s">
        <v>426</v>
      </c>
      <c r="AG16" s="11" t="s">
        <v>426</v>
      </c>
      <c r="AH16" s="11" t="s">
        <v>426</v>
      </c>
      <c r="AI16" s="11" t="s">
        <v>426</v>
      </c>
      <c r="AJ16" s="11" t="s">
        <v>426</v>
      </c>
      <c r="AK16" s="11" t="s">
        <v>426</v>
      </c>
      <c r="AL16" s="11" t="s">
        <v>426</v>
      </c>
      <c r="AM16" s="23">
        <v>19.0</v>
      </c>
      <c r="AN16" s="25" t="s">
        <v>477</v>
      </c>
      <c r="AO16" s="18" t="s">
        <v>487</v>
      </c>
      <c r="AP16" s="24">
        <v>43.0</v>
      </c>
      <c r="AQ16" s="11" t="s">
        <v>426</v>
      </c>
      <c r="AR16" s="24">
        <v>19.0</v>
      </c>
      <c r="AS16" s="18" t="s">
        <v>477</v>
      </c>
      <c r="AT16" s="19" t="s">
        <v>487</v>
      </c>
      <c r="AU16" s="20">
        <v>43.0</v>
      </c>
      <c r="AV16" s="11" t="s">
        <v>426</v>
      </c>
      <c r="AW16" s="20">
        <v>19.0</v>
      </c>
      <c r="AX16" s="19" t="s">
        <v>477</v>
      </c>
      <c r="AY16" s="21" t="s">
        <v>487</v>
      </c>
      <c r="AZ16" s="22">
        <v>43.0</v>
      </c>
      <c r="BA16" s="11" t="s">
        <v>426</v>
      </c>
      <c r="BB16" s="22">
        <v>19.0</v>
      </c>
      <c r="BC16" s="21" t="s">
        <v>477</v>
      </c>
      <c r="BD16" s="6"/>
    </row>
    <row r="17">
      <c r="B17" s="8" t="s">
        <v>467</v>
      </c>
      <c r="D17" s="27">
        <v>32.0</v>
      </c>
      <c r="E17" s="27">
        <v>33.0</v>
      </c>
      <c r="F17" s="27">
        <v>34.0</v>
      </c>
      <c r="G17" s="27">
        <v>35.0</v>
      </c>
      <c r="H17" s="27">
        <v>36.0</v>
      </c>
      <c r="I17" s="27">
        <v>37.0</v>
      </c>
      <c r="J17" s="27">
        <v>38.0</v>
      </c>
      <c r="K17" s="27">
        <v>39.0</v>
      </c>
      <c r="L17" s="27">
        <v>40.0</v>
      </c>
      <c r="M17" s="27">
        <v>41.0</v>
      </c>
      <c r="N17" s="27">
        <v>42.0</v>
      </c>
      <c r="O17" s="27">
        <v>43.0</v>
      </c>
      <c r="P17" s="27">
        <v>44.0</v>
      </c>
      <c r="Q17" s="27">
        <v>45.0</v>
      </c>
      <c r="R17" s="27">
        <v>46.0</v>
      </c>
      <c r="S17" s="27">
        <v>47.0</v>
      </c>
      <c r="T17" s="27">
        <v>48.0</v>
      </c>
      <c r="U17" s="27">
        <v>49.0</v>
      </c>
      <c r="V17" s="27">
        <v>50.0</v>
      </c>
      <c r="W17" s="27">
        <v>51.0</v>
      </c>
      <c r="X17" s="27">
        <v>52.0</v>
      </c>
      <c r="Y17" s="27">
        <v>53.0</v>
      </c>
      <c r="Z17" s="27">
        <v>54.0</v>
      </c>
      <c r="AA17" s="27">
        <v>55.0</v>
      </c>
      <c r="AB17" s="27">
        <v>56.0</v>
      </c>
      <c r="AC17" s="27">
        <v>57.0</v>
      </c>
      <c r="AD17" s="27">
        <v>58.0</v>
      </c>
      <c r="AE17" s="27">
        <v>59.0</v>
      </c>
      <c r="AF17" s="27">
        <v>60.0</v>
      </c>
      <c r="AG17" s="27">
        <v>61.0</v>
      </c>
      <c r="AH17" s="27">
        <v>62.0</v>
      </c>
      <c r="AI17" s="11" t="s">
        <v>426</v>
      </c>
      <c r="AJ17" s="25" t="s">
        <v>487</v>
      </c>
      <c r="AK17" s="23">
        <v>43.0</v>
      </c>
      <c r="AL17" s="11" t="s">
        <v>426</v>
      </c>
      <c r="AM17" s="23">
        <v>18.0</v>
      </c>
      <c r="AP17" s="24">
        <v>44.0</v>
      </c>
      <c r="AQ17" s="11" t="s">
        <v>426</v>
      </c>
      <c r="AR17" s="24">
        <v>18.0</v>
      </c>
      <c r="AU17" s="20">
        <v>44.0</v>
      </c>
      <c r="AV17" s="11" t="s">
        <v>426</v>
      </c>
      <c r="AW17" s="20">
        <v>18.0</v>
      </c>
      <c r="AZ17" s="22">
        <v>44.0</v>
      </c>
      <c r="BA17" s="11" t="s">
        <v>426</v>
      </c>
      <c r="BB17" s="22">
        <v>18.0</v>
      </c>
      <c r="BD17" s="6"/>
    </row>
    <row r="18">
      <c r="B18" s="8" t="s">
        <v>467</v>
      </c>
      <c r="D18" s="1"/>
      <c r="E18" s="28" t="s">
        <v>439</v>
      </c>
      <c r="K18" s="28" t="s">
        <v>458</v>
      </c>
      <c r="Q18" s="28" t="s">
        <v>487</v>
      </c>
      <c r="W18" s="28" t="s">
        <v>494</v>
      </c>
      <c r="AC18" s="28" t="s">
        <v>495</v>
      </c>
      <c r="AI18" s="11" t="s">
        <v>426</v>
      </c>
      <c r="AK18" s="23">
        <v>44.0</v>
      </c>
      <c r="AL18" s="11" t="s">
        <v>426</v>
      </c>
      <c r="AM18" s="23">
        <v>17.0</v>
      </c>
      <c r="AP18" s="24">
        <v>45.0</v>
      </c>
      <c r="AQ18" s="11" t="s">
        <v>426</v>
      </c>
      <c r="AR18" s="24">
        <v>17.0</v>
      </c>
      <c r="AU18" s="20">
        <v>45.0</v>
      </c>
      <c r="AV18" s="11" t="s">
        <v>426</v>
      </c>
      <c r="AW18" s="20">
        <v>17.0</v>
      </c>
      <c r="AZ18" s="22">
        <v>45.0</v>
      </c>
      <c r="BA18" s="11" t="s">
        <v>426</v>
      </c>
      <c r="BB18" s="22">
        <v>17.0</v>
      </c>
      <c r="BD18" s="6"/>
    </row>
    <row r="19">
      <c r="B19" s="8" t="s">
        <v>467</v>
      </c>
      <c r="E19" s="29" t="s">
        <v>443</v>
      </c>
      <c r="K19" s="29" t="s">
        <v>460</v>
      </c>
      <c r="Q19" s="29" t="s">
        <v>477</v>
      </c>
      <c r="W19" s="29" t="s">
        <v>478</v>
      </c>
      <c r="AC19" s="29" t="s">
        <v>479</v>
      </c>
      <c r="AI19" s="11" t="s">
        <v>426</v>
      </c>
      <c r="AK19" s="23">
        <v>45.0</v>
      </c>
      <c r="AL19" s="11" t="s">
        <v>426</v>
      </c>
      <c r="AM19" s="23">
        <v>16.0</v>
      </c>
      <c r="AP19" s="24">
        <v>46.0</v>
      </c>
      <c r="AQ19" s="11" t="s">
        <v>426</v>
      </c>
      <c r="AR19" s="24">
        <v>16.0</v>
      </c>
      <c r="AU19" s="20">
        <v>46.0</v>
      </c>
      <c r="AV19" s="11" t="s">
        <v>426</v>
      </c>
      <c r="AW19" s="20">
        <v>16.0</v>
      </c>
      <c r="AZ19" s="22">
        <v>46.0</v>
      </c>
      <c r="BA19" s="11" t="s">
        <v>426</v>
      </c>
      <c r="BB19" s="22">
        <v>16.0</v>
      </c>
      <c r="BD19" s="6"/>
    </row>
    <row r="20">
      <c r="B20" s="8" t="s">
        <v>467</v>
      </c>
      <c r="C20" s="1" t="s">
        <v>501</v>
      </c>
      <c r="D20" s="4">
        <v>31.0</v>
      </c>
      <c r="E20" s="4">
        <v>30.0</v>
      </c>
      <c r="F20" s="4">
        <v>29.0</v>
      </c>
      <c r="G20" s="30">
        <v>28.0</v>
      </c>
      <c r="H20" s="30">
        <v>27.0</v>
      </c>
      <c r="I20" s="30">
        <v>26.0</v>
      </c>
      <c r="J20" s="30">
        <v>25.0</v>
      </c>
      <c r="K20" s="30">
        <v>24.0</v>
      </c>
      <c r="L20" s="30">
        <v>23.0</v>
      </c>
      <c r="M20" s="30">
        <v>22.0</v>
      </c>
      <c r="N20" s="30">
        <v>21.0</v>
      </c>
      <c r="O20" s="30">
        <v>20.0</v>
      </c>
      <c r="P20" s="30">
        <v>19.0</v>
      </c>
      <c r="Q20" s="30">
        <v>18.0</v>
      </c>
      <c r="R20" s="30">
        <v>17.0</v>
      </c>
      <c r="S20" s="30">
        <v>16.0</v>
      </c>
      <c r="T20" s="30">
        <v>15.0</v>
      </c>
      <c r="U20" s="30">
        <v>14.0</v>
      </c>
      <c r="V20" s="30">
        <v>13.0</v>
      </c>
      <c r="W20" s="30">
        <v>12.0</v>
      </c>
      <c r="X20" s="30">
        <v>11.0</v>
      </c>
      <c r="Y20" s="30">
        <v>10.0</v>
      </c>
      <c r="Z20" s="30">
        <v>9.0</v>
      </c>
      <c r="AA20" s="30">
        <v>8.0</v>
      </c>
      <c r="AB20" s="30">
        <v>7.0</v>
      </c>
      <c r="AC20" s="30">
        <v>6.0</v>
      </c>
      <c r="AD20" s="30">
        <v>5.0</v>
      </c>
      <c r="AE20" s="30">
        <v>4.0</v>
      </c>
      <c r="AF20" s="30">
        <v>3.0</v>
      </c>
      <c r="AG20" s="31">
        <v>2.0</v>
      </c>
      <c r="AH20" s="30">
        <v>1.0</v>
      </c>
      <c r="AI20" s="11" t="s">
        <v>426</v>
      </c>
      <c r="AK20" s="23">
        <v>46.0</v>
      </c>
      <c r="AL20" s="11" t="s">
        <v>426</v>
      </c>
      <c r="AM20" s="23">
        <v>15.0</v>
      </c>
      <c r="AP20" s="24">
        <v>47.0</v>
      </c>
      <c r="AQ20" s="11" t="s">
        <v>426</v>
      </c>
      <c r="AR20" s="24">
        <v>15.0</v>
      </c>
      <c r="AU20" s="20">
        <v>47.0</v>
      </c>
      <c r="AV20" s="11" t="s">
        <v>426</v>
      </c>
      <c r="AW20" s="20">
        <v>15.0</v>
      </c>
      <c r="AZ20" s="22">
        <v>47.0</v>
      </c>
      <c r="BA20" s="11" t="s">
        <v>426</v>
      </c>
      <c r="BB20" s="22">
        <v>15.0</v>
      </c>
      <c r="BD20" s="6"/>
    </row>
    <row r="21">
      <c r="B21" s="8" t="s">
        <v>467</v>
      </c>
      <c r="D21" s="11" t="s">
        <v>426</v>
      </c>
      <c r="E21" s="11" t="s">
        <v>426</v>
      </c>
      <c r="F21" s="11" t="s">
        <v>426</v>
      </c>
      <c r="G21" s="11" t="s">
        <v>426</v>
      </c>
      <c r="H21" s="11" t="s">
        <v>426</v>
      </c>
      <c r="I21" s="11" t="s">
        <v>426</v>
      </c>
      <c r="J21" s="11" t="s">
        <v>426</v>
      </c>
      <c r="K21" s="11" t="s">
        <v>426</v>
      </c>
      <c r="L21" s="11" t="s">
        <v>426</v>
      </c>
      <c r="M21" s="11" t="s">
        <v>426</v>
      </c>
      <c r="N21" s="11" t="s">
        <v>426</v>
      </c>
      <c r="O21" s="11" t="s">
        <v>426</v>
      </c>
      <c r="P21" s="11" t="s">
        <v>426</v>
      </c>
      <c r="Q21" s="11" t="s">
        <v>426</v>
      </c>
      <c r="R21" s="11" t="s">
        <v>426</v>
      </c>
      <c r="S21" s="11" t="s">
        <v>426</v>
      </c>
      <c r="T21" s="11" t="s">
        <v>426</v>
      </c>
      <c r="U21" s="11" t="s">
        <v>426</v>
      </c>
      <c r="V21" s="11" t="s">
        <v>426</v>
      </c>
      <c r="W21" s="11" t="s">
        <v>426</v>
      </c>
      <c r="X21" s="11" t="s">
        <v>426</v>
      </c>
      <c r="Y21" s="11" t="s">
        <v>426</v>
      </c>
      <c r="Z21" s="11" t="s">
        <v>426</v>
      </c>
      <c r="AA21" s="11" t="s">
        <v>426</v>
      </c>
      <c r="AB21" s="11" t="s">
        <v>426</v>
      </c>
      <c r="AC21" s="11" t="s">
        <v>426</v>
      </c>
      <c r="AD21" s="11" t="s">
        <v>426</v>
      </c>
      <c r="AE21" s="11" t="s">
        <v>426</v>
      </c>
      <c r="AF21" s="11" t="s">
        <v>426</v>
      </c>
      <c r="AG21" s="11" t="s">
        <v>426</v>
      </c>
      <c r="AH21" s="11" t="s">
        <v>426</v>
      </c>
      <c r="AI21" s="11" t="s">
        <v>426</v>
      </c>
      <c r="AK21" s="23">
        <v>47.0</v>
      </c>
      <c r="AL21" s="11" t="s">
        <v>426</v>
      </c>
      <c r="AM21" s="23">
        <v>14.0</v>
      </c>
      <c r="AP21" s="24">
        <v>48.0</v>
      </c>
      <c r="AQ21" s="11" t="s">
        <v>426</v>
      </c>
      <c r="AR21" s="24">
        <v>14.0</v>
      </c>
      <c r="AU21" s="20">
        <v>48.0</v>
      </c>
      <c r="AV21" s="11" t="s">
        <v>426</v>
      </c>
      <c r="AW21" s="20">
        <v>14.0</v>
      </c>
      <c r="AZ21" s="22">
        <v>48.0</v>
      </c>
      <c r="BA21" s="11" t="s">
        <v>426</v>
      </c>
      <c r="BB21" s="22">
        <v>14.0</v>
      </c>
      <c r="BD21" s="6"/>
    </row>
    <row r="22">
      <c r="B22" s="8" t="s">
        <v>467</v>
      </c>
      <c r="E22" s="4">
        <v>32.0</v>
      </c>
      <c r="F22" s="4">
        <v>33.0</v>
      </c>
      <c r="G22" s="4">
        <v>34.0</v>
      </c>
      <c r="H22" s="30">
        <v>35.0</v>
      </c>
      <c r="I22" s="30">
        <v>36.0</v>
      </c>
      <c r="J22" s="30">
        <v>37.0</v>
      </c>
      <c r="K22" s="30">
        <v>38.0</v>
      </c>
      <c r="L22" s="30">
        <v>39.0</v>
      </c>
      <c r="M22" s="30">
        <v>40.0</v>
      </c>
      <c r="N22" s="30">
        <v>41.0</v>
      </c>
      <c r="O22" s="30">
        <v>42.0</v>
      </c>
      <c r="P22" s="30">
        <v>43.0</v>
      </c>
      <c r="Q22" s="30">
        <v>44.0</v>
      </c>
      <c r="R22" s="30">
        <v>45.0</v>
      </c>
      <c r="S22" s="30">
        <v>46.0</v>
      </c>
      <c r="T22" s="30">
        <v>47.0</v>
      </c>
      <c r="U22" s="30">
        <v>48.0</v>
      </c>
      <c r="V22" s="30">
        <v>49.0</v>
      </c>
      <c r="W22" s="30">
        <v>50.0</v>
      </c>
      <c r="X22" s="30">
        <v>51.0</v>
      </c>
      <c r="Y22" s="30">
        <v>52.0</v>
      </c>
      <c r="Z22" s="30">
        <v>53.0</v>
      </c>
      <c r="AA22" s="30">
        <v>54.0</v>
      </c>
      <c r="AB22" s="30">
        <v>55.0</v>
      </c>
      <c r="AC22" s="30">
        <v>56.0</v>
      </c>
      <c r="AD22" s="30">
        <v>57.0</v>
      </c>
      <c r="AE22" s="30">
        <v>58.0</v>
      </c>
      <c r="AF22" s="30">
        <v>59.0</v>
      </c>
      <c r="AG22" s="30">
        <v>60.0</v>
      </c>
      <c r="AH22" s="30">
        <v>61.0</v>
      </c>
      <c r="AI22" s="30">
        <v>62.0</v>
      </c>
      <c r="AK22" s="23">
        <v>48.0</v>
      </c>
      <c r="AL22" s="11" t="s">
        <v>426</v>
      </c>
      <c r="AM22" s="23">
        <v>13.0</v>
      </c>
      <c r="AN22" s="25" t="s">
        <v>478</v>
      </c>
      <c r="AO22" s="18" t="s">
        <v>494</v>
      </c>
      <c r="AP22" s="24">
        <v>49.0</v>
      </c>
      <c r="AQ22" s="11" t="s">
        <v>426</v>
      </c>
      <c r="AR22" s="24">
        <v>13.0</v>
      </c>
      <c r="AS22" s="18" t="s">
        <v>478</v>
      </c>
      <c r="AT22" s="19" t="s">
        <v>494</v>
      </c>
      <c r="AU22" s="20">
        <v>49.0</v>
      </c>
      <c r="AV22" s="11" t="s">
        <v>426</v>
      </c>
      <c r="AW22" s="20">
        <v>13.0</v>
      </c>
      <c r="AX22" s="19" t="s">
        <v>478</v>
      </c>
      <c r="AY22" s="21" t="s">
        <v>494</v>
      </c>
      <c r="AZ22" s="22">
        <v>49.0</v>
      </c>
      <c r="BA22" s="11" t="s">
        <v>426</v>
      </c>
      <c r="BB22" s="22">
        <v>13.0</v>
      </c>
      <c r="BC22" s="21" t="s">
        <v>478</v>
      </c>
      <c r="BD22" s="6"/>
    </row>
    <row r="23">
      <c r="B23" s="8" t="s">
        <v>467</v>
      </c>
      <c r="F23" s="29" t="s">
        <v>439</v>
      </c>
      <c r="L23" s="29" t="s">
        <v>458</v>
      </c>
      <c r="R23" s="29" t="s">
        <v>487</v>
      </c>
      <c r="X23" s="29" t="s">
        <v>494</v>
      </c>
      <c r="AD23" s="29" t="s">
        <v>495</v>
      </c>
      <c r="AJ23" s="25" t="s">
        <v>494</v>
      </c>
      <c r="AK23" s="23">
        <v>49.0</v>
      </c>
      <c r="AL23" s="11" t="s">
        <v>426</v>
      </c>
      <c r="AM23" s="23">
        <v>12.0</v>
      </c>
      <c r="AP23" s="24">
        <v>50.0</v>
      </c>
      <c r="AQ23" s="11" t="s">
        <v>426</v>
      </c>
      <c r="AR23" s="24">
        <v>12.0</v>
      </c>
      <c r="AU23" s="20">
        <v>50.0</v>
      </c>
      <c r="AV23" s="11" t="s">
        <v>426</v>
      </c>
      <c r="AW23" s="20">
        <v>12.0</v>
      </c>
      <c r="AZ23" s="22">
        <v>50.0</v>
      </c>
      <c r="BA23" s="11" t="s">
        <v>426</v>
      </c>
      <c r="BB23" s="22">
        <v>12.0</v>
      </c>
      <c r="BD23" s="6"/>
    </row>
    <row r="24">
      <c r="B24" s="8" t="s">
        <v>467</v>
      </c>
      <c r="C24" s="8" t="s">
        <v>467</v>
      </c>
      <c r="D24" s="8" t="s">
        <v>467</v>
      </c>
      <c r="E24" s="8" t="s">
        <v>467</v>
      </c>
      <c r="F24" s="8" t="s">
        <v>467</v>
      </c>
      <c r="G24" s="8" t="s">
        <v>467</v>
      </c>
      <c r="H24" s="8" t="s">
        <v>467</v>
      </c>
      <c r="I24" s="8" t="s">
        <v>467</v>
      </c>
      <c r="J24" s="8" t="s">
        <v>467</v>
      </c>
      <c r="K24" s="8" t="s">
        <v>467</v>
      </c>
      <c r="L24" s="8" t="s">
        <v>467</v>
      </c>
      <c r="M24" s="8" t="s">
        <v>467</v>
      </c>
      <c r="N24" s="8" t="s">
        <v>467</v>
      </c>
      <c r="O24" s="8" t="s">
        <v>467</v>
      </c>
      <c r="P24" s="8" t="s">
        <v>467</v>
      </c>
      <c r="Q24" s="8" t="s">
        <v>467</v>
      </c>
      <c r="R24" s="8" t="s">
        <v>467</v>
      </c>
      <c r="S24" s="8" t="s">
        <v>467</v>
      </c>
      <c r="T24" s="8" t="s">
        <v>467</v>
      </c>
      <c r="U24" s="8" t="s">
        <v>467</v>
      </c>
      <c r="V24" s="8" t="s">
        <v>467</v>
      </c>
      <c r="W24" s="8" t="s">
        <v>467</v>
      </c>
      <c r="X24" s="8" t="s">
        <v>467</v>
      </c>
      <c r="Y24" s="8" t="s">
        <v>467</v>
      </c>
      <c r="Z24" s="8" t="s">
        <v>467</v>
      </c>
      <c r="AA24" s="8" t="s">
        <v>467</v>
      </c>
      <c r="AB24" s="8" t="s">
        <v>467</v>
      </c>
      <c r="AC24" s="8" t="s">
        <v>467</v>
      </c>
      <c r="AD24" s="8" t="s">
        <v>467</v>
      </c>
      <c r="AE24" s="8" t="s">
        <v>467</v>
      </c>
      <c r="AF24" s="8" t="s">
        <v>467</v>
      </c>
      <c r="AG24" s="8" t="s">
        <v>467</v>
      </c>
      <c r="AH24" s="8" t="s">
        <v>467</v>
      </c>
      <c r="AI24" s="8" t="s">
        <v>467</v>
      </c>
      <c r="AK24" s="23">
        <v>50.0</v>
      </c>
      <c r="AL24" s="11" t="s">
        <v>426</v>
      </c>
      <c r="AM24" s="23">
        <v>11.0</v>
      </c>
      <c r="AP24" s="24">
        <v>51.0</v>
      </c>
      <c r="AQ24" s="11" t="s">
        <v>426</v>
      </c>
      <c r="AR24" s="24">
        <v>11.0</v>
      </c>
      <c r="AU24" s="20">
        <v>51.0</v>
      </c>
      <c r="AV24" s="11" t="s">
        <v>426</v>
      </c>
      <c r="AW24" s="20">
        <v>11.0</v>
      </c>
      <c r="AZ24" s="22">
        <v>51.0</v>
      </c>
      <c r="BA24" s="11" t="s">
        <v>426</v>
      </c>
      <c r="BB24" s="22">
        <v>11.0</v>
      </c>
      <c r="BD24" s="6"/>
    </row>
    <row r="25">
      <c r="AI25" s="8" t="s">
        <v>467</v>
      </c>
      <c r="AK25" s="23">
        <v>51.0</v>
      </c>
      <c r="AL25" s="11" t="s">
        <v>426</v>
      </c>
      <c r="AM25" s="23">
        <v>10.0</v>
      </c>
      <c r="AP25" s="24">
        <v>52.0</v>
      </c>
      <c r="AQ25" s="11" t="s">
        <v>426</v>
      </c>
      <c r="AR25" s="24">
        <v>10.0</v>
      </c>
      <c r="AU25" s="20">
        <v>52.0</v>
      </c>
      <c r="AV25" s="11" t="s">
        <v>426</v>
      </c>
      <c r="AW25" s="20">
        <v>10.0</v>
      </c>
      <c r="AZ25" s="22">
        <v>52.0</v>
      </c>
      <c r="BA25" s="11" t="s">
        <v>426</v>
      </c>
      <c r="BB25" s="22">
        <v>10.0</v>
      </c>
      <c r="BD25" s="6"/>
    </row>
    <row r="26">
      <c r="AI26" s="8" t="s">
        <v>467</v>
      </c>
      <c r="AK26" s="23">
        <v>52.0</v>
      </c>
      <c r="AL26" s="11" t="s">
        <v>426</v>
      </c>
      <c r="AM26" s="23">
        <v>9.0</v>
      </c>
      <c r="AP26" s="24">
        <v>53.0</v>
      </c>
      <c r="AQ26" s="11" t="s">
        <v>426</v>
      </c>
      <c r="AR26" s="24">
        <v>9.0</v>
      </c>
      <c r="AU26" s="20">
        <v>53.0</v>
      </c>
      <c r="AV26" s="11" t="s">
        <v>426</v>
      </c>
      <c r="AW26" s="20">
        <v>9.0</v>
      </c>
      <c r="AZ26" s="22">
        <v>53.0</v>
      </c>
      <c r="BA26" s="11" t="s">
        <v>426</v>
      </c>
      <c r="BB26" s="22">
        <v>9.0</v>
      </c>
      <c r="BD26" s="6"/>
    </row>
    <row r="27">
      <c r="AI27" s="8" t="s">
        <v>467</v>
      </c>
      <c r="AK27" s="23">
        <v>53.0</v>
      </c>
      <c r="AL27" s="11" t="s">
        <v>426</v>
      </c>
      <c r="AM27" s="23">
        <v>8.0</v>
      </c>
      <c r="AP27" s="24">
        <v>54.0</v>
      </c>
      <c r="AQ27" s="11" t="s">
        <v>426</v>
      </c>
      <c r="AR27" s="24">
        <v>8.0</v>
      </c>
      <c r="AU27" s="20">
        <v>54.0</v>
      </c>
      <c r="AV27" s="11" t="s">
        <v>426</v>
      </c>
      <c r="AW27" s="20">
        <v>8.0</v>
      </c>
      <c r="AZ27" s="22">
        <v>54.0</v>
      </c>
      <c r="BA27" s="11" t="s">
        <v>426</v>
      </c>
      <c r="BB27" s="22">
        <v>8.0</v>
      </c>
      <c r="BD27" s="6"/>
    </row>
    <row r="28">
      <c r="AI28" s="8" t="s">
        <v>467</v>
      </c>
      <c r="AK28" s="23">
        <v>54.0</v>
      </c>
      <c r="AL28" s="11" t="s">
        <v>426</v>
      </c>
      <c r="AM28" s="23">
        <v>7.0</v>
      </c>
      <c r="AP28" s="24">
        <v>55.0</v>
      </c>
      <c r="AQ28" s="11" t="s">
        <v>426</v>
      </c>
      <c r="AR28" s="24">
        <v>7.0</v>
      </c>
      <c r="AU28" s="20">
        <v>55.0</v>
      </c>
      <c r="AV28" s="11" t="s">
        <v>426</v>
      </c>
      <c r="AW28" s="20">
        <v>7.0</v>
      </c>
      <c r="AZ28" s="22">
        <v>55.0</v>
      </c>
      <c r="BA28" s="11" t="s">
        <v>426</v>
      </c>
      <c r="BB28" s="22">
        <v>7.0</v>
      </c>
      <c r="BD28" s="6"/>
    </row>
    <row r="29">
      <c r="AI29" s="8" t="s">
        <v>467</v>
      </c>
      <c r="AK29" s="23">
        <v>55.0</v>
      </c>
      <c r="AL29" s="11" t="s">
        <v>426</v>
      </c>
      <c r="AM29" s="23">
        <v>6.0</v>
      </c>
      <c r="AN29" s="25" t="s">
        <v>479</v>
      </c>
      <c r="AO29" s="18" t="s">
        <v>495</v>
      </c>
      <c r="AP29" s="24">
        <v>56.0</v>
      </c>
      <c r="AQ29" s="11" t="s">
        <v>426</v>
      </c>
      <c r="AR29" s="24">
        <v>6.0</v>
      </c>
      <c r="AS29" s="18" t="s">
        <v>479</v>
      </c>
      <c r="AT29" s="19" t="s">
        <v>495</v>
      </c>
      <c r="AU29" s="20">
        <v>56.0</v>
      </c>
      <c r="AV29" s="11" t="s">
        <v>426</v>
      </c>
      <c r="AW29" s="20">
        <v>6.0</v>
      </c>
      <c r="AX29" s="19" t="s">
        <v>479</v>
      </c>
      <c r="AY29" s="21" t="s">
        <v>495</v>
      </c>
      <c r="AZ29" s="22">
        <v>56.0</v>
      </c>
      <c r="BA29" s="11" t="s">
        <v>426</v>
      </c>
      <c r="BB29" s="22">
        <v>6.0</v>
      </c>
      <c r="BC29" s="21" t="s">
        <v>479</v>
      </c>
      <c r="BD29" s="6"/>
    </row>
    <row r="30">
      <c r="AI30" s="8" t="s">
        <v>467</v>
      </c>
      <c r="AJ30" s="25" t="s">
        <v>495</v>
      </c>
      <c r="AK30" s="23">
        <v>56.0</v>
      </c>
      <c r="AL30" s="11" t="s">
        <v>426</v>
      </c>
      <c r="AM30" s="23">
        <v>5.0</v>
      </c>
      <c r="AP30" s="24">
        <v>57.0</v>
      </c>
      <c r="AQ30" s="11" t="s">
        <v>426</v>
      </c>
      <c r="AR30" s="24">
        <v>5.0</v>
      </c>
      <c r="AU30" s="20">
        <v>57.0</v>
      </c>
      <c r="AV30" s="11" t="s">
        <v>426</v>
      </c>
      <c r="AW30" s="20">
        <v>5.0</v>
      </c>
      <c r="AZ30" s="22">
        <v>57.0</v>
      </c>
      <c r="BA30" s="11" t="s">
        <v>426</v>
      </c>
      <c r="BB30" s="22">
        <v>5.0</v>
      </c>
      <c r="BD30" s="6"/>
    </row>
    <row r="31">
      <c r="AI31" s="8" t="s">
        <v>467</v>
      </c>
      <c r="AK31" s="23">
        <v>57.0</v>
      </c>
      <c r="AL31" s="11" t="s">
        <v>426</v>
      </c>
      <c r="AM31" s="23">
        <v>4.0</v>
      </c>
      <c r="AP31" s="24">
        <v>58.0</v>
      </c>
      <c r="AQ31" s="11" t="s">
        <v>426</v>
      </c>
      <c r="AR31" s="24">
        <v>4.0</v>
      </c>
      <c r="AU31" s="20">
        <v>58.0</v>
      </c>
      <c r="AV31" s="11" t="s">
        <v>426</v>
      </c>
      <c r="AW31" s="20">
        <v>4.0</v>
      </c>
      <c r="AZ31" s="22">
        <v>58.0</v>
      </c>
      <c r="BA31" s="11" t="s">
        <v>426</v>
      </c>
      <c r="BB31" s="22">
        <v>4.0</v>
      </c>
      <c r="BD31" s="6"/>
    </row>
    <row r="32">
      <c r="AI32" s="8" t="s">
        <v>467</v>
      </c>
      <c r="AK32" s="23">
        <v>58.0</v>
      </c>
      <c r="AL32" s="11" t="s">
        <v>426</v>
      </c>
      <c r="AM32" s="23">
        <v>3.0</v>
      </c>
      <c r="AP32" s="24">
        <v>59.0</v>
      </c>
      <c r="AQ32" s="11" t="s">
        <v>426</v>
      </c>
      <c r="AR32" s="24">
        <v>3.0</v>
      </c>
      <c r="AU32" s="20">
        <v>59.0</v>
      </c>
      <c r="AV32" s="11" t="s">
        <v>426</v>
      </c>
      <c r="AW32" s="20">
        <v>3.0</v>
      </c>
      <c r="AZ32" s="22">
        <v>59.0</v>
      </c>
      <c r="BA32" s="11" t="s">
        <v>426</v>
      </c>
      <c r="BB32" s="22">
        <v>3.0</v>
      </c>
      <c r="BD32" s="6"/>
    </row>
    <row r="33">
      <c r="AI33" s="8" t="s">
        <v>467</v>
      </c>
      <c r="AK33" s="23">
        <v>59.0</v>
      </c>
      <c r="AL33" s="11" t="s">
        <v>426</v>
      </c>
      <c r="AM33" s="23">
        <v>2.0</v>
      </c>
      <c r="AP33" s="24">
        <v>60.0</v>
      </c>
      <c r="AQ33" s="11" t="s">
        <v>426</v>
      </c>
      <c r="AR33" s="24">
        <v>2.0</v>
      </c>
      <c r="AU33" s="20">
        <v>60.0</v>
      </c>
      <c r="AV33" s="11" t="s">
        <v>426</v>
      </c>
      <c r="AW33" s="20">
        <v>2.0</v>
      </c>
      <c r="AZ33" s="22">
        <v>60.0</v>
      </c>
      <c r="BA33" s="11" t="s">
        <v>426</v>
      </c>
      <c r="BB33" s="22">
        <v>2.0</v>
      </c>
      <c r="BD33" s="6"/>
    </row>
    <row r="34">
      <c r="AI34" s="8" t="s">
        <v>467</v>
      </c>
      <c r="AK34" s="23">
        <v>60.0</v>
      </c>
      <c r="AL34" s="11" t="s">
        <v>426</v>
      </c>
      <c r="AM34" s="23" t="s">
        <v>533</v>
      </c>
      <c r="AP34" s="24">
        <v>61.0</v>
      </c>
      <c r="AQ34" s="11" t="s">
        <v>426</v>
      </c>
      <c r="AR34" s="24" t="s">
        <v>533</v>
      </c>
      <c r="AU34" s="20">
        <v>61.0</v>
      </c>
      <c r="AV34" s="11" t="s">
        <v>426</v>
      </c>
      <c r="AW34" s="20" t="s">
        <v>533</v>
      </c>
      <c r="AZ34" s="22">
        <v>61.0</v>
      </c>
      <c r="BA34" s="11" t="s">
        <v>426</v>
      </c>
      <c r="BB34" s="22" t="s">
        <v>533</v>
      </c>
      <c r="BD34" s="6"/>
    </row>
    <row r="35">
      <c r="AI35" s="8" t="s">
        <v>467</v>
      </c>
      <c r="AK35" s="23">
        <v>61.0</v>
      </c>
      <c r="AL35" s="12" t="s">
        <v>426</v>
      </c>
      <c r="AM35" s="12" t="s">
        <v>426</v>
      </c>
      <c r="AN35" s="12" t="s">
        <v>426</v>
      </c>
      <c r="AO35" s="12" t="s">
        <v>426</v>
      </c>
      <c r="AP35" s="12" t="s">
        <v>426</v>
      </c>
      <c r="AQ35" s="12" t="s">
        <v>426</v>
      </c>
      <c r="AR35" s="12" t="s">
        <v>426</v>
      </c>
      <c r="AS35" s="12" t="s">
        <v>426</v>
      </c>
      <c r="AT35" s="12" t="s">
        <v>426</v>
      </c>
      <c r="AU35" s="12" t="s">
        <v>426</v>
      </c>
      <c r="AV35" s="12" t="s">
        <v>426</v>
      </c>
      <c r="AW35" s="12" t="s">
        <v>426</v>
      </c>
      <c r="AX35" s="12" t="s">
        <v>426</v>
      </c>
      <c r="AY35" s="12" t="s">
        <v>426</v>
      </c>
      <c r="AZ35" s="12" t="s">
        <v>426</v>
      </c>
      <c r="BA35" s="12" t="s">
        <v>426</v>
      </c>
      <c r="BD35" s="6"/>
    </row>
    <row r="36">
      <c r="AI36" s="8" t="s">
        <v>467</v>
      </c>
      <c r="AJ36" s="36" t="s">
        <v>538</v>
      </c>
      <c r="AK36" s="37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D36" s="6"/>
    </row>
    <row r="37">
      <c r="AI37" s="8" t="s">
        <v>467</v>
      </c>
      <c r="AJ37" s="39"/>
      <c r="AK37" s="40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D37" s="6"/>
    </row>
    <row r="38">
      <c r="AI38" s="8" t="s">
        <v>467</v>
      </c>
      <c r="AJ38" s="39"/>
      <c r="AK38" s="40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D38" s="6"/>
    </row>
    <row r="39">
      <c r="AI39" s="8" t="s">
        <v>467</v>
      </c>
      <c r="AJ39" s="39"/>
      <c r="AK39" s="40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D39" s="6"/>
    </row>
    <row r="40">
      <c r="AI40" s="8" t="s">
        <v>467</v>
      </c>
      <c r="AJ40" s="39"/>
      <c r="AK40" s="40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41" t="s">
        <v>558</v>
      </c>
      <c r="BA40" s="38"/>
      <c r="BD40" s="6"/>
    </row>
    <row r="41">
      <c r="AI41" s="8" t="s">
        <v>467</v>
      </c>
      <c r="AJ41" s="39"/>
      <c r="AK41" s="40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BA41" s="38"/>
      <c r="BD41" s="6"/>
    </row>
    <row r="42">
      <c r="AI42" s="8" t="s">
        <v>467</v>
      </c>
      <c r="AJ42" s="42"/>
      <c r="AK42" s="43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BA42" s="38"/>
      <c r="BD42" s="6"/>
    </row>
    <row r="43">
      <c r="AI43" s="8" t="s">
        <v>467</v>
      </c>
      <c r="AJ43" s="8" t="s">
        <v>467</v>
      </c>
      <c r="AK43" s="8" t="s">
        <v>467</v>
      </c>
      <c r="AL43" s="8" t="s">
        <v>467</v>
      </c>
      <c r="AM43" s="8" t="s">
        <v>467</v>
      </c>
      <c r="AN43" s="8" t="s">
        <v>467</v>
      </c>
      <c r="AO43" s="8" t="s">
        <v>467</v>
      </c>
      <c r="AP43" s="8" t="s">
        <v>467</v>
      </c>
      <c r="AQ43" s="8" t="s">
        <v>467</v>
      </c>
      <c r="AR43" s="8" t="s">
        <v>467</v>
      </c>
      <c r="AS43" s="8" t="s">
        <v>467</v>
      </c>
      <c r="AT43" s="8" t="s">
        <v>467</v>
      </c>
      <c r="AU43" s="8" t="s">
        <v>467</v>
      </c>
      <c r="AV43" s="8" t="s">
        <v>467</v>
      </c>
      <c r="BB43" s="6"/>
      <c r="BC43" s="6"/>
      <c r="BD43" s="6"/>
    </row>
  </sheetData>
  <mergeCells count="69">
    <mergeCell ref="AO16:AO21"/>
    <mergeCell ref="AS16:AS21"/>
    <mergeCell ref="AT16:AT21"/>
    <mergeCell ref="AX16:AX21"/>
    <mergeCell ref="AY16:AY21"/>
    <mergeCell ref="BC16:BC21"/>
    <mergeCell ref="AJ17:AJ22"/>
    <mergeCell ref="AN16:AN21"/>
    <mergeCell ref="AO22:AO28"/>
    <mergeCell ref="AS22:AS28"/>
    <mergeCell ref="AT22:AT28"/>
    <mergeCell ref="AX22:AX28"/>
    <mergeCell ref="AY22:AY28"/>
    <mergeCell ref="BC22:BC28"/>
    <mergeCell ref="AJ30:AJ35"/>
    <mergeCell ref="Z36:AE36"/>
    <mergeCell ref="AJ36:AK42"/>
    <mergeCell ref="P40:U40"/>
    <mergeCell ref="V46:AA46"/>
    <mergeCell ref="AB52:AH52"/>
    <mergeCell ref="AN29:AN34"/>
    <mergeCell ref="AO29:AO34"/>
    <mergeCell ref="AS29:AS34"/>
    <mergeCell ref="AT29:AT34"/>
    <mergeCell ref="AX29:AX34"/>
    <mergeCell ref="AY29:AY34"/>
    <mergeCell ref="BC29:BC34"/>
    <mergeCell ref="AW40:AZ42"/>
    <mergeCell ref="AN4:AN9"/>
    <mergeCell ref="AO4:AO9"/>
    <mergeCell ref="AS4:AS9"/>
    <mergeCell ref="AT4:AT9"/>
    <mergeCell ref="AX4:AX9"/>
    <mergeCell ref="AY4:AY9"/>
    <mergeCell ref="BC4:BC9"/>
    <mergeCell ref="AJ4:AJ9"/>
    <mergeCell ref="AJ10:AJ15"/>
    <mergeCell ref="AN10:AN15"/>
    <mergeCell ref="AO10:AO15"/>
    <mergeCell ref="AS10:AS15"/>
    <mergeCell ref="AT10:AT15"/>
    <mergeCell ref="AX10:AX15"/>
    <mergeCell ref="AY10:AY15"/>
    <mergeCell ref="BC10:BC15"/>
    <mergeCell ref="C14:C16"/>
    <mergeCell ref="L14:Q14"/>
    <mergeCell ref="R14:W14"/>
    <mergeCell ref="X14:AC14"/>
    <mergeCell ref="AD14:AI14"/>
    <mergeCell ref="K19:P19"/>
    <mergeCell ref="Q19:V19"/>
    <mergeCell ref="C20:C22"/>
    <mergeCell ref="F23:K23"/>
    <mergeCell ref="L23:Q23"/>
    <mergeCell ref="R23:W23"/>
    <mergeCell ref="X23:AC23"/>
    <mergeCell ref="AD23:AI23"/>
    <mergeCell ref="W19:AB19"/>
    <mergeCell ref="AC19:AH19"/>
    <mergeCell ref="F14:K14"/>
    <mergeCell ref="E18:J18"/>
    <mergeCell ref="K18:P18"/>
    <mergeCell ref="Q18:V18"/>
    <mergeCell ref="W18:AB18"/>
    <mergeCell ref="AC18:AH18"/>
    <mergeCell ref="E19:J19"/>
    <mergeCell ref="AN22:AN28"/>
    <mergeCell ref="AJ23:AJ29"/>
    <mergeCell ref="S29:Y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385</v>
      </c>
    </row>
    <row r="2">
      <c r="B2" s="1" t="s">
        <v>386</v>
      </c>
      <c r="C2" s="1" t="s">
        <v>387</v>
      </c>
      <c r="D2" s="10" t="s">
        <v>388</v>
      </c>
    </row>
    <row r="3">
      <c r="D3" s="10" t="s">
        <v>430</v>
      </c>
    </row>
  </sheetData>
  <hyperlinks>
    <hyperlink r:id="rId1" ref="D2"/>
    <hyperlink r:id="rId2" ref="D3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55.25"/>
    <col customWidth="1" min="3" max="8" width="18.88"/>
  </cols>
  <sheetData>
    <row r="1" ht="22.5" customHeight="1">
      <c r="A1" s="32" t="s">
        <v>523</v>
      </c>
      <c r="B1" s="33" t="s">
        <v>525</v>
      </c>
    </row>
    <row r="2" ht="22.5" customHeight="1">
      <c r="A2" s="34">
        <v>46253.02566907408</v>
      </c>
      <c r="B2" s="35" t="s">
        <v>526</v>
      </c>
    </row>
    <row r="3" ht="22.5" customHeight="1">
      <c r="A3" s="34">
        <v>46253.02634239584</v>
      </c>
      <c r="B3" s="35" t="s">
        <v>527</v>
      </c>
    </row>
    <row r="4" ht="22.5" customHeight="1">
      <c r="A4" s="34">
        <v>46253.026898703705</v>
      </c>
      <c r="B4" s="35" t="s">
        <v>528</v>
      </c>
    </row>
    <row r="5" ht="22.5" customHeight="1">
      <c r="A5" s="34">
        <v>46253.03534903935</v>
      </c>
      <c r="B5" s="35" t="s">
        <v>529</v>
      </c>
    </row>
    <row r="6" ht="22.5" customHeight="1">
      <c r="A6" s="34">
        <v>46253.04319090278</v>
      </c>
      <c r="B6" s="35" t="s">
        <v>531</v>
      </c>
    </row>
    <row r="7" ht="22.5" customHeight="1">
      <c r="A7" s="34">
        <v>46253.044333645834</v>
      </c>
      <c r="B7" s="35" t="s">
        <v>534</v>
      </c>
    </row>
    <row r="8" ht="22.5" customHeight="1">
      <c r="A8" s="34">
        <v>46253.050344421295</v>
      </c>
      <c r="B8" s="35" t="s">
        <v>536</v>
      </c>
    </row>
    <row r="9" ht="22.5" customHeight="1">
      <c r="A9" s="34">
        <v>46253.0508941088</v>
      </c>
      <c r="B9" s="35" t="s">
        <v>539</v>
      </c>
    </row>
    <row r="10" ht="22.5" customHeight="1">
      <c r="A10" s="34">
        <v>46253.05524988426</v>
      </c>
      <c r="B10" s="35" t="s">
        <v>541</v>
      </c>
    </row>
    <row r="11" ht="22.5" customHeight="1">
      <c r="A11" s="34">
        <v>46253.05651439815</v>
      </c>
      <c r="B11" s="35" t="s">
        <v>544</v>
      </c>
    </row>
    <row r="12" ht="22.5" customHeight="1">
      <c r="A12" s="34">
        <v>46253.05657417824</v>
      </c>
      <c r="B12" s="35" t="s">
        <v>559</v>
      </c>
    </row>
    <row r="13" ht="22.5" customHeight="1">
      <c r="A13" s="34">
        <v>46253.05658243055</v>
      </c>
      <c r="B13" s="35" t="s">
        <v>559</v>
      </c>
    </row>
    <row r="14" ht="22.5" customHeight="1">
      <c r="A14" s="34">
        <v>46253.05965225694</v>
      </c>
      <c r="B14" s="35" t="s">
        <v>575</v>
      </c>
    </row>
    <row r="15" ht="22.5" customHeight="1">
      <c r="A15" s="34">
        <v>46253.07736278935</v>
      </c>
      <c r="B15" s="35" t="s">
        <v>576</v>
      </c>
    </row>
    <row r="16" ht="22.5" customHeight="1">
      <c r="A16" s="34">
        <v>46254.785422326386</v>
      </c>
      <c r="B16" s="35" t="s">
        <v>577</v>
      </c>
    </row>
    <row r="17" ht="22.5" customHeight="1">
      <c r="A17" s="34">
        <v>46254.7859953588</v>
      </c>
      <c r="B17" s="35" t="s">
        <v>578</v>
      </c>
    </row>
    <row r="18" ht="22.5" customHeight="1">
      <c r="A18" s="34">
        <v>46254.801925949076</v>
      </c>
      <c r="B18" s="35" t="s">
        <v>579</v>
      </c>
    </row>
    <row r="19" ht="22.5" customHeight="1">
      <c r="A19" s="34">
        <v>46254.80478005787</v>
      </c>
      <c r="B19" s="35" t="s">
        <v>580</v>
      </c>
    </row>
    <row r="20" ht="22.5" customHeight="1">
      <c r="A20" s="34">
        <v>46255.65311472223</v>
      </c>
      <c r="B20" s="35" t="s">
        <v>581</v>
      </c>
    </row>
    <row r="21" ht="22.5" customHeight="1">
      <c r="A21" s="34">
        <v>46255.90456332176</v>
      </c>
      <c r="B21" s="35" t="s">
        <v>582</v>
      </c>
    </row>
    <row r="22" ht="22.5" customHeight="1">
      <c r="A22" s="34">
        <v>46255.9048822801</v>
      </c>
      <c r="B22" s="35" t="s">
        <v>583</v>
      </c>
    </row>
    <row r="23" ht="22.5" customHeight="1">
      <c r="A23" s="34">
        <v>46256.44193502315</v>
      </c>
      <c r="B23" s="35" t="s">
        <v>584</v>
      </c>
    </row>
    <row r="24" ht="22.5" customHeight="1">
      <c r="A24" s="34">
        <v>46257.75568429398</v>
      </c>
      <c r="B24" s="35" t="s">
        <v>585</v>
      </c>
    </row>
    <row r="25" ht="22.5" customHeight="1">
      <c r="A25" s="34">
        <v>46257.91856844907</v>
      </c>
      <c r="B25" s="35" t="s">
        <v>587</v>
      </c>
    </row>
    <row r="26" ht="22.5" customHeight="1">
      <c r="A26" s="34">
        <v>46257.91869152778</v>
      </c>
      <c r="B26" s="35" t="s">
        <v>590</v>
      </c>
    </row>
    <row r="27" ht="22.5" customHeight="1">
      <c r="A27" s="34">
        <v>46264.964500428236</v>
      </c>
      <c r="B27" s="35" t="s">
        <v>592</v>
      </c>
    </row>
    <row r="28" ht="22.5" customHeight="1">
      <c r="A28" s="34">
        <v>46264.96706393518</v>
      </c>
      <c r="B28" s="35" t="s">
        <v>596</v>
      </c>
    </row>
    <row r="29" ht="22.5" customHeight="1">
      <c r="A29" s="34">
        <v>46264.967177997685</v>
      </c>
      <c r="B29" s="35" t="s">
        <v>598</v>
      </c>
    </row>
    <row r="30" ht="22.5" customHeight="1">
      <c r="A30" s="34">
        <v>46264.99962814814</v>
      </c>
      <c r="B30" s="35" t="s">
        <v>602</v>
      </c>
    </row>
    <row r="31" ht="22.5" customHeight="1">
      <c r="A31" s="34">
        <v>46265.01678664352</v>
      </c>
      <c r="B31" s="35" t="s">
        <v>604</v>
      </c>
    </row>
    <row r="32" ht="22.5" customHeight="1">
      <c r="A32" s="34">
        <v>46266.64109265046</v>
      </c>
      <c r="B32" s="35" t="s">
        <v>605</v>
      </c>
    </row>
    <row r="33" ht="22.5" customHeight="1">
      <c r="A33" s="34">
        <v>46274.77119832176</v>
      </c>
      <c r="B33" s="35" t="s">
        <v>607</v>
      </c>
    </row>
    <row r="34" ht="22.5" customHeight="1">
      <c r="A34" s="34">
        <v>46274.77578454861</v>
      </c>
      <c r="B34" s="35" t="s">
        <v>612</v>
      </c>
    </row>
    <row r="35" ht="22.5" customHeight="1">
      <c r="A35" s="34">
        <v>46274.78084386574</v>
      </c>
      <c r="B35" s="35" t="s">
        <v>615</v>
      </c>
    </row>
    <row r="36" ht="22.5" customHeight="1">
      <c r="A36" s="34">
        <v>46274.840356597226</v>
      </c>
      <c r="B36" s="35" t="s">
        <v>618</v>
      </c>
    </row>
    <row r="37" ht="22.5" customHeight="1">
      <c r="A37" s="34">
        <v>46274.84965859954</v>
      </c>
      <c r="B37" s="35" t="s">
        <v>620</v>
      </c>
    </row>
    <row r="38" ht="22.5" customHeight="1">
      <c r="A38" s="34">
        <v>46277.54602568287</v>
      </c>
      <c r="B38" s="35" t="s">
        <v>621</v>
      </c>
    </row>
    <row r="39" ht="22.5" customHeight="1">
      <c r="A39" s="34">
        <v>46277.54608829861</v>
      </c>
      <c r="B39" s="35" t="s">
        <v>622</v>
      </c>
    </row>
    <row r="40" ht="22.5" customHeight="1">
      <c r="A40" s="34">
        <v>46277.57446903935</v>
      </c>
      <c r="B40" s="35" t="s">
        <v>623</v>
      </c>
    </row>
    <row r="41" ht="22.5" customHeight="1">
      <c r="A41" s="34">
        <v>46277.598829236114</v>
      </c>
      <c r="B41" s="35" t="s">
        <v>624</v>
      </c>
    </row>
    <row r="42" ht="22.5" customHeight="1">
      <c r="A42" s="34">
        <v>46277.59894542824</v>
      </c>
      <c r="B42" s="35" t="s">
        <v>625</v>
      </c>
    </row>
    <row r="43" ht="22.5" customHeight="1">
      <c r="A43" s="34">
        <v>46277.71939971065</v>
      </c>
      <c r="B43" s="35" t="s">
        <v>626</v>
      </c>
    </row>
    <row r="44" ht="22.5" customHeight="1">
      <c r="A44" s="34">
        <v>46277.80143033565</v>
      </c>
      <c r="B44" s="35" t="s">
        <v>627</v>
      </c>
    </row>
    <row r="45" ht="22.5" customHeight="1">
      <c r="A45" s="34">
        <v>46277.87448024306</v>
      </c>
      <c r="B45" s="35" t="s">
        <v>628</v>
      </c>
    </row>
    <row r="46" ht="22.5" customHeight="1">
      <c r="A46" s="34">
        <v>46277.875818009255</v>
      </c>
      <c r="B46" s="35" t="s">
        <v>629</v>
      </c>
    </row>
    <row r="47" ht="22.5" customHeight="1">
      <c r="A47" s="34">
        <v>46277.884846932866</v>
      </c>
      <c r="B47" s="35" t="s">
        <v>630</v>
      </c>
    </row>
    <row r="48" ht="22.5" customHeight="1">
      <c r="A48" s="34">
        <v>46277.88497297454</v>
      </c>
      <c r="B48" s="35" t="s">
        <v>632</v>
      </c>
    </row>
    <row r="49" ht="22.5" customHeight="1">
      <c r="A49" s="34">
        <v>46278.44909085648</v>
      </c>
      <c r="B49" s="35" t="s">
        <v>635</v>
      </c>
    </row>
    <row r="50" ht="22.5" customHeight="1">
      <c r="A50" s="34">
        <v>46278.507326921295</v>
      </c>
      <c r="B50" s="35" t="s">
        <v>642</v>
      </c>
    </row>
    <row r="51" ht="22.5" customHeight="1">
      <c r="A51" s="34">
        <v>46278.6067653125</v>
      </c>
      <c r="B51" s="35" t="s">
        <v>654</v>
      </c>
    </row>
    <row r="52" ht="22.5" customHeight="1">
      <c r="A52" s="34">
        <v>46279.74740353009</v>
      </c>
      <c r="B52" s="35" t="s">
        <v>666</v>
      </c>
    </row>
    <row r="53" ht="22.5" customHeight="1">
      <c r="A53" s="34">
        <v>46281.59451401621</v>
      </c>
      <c r="B53" s="35" t="s">
        <v>677</v>
      </c>
    </row>
    <row r="54" ht="22.5" customHeight="1">
      <c r="A54" s="34">
        <v>46282.81153910879</v>
      </c>
      <c r="B54" s="35" t="s">
        <v>685</v>
      </c>
    </row>
    <row r="55" ht="22.5" customHeight="1">
      <c r="A55" s="34">
        <v>46284.560863252314</v>
      </c>
      <c r="B55" s="35" t="s">
        <v>695</v>
      </c>
    </row>
    <row r="56" ht="22.5" customHeight="1">
      <c r="A56" s="34">
        <v>46284.65676063657</v>
      </c>
      <c r="B56" s="35" t="s">
        <v>704</v>
      </c>
    </row>
    <row r="57" ht="22.5" customHeight="1">
      <c r="A57" s="34">
        <v>46285.578104988424</v>
      </c>
      <c r="B57" s="35" t="s">
        <v>714</v>
      </c>
    </row>
    <row r="58" ht="22.5" customHeight="1">
      <c r="A58" s="34">
        <v>46285.708059004624</v>
      </c>
      <c r="B58" s="35" t="s">
        <v>723</v>
      </c>
    </row>
    <row r="59" ht="22.5" customHeight="1">
      <c r="A59" s="34">
        <v>46286.39479744213</v>
      </c>
      <c r="B59" s="35" t="s">
        <v>736</v>
      </c>
    </row>
    <row r="60" ht="22.5" customHeight="1">
      <c r="A60" s="34">
        <v>46288.64059509259</v>
      </c>
      <c r="B60" s="35" t="s">
        <v>769</v>
      </c>
    </row>
    <row r="61" ht="22.5" customHeight="1">
      <c r="A61" s="34">
        <v>46289.88669402778</v>
      </c>
      <c r="B61" s="35" t="s">
        <v>780</v>
      </c>
    </row>
    <row r="62" ht="22.5" customHeight="1">
      <c r="A62" s="34">
        <v>46291.861071990745</v>
      </c>
      <c r="B62" s="35" t="s">
        <v>794</v>
      </c>
    </row>
    <row r="63" ht="22.5" customHeight="1">
      <c r="A63" s="34">
        <v>46292.78945793981</v>
      </c>
      <c r="B63" s="35" t="s">
        <v>804</v>
      </c>
    </row>
    <row r="64" ht="22.5" customHeight="1">
      <c r="A64" s="34">
        <v>46293.44576947916</v>
      </c>
      <c r="B64" s="35" t="s">
        <v>807</v>
      </c>
    </row>
    <row r="65" ht="22.5" customHeight="1">
      <c r="A65" s="34">
        <v>46293.780868946764</v>
      </c>
      <c r="B65" s="35" t="s">
        <v>814</v>
      </c>
    </row>
    <row r="66" ht="22.5" customHeight="1">
      <c r="A66" s="34">
        <v>46293.8398300463</v>
      </c>
      <c r="B66" s="35" t="s">
        <v>824</v>
      </c>
    </row>
    <row r="67" ht="22.5" customHeight="1">
      <c r="A67" s="34">
        <v>46293.89366113426</v>
      </c>
      <c r="B67" s="35" t="s">
        <v>834</v>
      </c>
    </row>
    <row r="68" ht="22.5" customHeight="1">
      <c r="A68" s="34">
        <v>46294.31626517361</v>
      </c>
      <c r="B68" s="35" t="s">
        <v>846</v>
      </c>
    </row>
    <row r="69" ht="22.5" customHeight="1">
      <c r="A69" s="34">
        <v>46294.792397060184</v>
      </c>
      <c r="B69" s="35" t="s">
        <v>858</v>
      </c>
    </row>
    <row r="70" ht="22.5" customHeight="1">
      <c r="A70" s="34">
        <v>46294.895163078705</v>
      </c>
      <c r="B70" s="35" t="s">
        <v>873</v>
      </c>
    </row>
    <row r="71" ht="22.5" customHeight="1">
      <c r="A71" s="34">
        <v>46294.94218403935</v>
      </c>
      <c r="B71" s="35" t="s">
        <v>882</v>
      </c>
    </row>
    <row r="72" ht="22.5" customHeight="1">
      <c r="A72" s="34">
        <v>46295.55940400463</v>
      </c>
      <c r="B72" s="35" t="s">
        <v>896</v>
      </c>
    </row>
    <row r="73" ht="22.5" customHeight="1">
      <c r="A73" s="34">
        <v>46295.568264421294</v>
      </c>
      <c r="B73" s="35" t="s">
        <v>899</v>
      </c>
    </row>
    <row r="74" ht="22.5" customHeight="1">
      <c r="A74" s="34">
        <v>46295.74667467593</v>
      </c>
      <c r="B74" s="35" t="s">
        <v>909</v>
      </c>
    </row>
    <row r="75" ht="22.5" customHeight="1">
      <c r="A75" s="34">
        <v>46295.82316811343</v>
      </c>
      <c r="B75" s="35" t="s">
        <v>913</v>
      </c>
    </row>
    <row r="76" ht="22.5" customHeight="1">
      <c r="A76" s="34">
        <v>46295.940406967595</v>
      </c>
      <c r="B76" s="35" t="s">
        <v>920</v>
      </c>
    </row>
    <row r="77" ht="22.5" customHeight="1">
      <c r="A77" s="34">
        <v>46296.41246487269</v>
      </c>
      <c r="B77" s="35" t="s">
        <v>929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68.5"/>
    <col customWidth="1" min="3" max="8" width="18.88"/>
  </cols>
  <sheetData>
    <row r="1" ht="22.5" customHeight="1">
      <c r="A1" s="32" t="s">
        <v>523</v>
      </c>
      <c r="B1" s="33" t="s">
        <v>1210</v>
      </c>
    </row>
    <row r="2" ht="22.5" customHeight="1">
      <c r="A2" s="45">
        <v>46253.03149552083</v>
      </c>
      <c r="B2" s="46" t="s">
        <v>1230</v>
      </c>
    </row>
    <row r="3" ht="22.5" customHeight="1">
      <c r="A3" s="34">
        <v>46253.03196314815</v>
      </c>
      <c r="B3" s="35" t="s">
        <v>1246</v>
      </c>
    </row>
    <row r="4" ht="22.5" customHeight="1">
      <c r="A4" s="34">
        <v>46253.03205878472</v>
      </c>
      <c r="B4" s="35" t="s">
        <v>1258</v>
      </c>
    </row>
    <row r="5" ht="22.5" customHeight="1">
      <c r="A5" s="34">
        <v>46253.03219557871</v>
      </c>
      <c r="B5" s="35" t="s">
        <v>1269</v>
      </c>
    </row>
    <row r="6" ht="22.5" customHeight="1">
      <c r="A6" s="34">
        <v>46253.032209895835</v>
      </c>
      <c r="B6" s="35" t="s">
        <v>1282</v>
      </c>
    </row>
    <row r="7" ht="22.5" customHeight="1">
      <c r="A7" s="34">
        <v>46253.03236362268</v>
      </c>
      <c r="B7" s="35" t="s">
        <v>1292</v>
      </c>
    </row>
    <row r="8" ht="22.5" customHeight="1">
      <c r="A8" s="34">
        <v>46253.03564577547</v>
      </c>
      <c r="B8" s="35" t="s">
        <v>1302</v>
      </c>
    </row>
    <row r="9" ht="22.5" customHeight="1">
      <c r="A9" s="34">
        <v>46253.03645262732</v>
      </c>
      <c r="B9" s="35" t="s">
        <v>1314</v>
      </c>
    </row>
    <row r="10" ht="22.5" customHeight="1">
      <c r="A10" s="34">
        <v>46253.037454375</v>
      </c>
      <c r="B10" s="35" t="s">
        <v>1325</v>
      </c>
    </row>
    <row r="11" ht="22.5" customHeight="1">
      <c r="A11" s="34">
        <v>46253.03754668981</v>
      </c>
      <c r="B11" s="35" t="s">
        <v>1352</v>
      </c>
    </row>
    <row r="12" ht="22.5" customHeight="1">
      <c r="A12" s="34">
        <v>46253.03776811343</v>
      </c>
      <c r="B12" s="35" t="s">
        <v>1357</v>
      </c>
    </row>
    <row r="13" ht="22.5" customHeight="1">
      <c r="A13" s="34">
        <v>46253.06294710648</v>
      </c>
      <c r="B13" s="35" t="s">
        <v>1359</v>
      </c>
    </row>
    <row r="14" ht="22.5" customHeight="1">
      <c r="A14" s="34">
        <v>46253.06318842593</v>
      </c>
      <c r="B14" s="35" t="s">
        <v>1359</v>
      </c>
    </row>
    <row r="15" ht="22.5" customHeight="1">
      <c r="A15" s="34">
        <v>46253.06392487268</v>
      </c>
      <c r="B15" s="35" t="s">
        <v>1361</v>
      </c>
    </row>
    <row r="16" ht="22.5" customHeight="1">
      <c r="A16" s="34">
        <v>46253.06407603009</v>
      </c>
      <c r="B16" s="35" t="s">
        <v>1363</v>
      </c>
    </row>
    <row r="17" ht="22.5" customHeight="1">
      <c r="A17" s="34">
        <v>46253.069183217594</v>
      </c>
      <c r="B17" s="35" t="s">
        <v>1366</v>
      </c>
    </row>
    <row r="18" ht="22.5" customHeight="1">
      <c r="A18" s="34">
        <v>46253.06923</v>
      </c>
      <c r="B18" s="35" t="s">
        <v>1368</v>
      </c>
    </row>
    <row r="19" ht="22.5" customHeight="1">
      <c r="A19" s="34">
        <v>46253.07379943287</v>
      </c>
      <c r="B19" s="35" t="s">
        <v>1369</v>
      </c>
    </row>
    <row r="20" ht="22.5" customHeight="1">
      <c r="A20" s="34">
        <v>46253.07416584491</v>
      </c>
      <c r="B20" s="35" t="s">
        <v>1372</v>
      </c>
    </row>
    <row r="21" ht="22.5" customHeight="1">
      <c r="A21" s="34">
        <v>46253.07418166667</v>
      </c>
      <c r="B21" s="35" t="s">
        <v>1375</v>
      </c>
    </row>
    <row r="22" ht="22.5" customHeight="1">
      <c r="A22" s="34">
        <v>46253.07478585649</v>
      </c>
      <c r="B22" s="35" t="s">
        <v>1366</v>
      </c>
    </row>
    <row r="23" ht="22.5" customHeight="1">
      <c r="A23" s="34">
        <v>46253.074850613426</v>
      </c>
      <c r="B23" s="35" t="s">
        <v>1378</v>
      </c>
    </row>
    <row r="24" ht="22.5" customHeight="1">
      <c r="A24" s="34">
        <v>46253.07691872685</v>
      </c>
      <c r="B24" s="35" t="s">
        <v>1381</v>
      </c>
    </row>
    <row r="25" ht="22.5" customHeight="1">
      <c r="A25" s="34">
        <v>46253.07791412037</v>
      </c>
      <c r="B25" s="35" t="s">
        <v>1384</v>
      </c>
    </row>
    <row r="26" ht="22.5" customHeight="1">
      <c r="A26" s="34">
        <v>46253.07804707176</v>
      </c>
      <c r="B26" s="35" t="s">
        <v>1385</v>
      </c>
    </row>
    <row r="27" ht="22.5" customHeight="1">
      <c r="A27" s="34">
        <v>46253.0782025</v>
      </c>
      <c r="B27" s="35" t="s">
        <v>1386</v>
      </c>
    </row>
    <row r="28" ht="22.5" customHeight="1">
      <c r="A28" s="34">
        <v>46253.337185752316</v>
      </c>
      <c r="B28" s="35" t="s">
        <v>1378</v>
      </c>
    </row>
    <row r="29" ht="22.5" customHeight="1">
      <c r="A29" s="34">
        <v>46253.337876053236</v>
      </c>
      <c r="B29" s="35" t="s">
        <v>1387</v>
      </c>
    </row>
    <row r="30" ht="22.5" customHeight="1">
      <c r="A30" s="34">
        <v>46253.33792883102</v>
      </c>
      <c r="B30" s="35" t="s">
        <v>1386</v>
      </c>
    </row>
    <row r="31" ht="22.5" customHeight="1">
      <c r="A31" s="34">
        <v>46254.783261261575</v>
      </c>
      <c r="B31" s="35" t="s">
        <v>1378</v>
      </c>
    </row>
    <row r="32" ht="22.5" customHeight="1">
      <c r="A32" s="34">
        <v>46254.80508663194</v>
      </c>
      <c r="B32" s="35" t="s">
        <v>1388</v>
      </c>
    </row>
    <row r="33" ht="22.5" customHeight="1">
      <c r="A33" s="34">
        <v>46254.805116550924</v>
      </c>
      <c r="B33" s="35" t="s">
        <v>1389</v>
      </c>
    </row>
    <row r="34" ht="22.5" customHeight="1">
      <c r="A34" s="34">
        <v>46255.31497895833</v>
      </c>
      <c r="B34" s="35" t="s">
        <v>1390</v>
      </c>
    </row>
    <row r="35" ht="22.5" customHeight="1">
      <c r="A35" s="34">
        <v>46255.53112327546</v>
      </c>
      <c r="B35" s="35" t="s">
        <v>1390</v>
      </c>
    </row>
    <row r="36" ht="22.5" customHeight="1">
      <c r="A36" s="34">
        <v>46255.90562474537</v>
      </c>
      <c r="B36" s="35" t="s">
        <v>1391</v>
      </c>
    </row>
    <row r="37" ht="22.5" customHeight="1">
      <c r="A37" s="34">
        <v>46255.90564707176</v>
      </c>
      <c r="B37" s="35" t="s">
        <v>1392</v>
      </c>
    </row>
    <row r="38" ht="22.5" customHeight="1">
      <c r="A38" s="34">
        <v>46255.90730204861</v>
      </c>
      <c r="B38" s="35" t="s">
        <v>1393</v>
      </c>
    </row>
    <row r="39" ht="22.5" customHeight="1">
      <c r="A39" s="34">
        <v>46255.90732342593</v>
      </c>
      <c r="B39" s="35" t="s">
        <v>1394</v>
      </c>
    </row>
    <row r="40" ht="22.5" customHeight="1">
      <c r="A40" s="34">
        <v>46255.90733480324</v>
      </c>
      <c r="B40" s="35" t="s">
        <v>1395</v>
      </c>
    </row>
    <row r="41" ht="22.5" customHeight="1">
      <c r="A41" s="34">
        <v>46255.90734622686</v>
      </c>
      <c r="B41" s="35" t="s">
        <v>1396</v>
      </c>
    </row>
    <row r="42" ht="22.5" customHeight="1">
      <c r="A42" s="34">
        <v>46255.907801828704</v>
      </c>
      <c r="B42" s="35" t="s">
        <v>1539</v>
      </c>
    </row>
    <row r="43" ht="22.5" customHeight="1">
      <c r="A43" s="34">
        <v>46255.90782288194</v>
      </c>
      <c r="B43" s="35" t="s">
        <v>1563</v>
      </c>
    </row>
    <row r="44" ht="22.5" customHeight="1">
      <c r="A44" s="34">
        <v>46255.909984513884</v>
      </c>
      <c r="B44" s="35" t="s">
        <v>1566</v>
      </c>
    </row>
    <row r="45" ht="22.5" customHeight="1">
      <c r="A45" s="34">
        <v>46255.910028530096</v>
      </c>
      <c r="B45" s="35" t="s">
        <v>1575</v>
      </c>
    </row>
    <row r="46" ht="22.5" customHeight="1">
      <c r="A46" s="34">
        <v>46256.40787530092</v>
      </c>
      <c r="B46" s="35" t="s">
        <v>1585</v>
      </c>
    </row>
    <row r="47" ht="22.5" customHeight="1">
      <c r="A47" s="34">
        <v>46257.750743599536</v>
      </c>
      <c r="B47" s="35" t="s">
        <v>1605</v>
      </c>
    </row>
    <row r="48" ht="22.5" customHeight="1">
      <c r="A48" s="34">
        <v>46257.755787685186</v>
      </c>
      <c r="B48" s="35" t="s">
        <v>1613</v>
      </c>
    </row>
    <row r="49" ht="22.5" customHeight="1">
      <c r="A49" s="34">
        <v>46257.75603474537</v>
      </c>
      <c r="B49" s="35" t="s">
        <v>1625</v>
      </c>
    </row>
    <row r="50" ht="22.5" customHeight="1">
      <c r="A50" s="34">
        <v>46257.75604815972</v>
      </c>
      <c r="B50" s="35" t="s">
        <v>1613</v>
      </c>
    </row>
    <row r="51" ht="22.5" customHeight="1">
      <c r="A51" s="34">
        <v>46257.75606262732</v>
      </c>
      <c r="B51" s="35" t="s">
        <v>1625</v>
      </c>
    </row>
    <row r="52" ht="22.5" customHeight="1">
      <c r="A52" s="34">
        <v>46257.9189159838</v>
      </c>
      <c r="B52" s="35" t="s">
        <v>2040</v>
      </c>
    </row>
    <row r="53" ht="22.5" customHeight="1">
      <c r="A53" s="34">
        <v>46257.91893597222</v>
      </c>
      <c r="B53" s="35" t="s">
        <v>2049</v>
      </c>
    </row>
    <row r="54" ht="22.5" customHeight="1">
      <c r="A54" s="34">
        <v>46257.91893666667</v>
      </c>
      <c r="B54" s="35" t="s">
        <v>2149</v>
      </c>
    </row>
    <row r="55" ht="22.5" customHeight="1">
      <c r="A55" s="34">
        <v>46257.9189619213</v>
      </c>
      <c r="B55" s="35" t="s">
        <v>2164</v>
      </c>
    </row>
    <row r="56" ht="22.5" customHeight="1">
      <c r="A56" s="34">
        <v>46257.918972141204</v>
      </c>
      <c r="B56" s="35" t="s">
        <v>2172</v>
      </c>
    </row>
    <row r="57" ht="22.5" customHeight="1">
      <c r="A57" s="34">
        <v>46257.91899869213</v>
      </c>
      <c r="B57" s="35" t="s">
        <v>2177</v>
      </c>
    </row>
    <row r="58" ht="22.5" customHeight="1">
      <c r="A58" s="34">
        <v>46257.9191547338</v>
      </c>
      <c r="B58" s="35" t="s">
        <v>2183</v>
      </c>
    </row>
    <row r="59" ht="22.5" customHeight="1">
      <c r="A59" s="34">
        <v>46257.919168356486</v>
      </c>
      <c r="B59" s="35" t="s">
        <v>2191</v>
      </c>
    </row>
    <row r="60" ht="22.5" customHeight="1">
      <c r="A60" s="34">
        <v>46257.91917</v>
      </c>
      <c r="B60" s="35" t="s">
        <v>2200</v>
      </c>
    </row>
    <row r="61" ht="22.5" customHeight="1">
      <c r="A61" s="34">
        <v>46257.9191891088</v>
      </c>
      <c r="B61" s="35" t="s">
        <v>2206</v>
      </c>
    </row>
    <row r="62" ht="22.5" customHeight="1">
      <c r="A62" s="34">
        <v>46257.91919071759</v>
      </c>
      <c r="B62" s="35" t="s">
        <v>2212</v>
      </c>
    </row>
    <row r="63" ht="22.5" customHeight="1">
      <c r="A63" s="34">
        <v>46257.91920027778</v>
      </c>
      <c r="B63" s="35" t="s">
        <v>2232</v>
      </c>
    </row>
    <row r="64" ht="22.5" customHeight="1">
      <c r="A64" s="34">
        <v>46257.919439571764</v>
      </c>
      <c r="B64" s="35" t="s">
        <v>2319</v>
      </c>
    </row>
    <row r="65" ht="22.5" customHeight="1">
      <c r="A65" s="34">
        <v>46257.91944925926</v>
      </c>
      <c r="B65" s="35" t="s">
        <v>2332</v>
      </c>
    </row>
    <row r="66" ht="22.5" customHeight="1">
      <c r="A66" s="34">
        <v>46257.919460219906</v>
      </c>
      <c r="B66" s="35" t="s">
        <v>2319</v>
      </c>
    </row>
    <row r="67" ht="22.5" customHeight="1">
      <c r="A67" s="34">
        <v>46257.920016018514</v>
      </c>
      <c r="B67" s="35" t="s">
        <v>2442</v>
      </c>
    </row>
    <row r="68" ht="22.5" customHeight="1">
      <c r="A68" s="34">
        <v>46264.7180357176</v>
      </c>
      <c r="B68" s="35" t="s">
        <v>2462</v>
      </c>
    </row>
    <row r="69" ht="22.5" customHeight="1">
      <c r="A69" s="34">
        <v>46264.718045347225</v>
      </c>
      <c r="B69" s="35" t="s">
        <v>2469</v>
      </c>
    </row>
    <row r="70" ht="22.5" customHeight="1">
      <c r="A70" s="34">
        <v>46264.936253865744</v>
      </c>
      <c r="B70" s="35" t="s">
        <v>2475</v>
      </c>
    </row>
    <row r="71" ht="22.5" customHeight="1">
      <c r="A71" s="34">
        <v>46264.937485636576</v>
      </c>
      <c r="B71" s="35" t="s">
        <v>2481</v>
      </c>
    </row>
    <row r="72" ht="22.5" customHeight="1">
      <c r="A72" s="34">
        <v>46264.96525739583</v>
      </c>
      <c r="B72" s="35" t="s">
        <v>2486</v>
      </c>
    </row>
    <row r="73" ht="22.5" customHeight="1">
      <c r="A73" s="34">
        <v>46264.969091921295</v>
      </c>
      <c r="B73" s="35" t="s">
        <v>2496</v>
      </c>
    </row>
    <row r="74" ht="22.5" customHeight="1">
      <c r="A74" s="34">
        <v>46264.96935824074</v>
      </c>
      <c r="B74" s="35" t="s">
        <v>2502</v>
      </c>
    </row>
    <row r="75" ht="22.5" customHeight="1">
      <c r="A75" s="34">
        <v>46264.96938318287</v>
      </c>
      <c r="B75" s="35" t="s">
        <v>2512</v>
      </c>
    </row>
    <row r="76" ht="22.5" customHeight="1">
      <c r="A76" s="34">
        <v>46264.969403888885</v>
      </c>
      <c r="B76" s="35" t="s">
        <v>2518</v>
      </c>
    </row>
    <row r="77" ht="22.5" customHeight="1">
      <c r="A77" s="34">
        <v>46264.97414677084</v>
      </c>
      <c r="B77" s="35" t="s">
        <v>2525</v>
      </c>
    </row>
    <row r="78" ht="22.5" customHeight="1">
      <c r="A78" s="34">
        <v>46265.016248541666</v>
      </c>
      <c r="B78" s="35" t="s">
        <v>1366</v>
      </c>
    </row>
    <row r="79" ht="22.5" customHeight="1">
      <c r="A79" s="34">
        <v>46265.017124039354</v>
      </c>
      <c r="B79" s="35" t="s">
        <v>2538</v>
      </c>
    </row>
    <row r="80" ht="22.5" customHeight="1">
      <c r="A80" s="34">
        <v>46265.01712631945</v>
      </c>
      <c r="B80" s="35" t="s">
        <v>2545</v>
      </c>
    </row>
    <row r="81" ht="22.5" customHeight="1">
      <c r="A81" s="34">
        <v>46265.01713490741</v>
      </c>
      <c r="B81" s="35" t="s">
        <v>2551</v>
      </c>
    </row>
    <row r="82" ht="22.5" customHeight="1">
      <c r="A82" s="34">
        <v>46265.0174393287</v>
      </c>
      <c r="B82" s="35" t="s">
        <v>2556</v>
      </c>
    </row>
    <row r="83" ht="22.5" customHeight="1">
      <c r="A83" s="34">
        <v>46274.776122905096</v>
      </c>
      <c r="B83" s="35" t="s">
        <v>2565</v>
      </c>
    </row>
    <row r="84" ht="22.5" customHeight="1">
      <c r="A84" s="34">
        <v>46274.77645447917</v>
      </c>
      <c r="B84" s="35" t="s">
        <v>2570</v>
      </c>
    </row>
    <row r="85" ht="22.5" customHeight="1">
      <c r="A85" s="34">
        <v>46274.77718346065</v>
      </c>
      <c r="B85" s="35" t="s">
        <v>2570</v>
      </c>
    </row>
    <row r="86" ht="22.5" customHeight="1">
      <c r="A86" s="34">
        <v>46274.7772234838</v>
      </c>
      <c r="B86" s="35" t="s">
        <v>2584</v>
      </c>
    </row>
    <row r="87" ht="22.5" customHeight="1">
      <c r="A87" s="34">
        <v>46274.78090564815</v>
      </c>
      <c r="B87" s="35" t="s">
        <v>2570</v>
      </c>
    </row>
    <row r="88" ht="22.5" customHeight="1">
      <c r="A88" s="34">
        <v>46274.78094778935</v>
      </c>
      <c r="B88" s="35" t="s">
        <v>2584</v>
      </c>
    </row>
    <row r="89" ht="22.5" customHeight="1">
      <c r="A89" s="34">
        <v>46274.78460251157</v>
      </c>
      <c r="B89" s="35" t="s">
        <v>2656</v>
      </c>
    </row>
    <row r="90" ht="22.5" customHeight="1">
      <c r="A90" s="34">
        <v>46274.784644513886</v>
      </c>
      <c r="B90" s="35" t="s">
        <v>2659</v>
      </c>
    </row>
    <row r="91" ht="22.5" customHeight="1">
      <c r="A91" s="34">
        <v>46274.784683136575</v>
      </c>
      <c r="B91" s="35" t="s">
        <v>2662</v>
      </c>
    </row>
    <row r="92" ht="22.5" customHeight="1">
      <c r="A92" s="34">
        <v>46274.78469349537</v>
      </c>
      <c r="B92" s="35" t="s">
        <v>2664</v>
      </c>
    </row>
    <row r="93" ht="22.5" customHeight="1">
      <c r="A93" s="34">
        <v>46274.789708958335</v>
      </c>
      <c r="B93" s="35" t="s">
        <v>2666</v>
      </c>
    </row>
    <row r="94" ht="22.5" customHeight="1">
      <c r="A94" s="34">
        <v>46274.78974673611</v>
      </c>
      <c r="B94" s="35" t="s">
        <v>2669</v>
      </c>
    </row>
    <row r="95" ht="22.5" customHeight="1">
      <c r="A95" s="34">
        <v>46274.791111388884</v>
      </c>
      <c r="B95" s="35" t="s">
        <v>2666</v>
      </c>
    </row>
    <row r="96" ht="22.5" customHeight="1">
      <c r="A96" s="34">
        <v>46274.791126655095</v>
      </c>
      <c r="B96" s="35" t="s">
        <v>2669</v>
      </c>
    </row>
    <row r="97" ht="22.5" customHeight="1">
      <c r="A97" s="34">
        <v>46274.791710879625</v>
      </c>
      <c r="B97" s="35" t="s">
        <v>2744</v>
      </c>
    </row>
    <row r="98" ht="22.5" customHeight="1">
      <c r="A98" s="34">
        <v>46274.791718981476</v>
      </c>
      <c r="B98" s="35" t="s">
        <v>2751</v>
      </c>
    </row>
    <row r="99" ht="22.5" customHeight="1">
      <c r="A99" s="34">
        <v>46274.79174665509</v>
      </c>
      <c r="B99" s="35" t="s">
        <v>2756</v>
      </c>
    </row>
    <row r="100" ht="22.5" customHeight="1">
      <c r="A100" s="34">
        <v>46274.791758796295</v>
      </c>
      <c r="B100" s="35" t="s">
        <v>2760</v>
      </c>
    </row>
    <row r="101" ht="22.5" customHeight="1">
      <c r="A101" s="34">
        <v>46274.791788206014</v>
      </c>
      <c r="B101" s="35" t="s">
        <v>2765</v>
      </c>
    </row>
    <row r="102" ht="22.5" customHeight="1">
      <c r="A102" s="34">
        <v>46274.79182893518</v>
      </c>
      <c r="B102" s="35" t="s">
        <v>2766</v>
      </c>
    </row>
    <row r="103" ht="22.5" customHeight="1">
      <c r="A103" s="34">
        <v>46274.83818767361</v>
      </c>
      <c r="B103" s="35" t="s">
        <v>2770</v>
      </c>
    </row>
    <row r="104" ht="22.5" customHeight="1">
      <c r="A104" s="34">
        <v>46274.83818497685</v>
      </c>
      <c r="B104" s="35" t="s">
        <v>2772</v>
      </c>
    </row>
    <row r="105" ht="22.5" customHeight="1">
      <c r="A105" s="34">
        <v>46274.838185659726</v>
      </c>
      <c r="B105" s="35" t="s">
        <v>2774</v>
      </c>
    </row>
    <row r="106" ht="22.5" customHeight="1">
      <c r="A106" s="34">
        <v>46274.838276724535</v>
      </c>
      <c r="B106" s="35" t="s">
        <v>2775</v>
      </c>
    </row>
    <row r="107" ht="22.5" customHeight="1">
      <c r="A107" s="34">
        <v>46274.83846907408</v>
      </c>
      <c r="B107" s="35" t="s">
        <v>2776</v>
      </c>
    </row>
    <row r="108" ht="22.5" customHeight="1">
      <c r="A108" s="34">
        <v>46274.83861315972</v>
      </c>
      <c r="B108" s="35" t="s">
        <v>2777</v>
      </c>
    </row>
    <row r="109" ht="22.5" customHeight="1">
      <c r="A109" s="34">
        <v>46274.838649756945</v>
      </c>
      <c r="B109" s="35" t="s">
        <v>2776</v>
      </c>
    </row>
    <row r="110" ht="22.5" customHeight="1">
      <c r="A110" s="34">
        <v>46274.83893572917</v>
      </c>
      <c r="B110" s="35" t="s">
        <v>2778</v>
      </c>
    </row>
    <row r="111" ht="22.5" customHeight="1">
      <c r="A111" s="34">
        <v>46274.83894454861</v>
      </c>
      <c r="B111" s="35" t="s">
        <v>2779</v>
      </c>
    </row>
    <row r="112" ht="22.5" customHeight="1">
      <c r="A112" s="34">
        <v>46274.841460138894</v>
      </c>
      <c r="B112" s="35" t="s">
        <v>2783</v>
      </c>
    </row>
    <row r="113" ht="22.5" customHeight="1">
      <c r="A113" s="34">
        <v>46274.841470150466</v>
      </c>
      <c r="B113" s="35" t="s">
        <v>2789</v>
      </c>
    </row>
    <row r="114" ht="22.5" customHeight="1">
      <c r="A114" s="34">
        <v>46274.841479282404</v>
      </c>
      <c r="B114" s="35" t="s">
        <v>2794</v>
      </c>
    </row>
    <row r="115" ht="22.5" customHeight="1">
      <c r="A115" s="34">
        <v>46274.84149280093</v>
      </c>
      <c r="B115" s="35" t="s">
        <v>2799</v>
      </c>
    </row>
    <row r="116" ht="22.5" customHeight="1">
      <c r="A116" s="34">
        <v>46274.841937627316</v>
      </c>
      <c r="B116" s="35" t="s">
        <v>2804</v>
      </c>
    </row>
    <row r="117" ht="22.5" customHeight="1">
      <c r="A117" s="34">
        <v>46274.84202981481</v>
      </c>
      <c r="B117" s="35" t="s">
        <v>2812</v>
      </c>
    </row>
    <row r="118" ht="22.5" customHeight="1">
      <c r="A118" s="34">
        <v>46274.84227219908</v>
      </c>
      <c r="B118" s="35" t="s">
        <v>2817</v>
      </c>
    </row>
    <row r="119" ht="22.5" customHeight="1">
      <c r="A119" s="34">
        <v>46274.84240174769</v>
      </c>
      <c r="B119" s="35" t="s">
        <v>2823</v>
      </c>
    </row>
    <row r="120" ht="22.5" customHeight="1">
      <c r="A120" s="34">
        <v>46274.84509721065</v>
      </c>
      <c r="B120" s="35" t="s">
        <v>2828</v>
      </c>
    </row>
    <row r="121" ht="22.5" customHeight="1">
      <c r="A121" s="34">
        <v>46274.84880792824</v>
      </c>
      <c r="B121" s="35" t="s">
        <v>1387</v>
      </c>
    </row>
    <row r="122" ht="22.5" customHeight="1">
      <c r="A122" s="34">
        <v>46274.85015640046</v>
      </c>
      <c r="B122" s="35" t="s">
        <v>2830</v>
      </c>
    </row>
    <row r="123" ht="22.5" customHeight="1">
      <c r="A123" s="34">
        <v>46274.85015730324</v>
      </c>
      <c r="B123" s="35" t="s">
        <v>2831</v>
      </c>
    </row>
    <row r="124" ht="22.5" customHeight="1">
      <c r="A124" s="34">
        <v>46274.85015729167</v>
      </c>
      <c r="B124" s="35" t="s">
        <v>2832</v>
      </c>
    </row>
    <row r="125" ht="22.5" customHeight="1">
      <c r="A125" s="34">
        <v>46274.85209961806</v>
      </c>
      <c r="B125" s="35" t="s">
        <v>2833</v>
      </c>
    </row>
    <row r="126" ht="22.5" customHeight="1">
      <c r="A126" s="34">
        <v>46274.85210225695</v>
      </c>
      <c r="B126" s="35" t="s">
        <v>2834</v>
      </c>
    </row>
    <row r="127" ht="22.5" customHeight="1">
      <c r="A127" s="34">
        <v>46274.85210451389</v>
      </c>
      <c r="B127" s="35" t="s">
        <v>2835</v>
      </c>
    </row>
    <row r="128" ht="22.5" customHeight="1">
      <c r="A128" s="34">
        <v>46274.855750358794</v>
      </c>
      <c r="B128" s="35" t="s">
        <v>2836</v>
      </c>
    </row>
    <row r="129" ht="22.5" customHeight="1">
      <c r="A129" s="34">
        <v>46274.855770775466</v>
      </c>
      <c r="B129" s="35" t="s">
        <v>2837</v>
      </c>
    </row>
    <row r="130" ht="22.5" customHeight="1">
      <c r="A130" s="34">
        <v>46274.974561400464</v>
      </c>
      <c r="B130" s="35" t="s">
        <v>2838</v>
      </c>
    </row>
    <row r="131" ht="22.5" customHeight="1">
      <c r="A131" s="34">
        <v>46274.97458969908</v>
      </c>
      <c r="B131" s="35" t="s">
        <v>2839</v>
      </c>
    </row>
    <row r="132" ht="22.5" customHeight="1">
      <c r="A132" s="34">
        <v>46274.97460944444</v>
      </c>
      <c r="B132" s="35" t="s">
        <v>2840</v>
      </c>
    </row>
    <row r="133" ht="22.5" customHeight="1">
      <c r="A133" s="34">
        <v>46274.97480512732</v>
      </c>
      <c r="B133" s="35" t="s">
        <v>2841</v>
      </c>
    </row>
    <row r="134" ht="22.5" customHeight="1">
      <c r="A134" s="34">
        <v>46274.97482430555</v>
      </c>
      <c r="B134" s="35" t="s">
        <v>2842</v>
      </c>
    </row>
    <row r="135" ht="22.5" customHeight="1">
      <c r="A135" s="34">
        <v>46274.974836064815</v>
      </c>
      <c r="B135" s="35" t="s">
        <v>2843</v>
      </c>
    </row>
    <row r="136" ht="22.5" customHeight="1">
      <c r="A136" s="34">
        <v>46274.97808189815</v>
      </c>
      <c r="B136" s="35" t="s">
        <v>2842</v>
      </c>
    </row>
    <row r="137" ht="22.5" customHeight="1">
      <c r="A137" s="34">
        <v>46274.9780896875</v>
      </c>
      <c r="B137" s="35" t="s">
        <v>2843</v>
      </c>
    </row>
    <row r="138" ht="22.5" customHeight="1">
      <c r="A138" s="34">
        <v>46274.97923087963</v>
      </c>
      <c r="B138" s="35" t="s">
        <v>2844</v>
      </c>
    </row>
    <row r="139" ht="22.5" customHeight="1">
      <c r="A139" s="34">
        <v>46274.97924793982</v>
      </c>
      <c r="B139" s="35" t="s">
        <v>2840</v>
      </c>
    </row>
    <row r="140" ht="22.5" customHeight="1">
      <c r="A140" s="34">
        <v>46274.979271874996</v>
      </c>
      <c r="B140" s="35" t="s">
        <v>2847</v>
      </c>
    </row>
    <row r="141" ht="22.5" customHeight="1">
      <c r="A141" s="34">
        <v>46274.979289016206</v>
      </c>
      <c r="B141" s="35" t="s">
        <v>2842</v>
      </c>
    </row>
    <row r="142" ht="22.5" customHeight="1">
      <c r="A142" s="34">
        <v>46274.97930061343</v>
      </c>
      <c r="B142" s="35" t="s">
        <v>2855</v>
      </c>
    </row>
    <row r="143" ht="22.5" customHeight="1">
      <c r="A143" s="34">
        <v>46274.97944077547</v>
      </c>
      <c r="B143" s="35" t="s">
        <v>2844</v>
      </c>
    </row>
    <row r="144" ht="22.5" customHeight="1">
      <c r="A144" s="34">
        <v>46274.979460069444</v>
      </c>
      <c r="B144" s="35" t="s">
        <v>2840</v>
      </c>
    </row>
    <row r="145" ht="22.5" customHeight="1">
      <c r="A145" s="34">
        <v>46274.97946787037</v>
      </c>
      <c r="B145" s="35" t="s">
        <v>2847</v>
      </c>
    </row>
    <row r="146" ht="22.5" customHeight="1">
      <c r="A146" s="34">
        <v>46274.97948789352</v>
      </c>
      <c r="B146" s="35" t="s">
        <v>2842</v>
      </c>
    </row>
    <row r="147" ht="22.5" customHeight="1">
      <c r="A147" s="34">
        <v>46274.979671875</v>
      </c>
      <c r="B147" s="35" t="s">
        <v>2860</v>
      </c>
    </row>
    <row r="148" ht="22.5" customHeight="1">
      <c r="A148" s="34">
        <v>46274.97972287037</v>
      </c>
      <c r="B148" s="35" t="s">
        <v>2842</v>
      </c>
    </row>
    <row r="149" ht="22.5" customHeight="1">
      <c r="A149" s="34">
        <v>46275.75218159722</v>
      </c>
      <c r="B149" s="35" t="s">
        <v>2861</v>
      </c>
    </row>
    <row r="150" ht="22.5" customHeight="1">
      <c r="A150" s="34">
        <v>46277.54089773148</v>
      </c>
      <c r="B150" s="35" t="s">
        <v>2862</v>
      </c>
    </row>
    <row r="151" ht="22.5" customHeight="1">
      <c r="A151" s="34">
        <v>46277.80150217593</v>
      </c>
      <c r="B151" s="35" t="s">
        <v>2863</v>
      </c>
    </row>
    <row r="152" ht="22.5" customHeight="1">
      <c r="A152" s="34">
        <v>46277.80369394676</v>
      </c>
      <c r="B152" s="35" t="s">
        <v>2864</v>
      </c>
    </row>
    <row r="153" ht="22.5" customHeight="1">
      <c r="A153" s="34">
        <v>46277.877060810184</v>
      </c>
      <c r="B153" s="35" t="s">
        <v>2865</v>
      </c>
    </row>
    <row r="154" ht="22.5" customHeight="1">
      <c r="A154" s="34">
        <v>46277.877213761574</v>
      </c>
      <c r="B154" s="35" t="s">
        <v>2866</v>
      </c>
    </row>
    <row r="155" ht="22.5" customHeight="1">
      <c r="A155" s="34">
        <v>46277.87724855324</v>
      </c>
      <c r="B155" s="35" t="s">
        <v>2867</v>
      </c>
    </row>
    <row r="156" ht="22.5" customHeight="1">
      <c r="A156" s="34">
        <v>46277.87729065972</v>
      </c>
      <c r="B156" s="35" t="s">
        <v>2868</v>
      </c>
    </row>
    <row r="157" ht="22.5" customHeight="1">
      <c r="A157" s="34">
        <v>46277.8773065625</v>
      </c>
      <c r="B157" s="35" t="s">
        <v>2869</v>
      </c>
    </row>
    <row r="158" ht="22.5" customHeight="1">
      <c r="A158" s="34">
        <v>46277.88506615741</v>
      </c>
      <c r="B158" s="35" t="s">
        <v>2870</v>
      </c>
    </row>
    <row r="159" ht="22.5" customHeight="1">
      <c r="A159" s="34">
        <v>46278.50745350694</v>
      </c>
      <c r="B159" s="35" t="s">
        <v>2871</v>
      </c>
    </row>
    <row r="160" ht="22.5" customHeight="1">
      <c r="A160" s="34">
        <v>46278.50753003472</v>
      </c>
      <c r="B160" s="35" t="s">
        <v>2872</v>
      </c>
    </row>
    <row r="161" ht="22.5" customHeight="1">
      <c r="A161" s="34">
        <v>46278.507589016204</v>
      </c>
      <c r="B161" s="35" t="s">
        <v>2871</v>
      </c>
    </row>
    <row r="162" ht="22.5" customHeight="1">
      <c r="A162" s="34">
        <v>46278.50764989584</v>
      </c>
      <c r="B162" s="35" t="s">
        <v>3015</v>
      </c>
    </row>
    <row r="163" ht="22.5" customHeight="1">
      <c r="A163" s="34">
        <v>46278.50772732639</v>
      </c>
      <c r="B163" s="35" t="s">
        <v>2871</v>
      </c>
    </row>
    <row r="164" ht="22.5" customHeight="1">
      <c r="A164" s="34">
        <v>46278.507837303245</v>
      </c>
      <c r="B164" s="35" t="s">
        <v>3195</v>
      </c>
    </row>
    <row r="165" ht="22.5" customHeight="1">
      <c r="A165" s="34">
        <v>46278.50790503473</v>
      </c>
      <c r="B165" s="35" t="s">
        <v>3196</v>
      </c>
    </row>
    <row r="166" ht="22.5" customHeight="1">
      <c r="A166" s="34">
        <v>46278.50803650463</v>
      </c>
      <c r="B166" s="35" t="s">
        <v>3195</v>
      </c>
    </row>
    <row r="167" ht="22.5" customHeight="1">
      <c r="A167" s="34">
        <v>46278.50805884259</v>
      </c>
      <c r="B167" s="35" t="s">
        <v>3207</v>
      </c>
    </row>
    <row r="168" ht="22.5" customHeight="1">
      <c r="A168" s="34">
        <v>46278.508075543985</v>
      </c>
      <c r="B168" s="35" t="s">
        <v>3213</v>
      </c>
    </row>
    <row r="169" ht="22.5" customHeight="1">
      <c r="A169" s="34">
        <v>46278.50811436343</v>
      </c>
      <c r="B169" s="35" t="s">
        <v>3221</v>
      </c>
    </row>
    <row r="170" ht="22.5" customHeight="1">
      <c r="A170" s="34">
        <v>46278.5816862037</v>
      </c>
      <c r="B170" s="35" t="s">
        <v>3226</v>
      </c>
    </row>
    <row r="171" ht="22.5" customHeight="1">
      <c r="A171" s="34">
        <v>46278.58175677083</v>
      </c>
      <c r="B171" s="35" t="s">
        <v>3227</v>
      </c>
    </row>
    <row r="172" ht="22.5" customHeight="1">
      <c r="A172" s="34">
        <v>46278.84254239583</v>
      </c>
      <c r="B172" s="35" t="s">
        <v>1387</v>
      </c>
    </row>
    <row r="173" ht="22.5" customHeight="1">
      <c r="A173" s="34">
        <v>46278.977963564816</v>
      </c>
      <c r="B173" s="35" t="s">
        <v>3228</v>
      </c>
    </row>
    <row r="174" ht="22.5" customHeight="1">
      <c r="A174" s="34">
        <v>46278.977973298606</v>
      </c>
      <c r="B174" s="35" t="s">
        <v>3229</v>
      </c>
    </row>
    <row r="175" ht="22.5" customHeight="1">
      <c r="A175" s="34">
        <v>46278.97797883102</v>
      </c>
      <c r="B175" s="35" t="s">
        <v>3230</v>
      </c>
    </row>
    <row r="176" ht="22.5" customHeight="1">
      <c r="A176" s="34">
        <v>46278.97814278935</v>
      </c>
      <c r="B176" s="35" t="s">
        <v>3231</v>
      </c>
    </row>
    <row r="177" ht="22.5" customHeight="1">
      <c r="A177" s="34">
        <v>46278.97815368055</v>
      </c>
      <c r="B177" s="35" t="s">
        <v>3232</v>
      </c>
    </row>
    <row r="178" ht="22.5" customHeight="1">
      <c r="A178" s="34">
        <v>46279.07777283565</v>
      </c>
      <c r="B178" s="35" t="s">
        <v>3233</v>
      </c>
    </row>
    <row r="179" ht="22.5" customHeight="1">
      <c r="A179" s="34">
        <v>46279.077828611116</v>
      </c>
      <c r="B179" s="35" t="s">
        <v>2765</v>
      </c>
    </row>
    <row r="180" ht="22.5" customHeight="1">
      <c r="A180" s="34">
        <v>46279.07785636574</v>
      </c>
      <c r="B180" s="35" t="s">
        <v>3234</v>
      </c>
    </row>
    <row r="181" ht="22.5" customHeight="1">
      <c r="A181" s="34">
        <v>46279.07788621528</v>
      </c>
      <c r="B181" s="35" t="s">
        <v>3235</v>
      </c>
    </row>
    <row r="182" ht="22.5" customHeight="1">
      <c r="A182" s="34">
        <v>46279.07802997685</v>
      </c>
      <c r="B182" s="35" t="s">
        <v>3236</v>
      </c>
    </row>
    <row r="183" ht="22.5" customHeight="1">
      <c r="A183" s="34">
        <v>46279.07804862269</v>
      </c>
      <c r="B183" s="35" t="s">
        <v>3237</v>
      </c>
    </row>
    <row r="184" ht="22.5" customHeight="1">
      <c r="A184" s="34">
        <v>46279.07805833333</v>
      </c>
      <c r="B184" s="35" t="s">
        <v>3238</v>
      </c>
    </row>
    <row r="185" ht="22.5" customHeight="1">
      <c r="A185" s="34">
        <v>46284.56093836806</v>
      </c>
      <c r="B185" s="35" t="s">
        <v>3239</v>
      </c>
    </row>
    <row r="186" ht="22.5" customHeight="1">
      <c r="A186" s="34">
        <v>46284.56181622685</v>
      </c>
      <c r="B186" s="35" t="s">
        <v>3240</v>
      </c>
    </row>
    <row r="187" ht="22.5" customHeight="1">
      <c r="A187" s="34">
        <v>46284.56184106482</v>
      </c>
      <c r="B187" s="35" t="s">
        <v>3241</v>
      </c>
    </row>
    <row r="188" ht="22.5" customHeight="1">
      <c r="A188" s="34">
        <v>46284.56188813657</v>
      </c>
      <c r="B188" s="35" t="s">
        <v>3242</v>
      </c>
    </row>
    <row r="189" ht="22.5" customHeight="1">
      <c r="A189" s="34">
        <v>46284.56419804398</v>
      </c>
      <c r="B189" s="35" t="s">
        <v>3243</v>
      </c>
    </row>
    <row r="190" ht="22.5" customHeight="1">
      <c r="A190" s="34">
        <v>46284.56422862269</v>
      </c>
      <c r="B190" s="35" t="s">
        <v>3244</v>
      </c>
    </row>
    <row r="191" ht="22.5" customHeight="1">
      <c r="A191" s="34">
        <v>46284.56876895833</v>
      </c>
      <c r="B191" s="35" t="s">
        <v>3245</v>
      </c>
    </row>
    <row r="192" ht="22.5" customHeight="1">
      <c r="A192" s="34">
        <v>46284.56886399306</v>
      </c>
      <c r="B192" s="35" t="s">
        <v>3246</v>
      </c>
    </row>
    <row r="193" ht="22.5" customHeight="1">
      <c r="A193" s="34">
        <v>46285.578139351855</v>
      </c>
      <c r="B193" s="35" t="s">
        <v>3247</v>
      </c>
    </row>
    <row r="194" ht="22.5" customHeight="1">
      <c r="A194" s="34">
        <v>46285.57815743056</v>
      </c>
      <c r="B194" s="35" t="s">
        <v>3248</v>
      </c>
    </row>
    <row r="195" ht="22.5" customHeight="1">
      <c r="A195" s="34">
        <v>46285.578619050924</v>
      </c>
      <c r="B195" s="35" t="s">
        <v>3249</v>
      </c>
    </row>
    <row r="196" ht="22.5" customHeight="1">
      <c r="A196" s="34">
        <v>46285.57888725694</v>
      </c>
      <c r="B196" s="35" t="s">
        <v>3250</v>
      </c>
    </row>
    <row r="197" ht="22.5" customHeight="1">
      <c r="A197" s="34">
        <v>46285.583047673616</v>
      </c>
      <c r="B197" s="35" t="s">
        <v>1368</v>
      </c>
    </row>
    <row r="198" ht="22.5" customHeight="1">
      <c r="A198" s="34">
        <v>46285.711764629625</v>
      </c>
      <c r="B198" s="35" t="s">
        <v>3254</v>
      </c>
    </row>
    <row r="199" ht="22.5" customHeight="1">
      <c r="A199" s="34">
        <v>46285.7117713426</v>
      </c>
      <c r="B199" s="35" t="s">
        <v>3259</v>
      </c>
    </row>
    <row r="200" ht="22.5" customHeight="1">
      <c r="A200" s="34">
        <v>46285.71202710648</v>
      </c>
      <c r="B200" s="35" t="s">
        <v>3266</v>
      </c>
    </row>
    <row r="201" ht="22.5" customHeight="1">
      <c r="A201" s="34">
        <v>46285.71203814815</v>
      </c>
      <c r="B201" s="35" t="s">
        <v>3271</v>
      </c>
    </row>
    <row r="202" ht="22.5" customHeight="1">
      <c r="A202" s="34">
        <v>46285.71207671297</v>
      </c>
      <c r="B202" s="35" t="s">
        <v>3277</v>
      </c>
    </row>
    <row r="203" ht="22.5" customHeight="1">
      <c r="A203" s="34">
        <v>46285.7155619213</v>
      </c>
      <c r="B203" s="35" t="s">
        <v>3285</v>
      </c>
    </row>
    <row r="204" ht="22.5" customHeight="1">
      <c r="A204" s="34">
        <v>46285.715587604165</v>
      </c>
      <c r="B204" s="35" t="s">
        <v>3292</v>
      </c>
    </row>
    <row r="205" ht="22.5" customHeight="1">
      <c r="A205" s="34">
        <v>46292.790495532405</v>
      </c>
      <c r="B205" s="35" t="s">
        <v>3299</v>
      </c>
    </row>
    <row r="206" ht="22.5" customHeight="1">
      <c r="A206" s="34">
        <v>46292.79074104167</v>
      </c>
      <c r="B206" s="35" t="s">
        <v>3305</v>
      </c>
    </row>
    <row r="207" ht="22.5" customHeight="1">
      <c r="A207" s="34">
        <v>46292.79096153935</v>
      </c>
      <c r="B207" s="35" t="s">
        <v>3311</v>
      </c>
    </row>
    <row r="208" ht="22.5" customHeight="1">
      <c r="A208" s="34">
        <v>46292.792736655094</v>
      </c>
      <c r="B208" s="35" t="s">
        <v>3317</v>
      </c>
    </row>
    <row r="209" ht="22.5" customHeight="1">
      <c r="A209" s="34">
        <v>46292.79276635416</v>
      </c>
      <c r="B209" s="35" t="s">
        <v>3323</v>
      </c>
    </row>
    <row r="210" ht="22.5" customHeight="1">
      <c r="A210" s="34">
        <v>46292.79280869213</v>
      </c>
      <c r="B210" s="35" t="s">
        <v>3317</v>
      </c>
    </row>
    <row r="211" ht="22.5" customHeight="1">
      <c r="A211" s="34">
        <v>46292.7928234838</v>
      </c>
      <c r="B211" s="35" t="s">
        <v>3398</v>
      </c>
    </row>
    <row r="212" ht="22.5" customHeight="1">
      <c r="A212" s="34">
        <v>46292.79295625</v>
      </c>
      <c r="B212" s="35" t="s">
        <v>3317</v>
      </c>
    </row>
    <row r="213" ht="22.5" customHeight="1">
      <c r="A213" s="34">
        <v>46292.792979618054</v>
      </c>
      <c r="B213" s="35" t="s">
        <v>3323</v>
      </c>
    </row>
    <row r="214" ht="22.5" customHeight="1">
      <c r="A214" s="34">
        <v>46292.79301826389</v>
      </c>
      <c r="B214" s="35" t="s">
        <v>3399</v>
      </c>
    </row>
    <row r="215" ht="22.5" customHeight="1">
      <c r="A215" s="34">
        <v>46293.446462604166</v>
      </c>
      <c r="B215" s="35" t="s">
        <v>3400</v>
      </c>
    </row>
    <row r="216" ht="22.5" customHeight="1">
      <c r="A216" s="34">
        <v>46293.44671060186</v>
      </c>
      <c r="B216" s="35" t="s">
        <v>3401</v>
      </c>
    </row>
    <row r="217" ht="22.5" customHeight="1">
      <c r="A217" s="34">
        <v>46293.449178703704</v>
      </c>
      <c r="B217" s="35" t="s">
        <v>3402</v>
      </c>
    </row>
    <row r="218" ht="22.5" customHeight="1">
      <c r="A218" s="34">
        <v>46294.349379374995</v>
      </c>
      <c r="B218" s="35" t="s">
        <v>3403</v>
      </c>
    </row>
    <row r="219" ht="22.5" customHeight="1">
      <c r="A219" s="34">
        <v>46294.34972579862</v>
      </c>
      <c r="B219" s="35" t="s">
        <v>3404</v>
      </c>
    </row>
    <row r="220" ht="22.5" customHeight="1">
      <c r="A220" s="34">
        <v>46294.34987751157</v>
      </c>
      <c r="B220" s="35" t="s">
        <v>3405</v>
      </c>
    </row>
    <row r="221" ht="22.5" customHeight="1">
      <c r="A221" s="34">
        <v>46294.44907082176</v>
      </c>
      <c r="B221" s="35" t="s">
        <v>3407</v>
      </c>
    </row>
    <row r="222" ht="22.5" customHeight="1">
      <c r="A222" s="34">
        <v>46294.792471354165</v>
      </c>
      <c r="B222" s="35" t="s">
        <v>3412</v>
      </c>
    </row>
    <row r="223" ht="22.5" customHeight="1">
      <c r="A223" s="34">
        <v>46294.79248355324</v>
      </c>
      <c r="B223" s="35" t="s">
        <v>3416</v>
      </c>
    </row>
    <row r="224" ht="22.5" customHeight="1">
      <c r="A224" s="34">
        <v>46294.79249446759</v>
      </c>
      <c r="B224" s="35" t="s">
        <v>3418</v>
      </c>
    </row>
    <row r="225" ht="22.5" customHeight="1">
      <c r="A225" s="34">
        <v>46294.7925043287</v>
      </c>
      <c r="B225" s="35" t="s">
        <v>3421</v>
      </c>
    </row>
    <row r="226" ht="22.5" customHeight="1">
      <c r="A226" s="34">
        <v>46294.79252914352</v>
      </c>
      <c r="B226" s="35" t="s">
        <v>3423</v>
      </c>
    </row>
    <row r="227" ht="22.5" customHeight="1">
      <c r="A227" s="34">
        <v>46294.89676299768</v>
      </c>
      <c r="B227" s="35" t="s">
        <v>3426</v>
      </c>
    </row>
    <row r="228" ht="22.5" customHeight="1">
      <c r="A228" s="34">
        <v>46295.82322041667</v>
      </c>
      <c r="B228" s="35" t="s">
        <v>3427</v>
      </c>
    </row>
    <row r="229" ht="22.5" customHeight="1">
      <c r="A229" s="34">
        <v>46295.82324185185</v>
      </c>
      <c r="B229" s="35" t="s">
        <v>3430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9.63"/>
    <col customWidth="1" min="3" max="3" width="4.75"/>
    <col customWidth="1" min="4" max="4" width="6.88"/>
    <col customWidth="1" min="5" max="5" width="8.88"/>
  </cols>
  <sheetData>
    <row r="1">
      <c r="A1" s="1" t="s">
        <v>523</v>
      </c>
      <c r="B1" s="1" t="s">
        <v>2222</v>
      </c>
      <c r="C1" s="1" t="s">
        <v>2223</v>
      </c>
      <c r="D1" s="1" t="s">
        <v>2224</v>
      </c>
      <c r="E1" s="1" t="s">
        <v>2225</v>
      </c>
    </row>
    <row r="2">
      <c r="A2" s="47">
        <f t="array" ref="A2:A14">'Device log'!A2:A14</f>
        <v>46253.02567</v>
      </c>
      <c r="B2" s="4" t="str">
        <f>IFERROR(__xludf.DUMMYFUNCTION("ARRAYFORMULA(IF(ISBLANK('Device log'!B2:B14), """", REGEXEXTRACT('Device log'!B2:B14, """"""deviceType"""":""""([^""""]+)"""""")))"),"Desktop")</f>
        <v>Desktop</v>
      </c>
      <c r="C2" s="4" t="str">
        <f>IFERROR(__xludf.DUMMYFUNCTION("ARRAYFORMULA(IF(ISBLANK('Device log'!B2:B14), """", REGEXEXTRACT('Device log'!B2:B14, """"""os"""":""""([^""""]+)"""""")))"),"Linux")</f>
        <v>Linux</v>
      </c>
      <c r="D2" s="4" t="str">
        <f>IFERROR(__xludf.DUMMYFUNCTION("ARRAYFORMULA(IF(ISBLANK('Device log'!B2:B14), """", REGEXEXTRACT('Device log'!B2:B14, """"""browser"""":""""([^""""]+)"""""")))"),"Chrome")</f>
        <v>Chrome</v>
      </c>
      <c r="E2" s="4">
        <f>IFERROR(__xludf.DUMMYFUNCTION("ARRAYFORMULA(IF(ISBLANK('Device log'!B2:B14), """", VALUE(REGEXEXTRACT('Device log'!B2:B14, """"""visitCount"""":(\d+)""))))"),1.0)</f>
        <v>1</v>
      </c>
    </row>
    <row r="3">
      <c r="A3" s="47">
        <v>46253.02634239584</v>
      </c>
      <c r="B3" s="4" t="str">
        <f>IFERROR(__xludf.DUMMYFUNCTION("""COMPUTED_VALUE"""),"Desktop")</f>
        <v>Desktop</v>
      </c>
      <c r="C3" s="4" t="str">
        <f>IFERROR(__xludf.DUMMYFUNCTION("""COMPUTED_VALUE"""),"Linux")</f>
        <v>Linux</v>
      </c>
      <c r="D3" s="4" t="str">
        <f>IFERROR(__xludf.DUMMYFUNCTION("""COMPUTED_VALUE"""),"Chrome")</f>
        <v>Chrome</v>
      </c>
      <c r="E3" s="4">
        <f>IFERROR(__xludf.DUMMYFUNCTION("""COMPUTED_VALUE"""),1.0)</f>
        <v>1</v>
      </c>
    </row>
    <row r="4">
      <c r="A4" s="47">
        <v>46253.026898703705</v>
      </c>
      <c r="B4" s="4" t="str">
        <f>IFERROR(__xludf.DUMMYFUNCTION("""COMPUTED_VALUE"""),"Mobile")</f>
        <v>Mobile</v>
      </c>
      <c r="C4" s="4" t="str">
        <f>IFERROR(__xludf.DUMMYFUNCTION("""COMPUTED_VALUE"""),"iOS")</f>
        <v>iOS</v>
      </c>
      <c r="D4" s="4" t="str">
        <f>IFERROR(__xludf.DUMMYFUNCTION("""COMPUTED_VALUE"""),"Chrome")</f>
        <v>Chrome</v>
      </c>
      <c r="E4" s="4">
        <f>IFERROR(__xludf.DUMMYFUNCTION("""COMPUTED_VALUE"""),1.0)</f>
        <v>1</v>
      </c>
    </row>
    <row r="5">
      <c r="A5" s="47">
        <v>46253.03534903935</v>
      </c>
      <c r="B5" s="4" t="str">
        <f>IFERROR(__xludf.DUMMYFUNCTION("""COMPUTED_VALUE"""),"Mobile")</f>
        <v>Mobile</v>
      </c>
      <c r="C5" s="4" t="str">
        <f>IFERROR(__xludf.DUMMYFUNCTION("""COMPUTED_VALUE"""),"iOS")</f>
        <v>iOS</v>
      </c>
      <c r="D5" s="4" t="str">
        <f>IFERROR(__xludf.DUMMYFUNCTION("""COMPUTED_VALUE"""),"Safari")</f>
        <v>Safari</v>
      </c>
      <c r="E5" s="4">
        <f>IFERROR(__xludf.DUMMYFUNCTION("""COMPUTED_VALUE"""),1.0)</f>
        <v>1</v>
      </c>
    </row>
    <row r="6">
      <c r="A6" s="47">
        <v>46253.04319090278</v>
      </c>
      <c r="B6" s="4" t="str">
        <f>IFERROR(__xludf.DUMMYFUNCTION("""COMPUTED_VALUE"""),"Desktop")</f>
        <v>Desktop</v>
      </c>
      <c r="C6" s="4" t="str">
        <f>IFERROR(__xludf.DUMMYFUNCTION("""COMPUTED_VALUE"""),"Linux")</f>
        <v>Linux</v>
      </c>
      <c r="D6" s="4" t="str">
        <f>IFERROR(__xludf.DUMMYFUNCTION("""COMPUTED_VALUE"""),"Chrome")</f>
        <v>Chrome</v>
      </c>
      <c r="E6" s="4">
        <f>IFERROR(__xludf.DUMMYFUNCTION("""COMPUTED_VALUE"""),2.0)</f>
        <v>2</v>
      </c>
    </row>
    <row r="7">
      <c r="A7" s="47">
        <v>46253.044333645834</v>
      </c>
      <c r="B7" s="4" t="str">
        <f>IFERROR(__xludf.DUMMYFUNCTION("""COMPUTED_VALUE"""),"Desktop")</f>
        <v>Desktop</v>
      </c>
      <c r="C7" s="4" t="str">
        <f>IFERROR(__xludf.DUMMYFUNCTION("""COMPUTED_VALUE"""),"Linux")</f>
        <v>Linux</v>
      </c>
      <c r="D7" s="4" t="str">
        <f>IFERROR(__xludf.DUMMYFUNCTION("""COMPUTED_VALUE"""),"Chrome")</f>
        <v>Chrome</v>
      </c>
      <c r="E7" s="4">
        <f>IFERROR(__xludf.DUMMYFUNCTION("""COMPUTED_VALUE"""),1.0)</f>
        <v>1</v>
      </c>
    </row>
    <row r="8">
      <c r="A8" s="47">
        <v>46253.050344421295</v>
      </c>
      <c r="B8" s="4" t="str">
        <f>IFERROR(__xludf.DUMMYFUNCTION("""COMPUTED_VALUE"""),"Mobile")</f>
        <v>Mobile</v>
      </c>
      <c r="C8" s="4" t="str">
        <f>IFERROR(__xludf.DUMMYFUNCTION("""COMPUTED_VALUE"""),"iOS")</f>
        <v>iOS</v>
      </c>
      <c r="D8" s="4" t="str">
        <f>IFERROR(__xludf.DUMMYFUNCTION("""COMPUTED_VALUE"""),"Chrome")</f>
        <v>Chrome</v>
      </c>
      <c r="E8" s="4">
        <f>IFERROR(__xludf.DUMMYFUNCTION("""COMPUTED_VALUE"""),18.0)</f>
        <v>18</v>
      </c>
    </row>
    <row r="9">
      <c r="A9" s="47">
        <v>46253.0508941088</v>
      </c>
      <c r="B9" s="4" t="str">
        <f>IFERROR(__xludf.DUMMYFUNCTION("""COMPUTED_VALUE"""),"Desktop")</f>
        <v>Desktop</v>
      </c>
      <c r="C9" s="4" t="str">
        <f>IFERROR(__xludf.DUMMYFUNCTION("""COMPUTED_VALUE"""),"Linux")</f>
        <v>Linux</v>
      </c>
      <c r="D9" s="4" t="str">
        <f>IFERROR(__xludf.DUMMYFUNCTION("""COMPUTED_VALUE"""),"Chrome")</f>
        <v>Chrome</v>
      </c>
      <c r="E9" s="4">
        <f>IFERROR(__xludf.DUMMYFUNCTION("""COMPUTED_VALUE"""),13.0)</f>
        <v>13</v>
      </c>
    </row>
    <row r="10">
      <c r="A10" s="47">
        <v>46253.05524988426</v>
      </c>
      <c r="B10" s="4" t="str">
        <f>IFERROR(__xludf.DUMMYFUNCTION("""COMPUTED_VALUE"""),"Desktop")</f>
        <v>Desktop</v>
      </c>
      <c r="C10" s="4" t="str">
        <f>IFERROR(__xludf.DUMMYFUNCTION("""COMPUTED_VALUE"""),"Linux")</f>
        <v>Linux</v>
      </c>
      <c r="D10" s="4" t="str">
        <f>IFERROR(__xludf.DUMMYFUNCTION("""COMPUTED_VALUE"""),"Chrome")</f>
        <v>Chrome</v>
      </c>
      <c r="E10" s="4">
        <f>IFERROR(__xludf.DUMMYFUNCTION("""COMPUTED_VALUE"""),12.0)</f>
        <v>12</v>
      </c>
    </row>
    <row r="11">
      <c r="A11" s="47">
        <v>46253.05651439815</v>
      </c>
      <c r="B11" s="4" t="str">
        <f>IFERROR(__xludf.DUMMYFUNCTION("""COMPUTED_VALUE"""),"Desktop")</f>
        <v>Desktop</v>
      </c>
      <c r="C11" s="4" t="str">
        <f>IFERROR(__xludf.DUMMYFUNCTION("""COMPUTED_VALUE"""),"Linux")</f>
        <v>Linux</v>
      </c>
      <c r="D11" s="4" t="str">
        <f>IFERROR(__xludf.DUMMYFUNCTION("""COMPUTED_VALUE"""),"Chrome")</f>
        <v>Chrome</v>
      </c>
      <c r="E11" s="4">
        <f>IFERROR(__xludf.DUMMYFUNCTION("""COMPUTED_VALUE"""),1.0)</f>
        <v>1</v>
      </c>
    </row>
    <row r="12">
      <c r="A12" s="47">
        <v>46253.05657417824</v>
      </c>
      <c r="B12" s="4" t="str">
        <f>IFERROR(__xludf.DUMMYFUNCTION("""COMPUTED_VALUE"""),"Desktop")</f>
        <v>Desktop</v>
      </c>
      <c r="C12" s="4" t="str">
        <f>IFERROR(__xludf.DUMMYFUNCTION("""COMPUTED_VALUE"""),"Linux")</f>
        <v>Linux</v>
      </c>
      <c r="D12" s="4" t="str">
        <f>IFERROR(__xludf.DUMMYFUNCTION("""COMPUTED_VALUE"""),"Chrome")</f>
        <v>Chrome</v>
      </c>
      <c r="E12" s="4">
        <f>IFERROR(__xludf.DUMMYFUNCTION("""COMPUTED_VALUE"""),1.0)</f>
        <v>1</v>
      </c>
    </row>
    <row r="13">
      <c r="A13" s="47">
        <v>46253.05658243055</v>
      </c>
      <c r="B13" s="4" t="str">
        <f>IFERROR(__xludf.DUMMYFUNCTION("""COMPUTED_VALUE"""),"Desktop")</f>
        <v>Desktop</v>
      </c>
      <c r="C13" s="4" t="str">
        <f>IFERROR(__xludf.DUMMYFUNCTION("""COMPUTED_VALUE"""),"Linux")</f>
        <v>Linux</v>
      </c>
      <c r="D13" s="4" t="str">
        <f>IFERROR(__xludf.DUMMYFUNCTION("""COMPUTED_VALUE"""),"Chrome")</f>
        <v>Chrome</v>
      </c>
      <c r="E13" s="4">
        <f>IFERROR(__xludf.DUMMYFUNCTION("""COMPUTED_VALUE"""),1.0)</f>
        <v>1</v>
      </c>
    </row>
    <row r="14">
      <c r="A14" s="47">
        <v>46253.05965225694</v>
      </c>
      <c r="B14" s="4" t="str">
        <f>IFERROR(__xludf.DUMMYFUNCTION("""COMPUTED_VALUE"""),"Desktop")</f>
        <v>Desktop</v>
      </c>
      <c r="C14" s="4" t="str">
        <f>IFERROR(__xludf.DUMMYFUNCTION("""COMPUTED_VALUE"""),"Linux")</f>
        <v>Linux</v>
      </c>
      <c r="D14" s="4" t="str">
        <f>IFERROR(__xludf.DUMMYFUNCTION("""COMPUTED_VALUE"""),"Chrome")</f>
        <v>Chrome</v>
      </c>
      <c r="E14" s="4">
        <f>IFERROR(__xludf.DUMMYFUNCTION("""COMPUTED_VALUE"""),4.0)</f>
        <v>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